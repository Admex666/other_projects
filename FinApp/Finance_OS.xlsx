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Dashboard" sheetId="1" r:id="rId1"/>
    <sheet name="01_Transactions" sheetId="2" r:id="rId2"/>
    <sheet name="02_Accounts" sheetId="3" r:id="rId3"/>
    <sheet name="03_BudgetsGoals" sheetId="4" r:id="rId4"/>
    <sheet name="04_Pockets" sheetId="5" r:id="rId5"/>
    <sheet name="90_Settings" sheetId="6" r:id="rId6"/>
    <sheet name="91_Data_ExRates" sheetId="7" r:id="rId7"/>
    <sheet name="91_Data_IDMap" sheetId="8" r:id="rId8"/>
  </sheets>
  <calcPr calcId="124519" fullCalcOnLoad="1"/>
</workbook>
</file>

<file path=xl/sharedStrings.xml><?xml version="1.0" encoding="utf-8"?>
<sst xmlns="http://schemas.openxmlformats.org/spreadsheetml/2006/main" count="44184" uniqueCount="7458">
  <si>
    <t xml:space="preserve">  Osszes Ido  [Auto]</t>
  </si>
  <si>
    <t>Osszes Bevetel (HUF)</t>
  </si>
  <si>
    <t>Osszes Kiadas (HUF)</t>
  </si>
  <si>
    <t>Netto Vagyon (HUF)</t>
  </si>
  <si>
    <t xml:space="preserve">  Aktualis Honap  [Auto]</t>
  </si>
  <si>
    <t>Havi Bevetel</t>
  </si>
  <si>
    <t>Havi Kiadas</t>
  </si>
  <si>
    <t>Havi Cashflow</t>
  </si>
  <si>
    <t xml:space="preserve">  Top Kategoriak – aktualis honap  [Auto]</t>
  </si>
  <si>
    <t xml:space="preserve">  Virtualis Zsebek  [Auto]</t>
  </si>
  <si>
    <t xml:space="preserve">  6 Honapos Trend  [Auto]</t>
  </si>
  <si>
    <t>Bevetel</t>
  </si>
  <si>
    <t>Kiadas</t>
  </si>
  <si>
    <t>Cashflow</t>
  </si>
  <si>
    <t xml:space="preserve">  Kategoriak – 6 honapos bontasban  [Auto]</t>
  </si>
  <si>
    <t>Kategoria</t>
  </si>
  <si>
    <t>Date</t>
  </si>
  <si>
    <t>Type</t>
  </si>
  <si>
    <t>Account</t>
  </si>
  <si>
    <t>Amount</t>
  </si>
  <si>
    <t>Currency</t>
  </si>
  <si>
    <t>Category</t>
  </si>
  <si>
    <t>Pocket</t>
  </si>
  <si>
    <t>Merchant</t>
  </si>
  <si>
    <t>Owner</t>
  </si>
  <si>
    <t>Note</t>
  </si>
  <si>
    <t>ID</t>
  </si>
  <si>
    <t>BaseAmount</t>
  </si>
  <si>
    <t>CreatedAt</t>
  </si>
  <si>
    <t>2024-01-08</t>
  </si>
  <si>
    <t>2024-01-22</t>
  </si>
  <si>
    <t>2024-01-23</t>
  </si>
  <si>
    <t>2024-01-24</t>
  </si>
  <si>
    <t>2024-01-25</t>
  </si>
  <si>
    <t>2024-01-26</t>
  </si>
  <si>
    <t>2024-02-01</t>
  </si>
  <si>
    <t>2024-02-02</t>
  </si>
  <si>
    <t>2024-02-03</t>
  </si>
  <si>
    <t>2024-02-05</t>
  </si>
  <si>
    <t>2024-02-07</t>
  </si>
  <si>
    <t>2024-02-09</t>
  </si>
  <si>
    <t>2024-02-10</t>
  </si>
  <si>
    <t>2024-02-11</t>
  </si>
  <si>
    <t>2024-02-13</t>
  </si>
  <si>
    <t>2024-02-15</t>
  </si>
  <si>
    <t>2024-02-16</t>
  </si>
  <si>
    <t>2024-02-17</t>
  </si>
  <si>
    <t>2024-02-21</t>
  </si>
  <si>
    <t>2024-02-23</t>
  </si>
  <si>
    <t>2024-03-01</t>
  </si>
  <si>
    <t>2024-03-02</t>
  </si>
  <si>
    <t>2024-03-04</t>
  </si>
  <si>
    <t>2024-03-06</t>
  </si>
  <si>
    <t>2024-03-07</t>
  </si>
  <si>
    <t>2024-03-08</t>
  </si>
  <si>
    <t>2024-03-09</t>
  </si>
  <si>
    <t>2024-03-14</t>
  </si>
  <si>
    <t>2024-03-16</t>
  </si>
  <si>
    <t>2024-03-17</t>
  </si>
  <si>
    <t>2024-03-25</t>
  </si>
  <si>
    <t>2024-03-27</t>
  </si>
  <si>
    <t>2024-03-28</t>
  </si>
  <si>
    <t>2024-04-01</t>
  </si>
  <si>
    <t>2024-04-02</t>
  </si>
  <si>
    <t>2024-04-04</t>
  </si>
  <si>
    <t>2024-04-05</t>
  </si>
  <si>
    <t>2024-04-09</t>
  </si>
  <si>
    <t>2024-04-12</t>
  </si>
  <si>
    <t>2024-04-16</t>
  </si>
  <si>
    <t>2024-04-18</t>
  </si>
  <si>
    <t>2024-04-26</t>
  </si>
  <si>
    <t>2024-04-29</t>
  </si>
  <si>
    <t>2024-05-02</t>
  </si>
  <si>
    <t>2024-05-03</t>
  </si>
  <si>
    <t>2024-05-07</t>
  </si>
  <si>
    <t>2024-05-08</t>
  </si>
  <si>
    <t>2024-05-11</t>
  </si>
  <si>
    <t>2024-05-13</t>
  </si>
  <si>
    <t>2024-05-15</t>
  </si>
  <si>
    <t>2024-05-17</t>
  </si>
  <si>
    <t>2024-05-19</t>
  </si>
  <si>
    <t>2024-05-20</t>
  </si>
  <si>
    <t>2024-05-23</t>
  </si>
  <si>
    <t>2024-05-28</t>
  </si>
  <si>
    <t>2024-05-31</t>
  </si>
  <si>
    <t>2024-06-03</t>
  </si>
  <si>
    <t>2024-06-04</t>
  </si>
  <si>
    <t>2024-06-05</t>
  </si>
  <si>
    <t>2024-06-06</t>
  </si>
  <si>
    <t>2024-06-07</t>
  </si>
  <si>
    <t>2024-06-09</t>
  </si>
  <si>
    <t>2024-06-12</t>
  </si>
  <si>
    <t>2024-06-14</t>
  </si>
  <si>
    <t>2024-06-17</t>
  </si>
  <si>
    <t>2024-06-18</t>
  </si>
  <si>
    <t>2024-06-20</t>
  </si>
  <si>
    <t>2024-06-21</t>
  </si>
  <si>
    <t>2024-06-23</t>
  </si>
  <si>
    <t>2024-06-24</t>
  </si>
  <si>
    <t>2024-06-29</t>
  </si>
  <si>
    <t>2024-06-30</t>
  </si>
  <si>
    <t>2024-07-01</t>
  </si>
  <si>
    <t>2024-07-02</t>
  </si>
  <si>
    <t>2024-07-03</t>
  </si>
  <si>
    <t>2024-07-06</t>
  </si>
  <si>
    <t>2024-07-07</t>
  </si>
  <si>
    <t>2024-07-08</t>
  </si>
  <si>
    <t>2024-07-09</t>
  </si>
  <si>
    <t>2024-07-10</t>
  </si>
  <si>
    <t>2024-07-11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</si>
  <si>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</si>
  <si>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</si>
  <si>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</si>
  <si>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</si>
  <si>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</si>
  <si>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</si>
  <si>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</si>
  <si>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2024-07-22</t>
  </si>
  <si>
    <t>2024-07-27</t>
  </si>
  <si>
    <t>2024-08-02</t>
  </si>
  <si>
    <t>2024-08-03</t>
  </si>
  <si>
    <t>2024-08-04</t>
  </si>
  <si>
    <t>2024-08-05</t>
  </si>
  <si>
    <t>2024-08-06</t>
  </si>
  <si>
    <t>2024-08-08</t>
  </si>
  <si>
    <t>2024-08-09</t>
  </si>
  <si>
    <t>2024-08-12</t>
  </si>
  <si>
    <t>2024-08-16</t>
  </si>
  <si>
    <t>2024-08-17</t>
  </si>
  <si>
    <t>2024-08-18</t>
  </si>
  <si>
    <t>2024-08-22</t>
  </si>
  <si>
    <t>2024-08-24</t>
  </si>
  <si>
    <t>2024-08-27</t>
  </si>
  <si>
    <t>2024-09-03</t>
  </si>
  <si>
    <t>2024-09-05</t>
  </si>
  <si>
    <t>2024-09-09</t>
  </si>
  <si>
    <t>2024-09-12</t>
  </si>
  <si>
    <t>2024-09-13</t>
  </si>
  <si>
    <t>2024-09-14</t>
  </si>
  <si>
    <t>2024-09-15</t>
  </si>
  <si>
    <t>2024-09-19</t>
  </si>
  <si>
    <t>2024-09-20</t>
  </si>
  <si>
    <t>2024-09-21</t>
  </si>
  <si>
    <t>2024-09-25</t>
  </si>
  <si>
    <t>2024-09-26</t>
  </si>
  <si>
    <t>2024-09-27</t>
  </si>
  <si>
    <t>2024-09-29</t>
  </si>
  <si>
    <t>2024-10-02</t>
  </si>
  <si>
    <t>2024-10-04</t>
  </si>
  <si>
    <t>2024-10-10</t>
  </si>
  <si>
    <t>2024-10-16</t>
  </si>
  <si>
    <t>2024-10-19</t>
  </si>
  <si>
    <t>2024-10-22</t>
  </si>
  <si>
    <t>2024-10-25</t>
  </si>
  <si>
    <t>2024-10-26</t>
  </si>
  <si>
    <t>2024-10-29</t>
  </si>
  <si>
    <t>2024-10-31</t>
  </si>
  <si>
    <t>2024-11-05</t>
  </si>
  <si>
    <t>2024-11-08</t>
  </si>
  <si>
    <t>2024-11-09</t>
  </si>
  <si>
    <t>2024-11-10</t>
  </si>
  <si>
    <t>2024-11-11</t>
  </si>
  <si>
    <t>2024-11-14</t>
  </si>
  <si>
    <t>2024-11-17</t>
  </si>
  <si>
    <t>2024-11-19</t>
  </si>
  <si>
    <t>2024-11-20</t>
  </si>
  <si>
    <t>2024-11-23</t>
  </si>
  <si>
    <t>2024-11-28</t>
  </si>
  <si>
    <t>2024-11-29</t>
  </si>
  <si>
    <t>2024-11-30</t>
  </si>
  <si>
    <t>2024-12-11</t>
  </si>
  <si>
    <t>2024-12-16</t>
  </si>
  <si>
    <t>2024-12-18</t>
  </si>
  <si>
    <t>2024-12-19</t>
  </si>
  <si>
    <t>2024-12-20</t>
  </si>
  <si>
    <t>2024-12-21</t>
  </si>
  <si>
    <t>2024-12-22</t>
  </si>
  <si>
    <t>2024-12-25</t>
  </si>
  <si>
    <t>2024-12-26</t>
  </si>
  <si>
    <t>2024-12-28</t>
  </si>
  <si>
    <t>2024-12-30</t>
  </si>
  <si>
    <t>2025-01-01</t>
  </si>
  <si>
    <t>2025-01-02</t>
  </si>
  <si>
    <t>2025-01-04</t>
  </si>
  <si>
    <t>2025-01-05</t>
  </si>
  <si>
    <t>2025-01-07</t>
  </si>
  <si>
    <t>2025-01-10</t>
  </si>
  <si>
    <t>2025-01-15</t>
  </si>
  <si>
    <t>2025-01-19</t>
  </si>
  <si>
    <t>2025-01-21</t>
  </si>
  <si>
    <t>2025-01-22</t>
  </si>
  <si>
    <t>2025-01-23</t>
  </si>
  <si>
    <t>2025-01-24</t>
  </si>
  <si>
    <t>2025-01-25</t>
  </si>
  <si>
    <t>2025-01-26</t>
  </si>
  <si>
    <t>2025-01-28</t>
  </si>
  <si>
    <t>2025-02-03</t>
  </si>
  <si>
    <t>2025-02-04</t>
  </si>
  <si>
    <t>2025-02-07</t>
  </si>
  <si>
    <t>2025-02-08</t>
  </si>
  <si>
    <t>2025-02-09</t>
  </si>
  <si>
    <t>2025-02-11</t>
  </si>
  <si>
    <t>2025-02-13</t>
  </si>
  <si>
    <t>2025-02-14</t>
  </si>
  <si>
    <t>2025-02-18</t>
  </si>
  <si>
    <t>2025-02-21</t>
  </si>
  <si>
    <t>2025-02-24</t>
  </si>
  <si>
    <t>2025-02-27</t>
  </si>
  <si>
    <t>2025-02-28</t>
  </si>
  <si>
    <t>2025-03-04</t>
  </si>
  <si>
    <t>2025-03-05</t>
  </si>
  <si>
    <t>2025-03-08</t>
  </si>
  <si>
    <t>2025-03-10</t>
  </si>
  <si>
    <t>2025-03-11</t>
  </si>
  <si>
    <t>2025-03-19</t>
  </si>
  <si>
    <t>2025-03-21</t>
  </si>
  <si>
    <t>2025-03-23</t>
  </si>
  <si>
    <t>2025-03-28</t>
  </si>
  <si>
    <t>2025-03-29</t>
  </si>
  <si>
    <t>2025-04-02</t>
  </si>
  <si>
    <t>2025-04-03</t>
  </si>
  <si>
    <t>2025-04-05</t>
  </si>
  <si>
    <t>2025-04-08</t>
  </si>
  <si>
    <t>2025-04-10</t>
  </si>
  <si>
    <t>2025-04-12</t>
  </si>
  <si>
    <t>2025-04-15</t>
  </si>
  <si>
    <t>2025-04-16</t>
  </si>
  <si>
    <t>2025-04-18</t>
  </si>
  <si>
    <t>2025-04-20</t>
  </si>
  <si>
    <t>2025-04-21</t>
  </si>
  <si>
    <t>2025-04-23</t>
  </si>
  <si>
    <t>2025-04-27</t>
  </si>
  <si>
    <t>2025-04-28</t>
  </si>
  <si>
    <t>2025-05-02</t>
  </si>
  <si>
    <t>2025-05-03</t>
  </si>
  <si>
    <t>2025-05-07</t>
  </si>
  <si>
    <t>2025-05-10</t>
  </si>
  <si>
    <t>2025-05-15</t>
  </si>
  <si>
    <t>2025-05-17</t>
  </si>
  <si>
    <t>2025-05-18</t>
  </si>
  <si>
    <t>2025-05-29</t>
  </si>
  <si>
    <t>2025-06-10</t>
  </si>
  <si>
    <t>2025-06-14</t>
  </si>
  <si>
    <t>2025-06-16</t>
  </si>
  <si>
    <t>2025-06-18</t>
  </si>
  <si>
    <t>2025-06-19</t>
  </si>
  <si>
    <t>2025-06-24</t>
  </si>
  <si>
    <t>2025-06-25</t>
  </si>
  <si>
    <t>2025-06-27</t>
  </si>
  <si>
    <t>2025-06-29</t>
  </si>
  <si>
    <t>2025-07-03</t>
  </si>
  <si>
    <t>2025-07-09</t>
  </si>
  <si>
    <t>2025-07-10</t>
  </si>
  <si>
    <t>2025-07-11</t>
  </si>
  <si>
    <t>2025-07-17</t>
  </si>
  <si>
    <t>2025-07-18</t>
  </si>
  <si>
    <t>2025-07-21</t>
  </si>
  <si>
    <t>2025-07-29</t>
  </si>
  <si>
    <t>2025-08-20</t>
  </si>
  <si>
    <t>2025-08-23</t>
  </si>
  <si>
    <t>2025-08-24</t>
  </si>
  <si>
    <t>2025-08-26</t>
  </si>
  <si>
    <t>2025-08-29</t>
  </si>
  <si>
    <t>2025-08-31</t>
  </si>
  <si>
    <t>2025-09-07</t>
  </si>
  <si>
    <t>2025-09-20</t>
  </si>
  <si>
    <t>2025-09-22</t>
  </si>
  <si>
    <t>2025-09-27</t>
  </si>
  <si>
    <t>2025-10-02</t>
  </si>
  <si>
    <t>2025-10-03</t>
  </si>
  <si>
    <t>2025-10-13</t>
  </si>
  <si>
    <t>2025-10-21</t>
  </si>
  <si>
    <t>2025-10-25</t>
  </si>
  <si>
    <t>2025-10-30</t>
  </si>
  <si>
    <t>2025-11-06</t>
  </si>
  <si>
    <t>2025-11-07</t>
  </si>
  <si>
    <t>2025-11-09</t>
  </si>
  <si>
    <t>2025-11-11</t>
  </si>
  <si>
    <t>2025-11-12</t>
  </si>
  <si>
    <t>2025-11-19</t>
  </si>
  <si>
    <t>2025-11-20</t>
  </si>
  <si>
    <t>2025-11-21</t>
  </si>
  <si>
    <t>2025-11-28</t>
  </si>
  <si>
    <t>2025-11-29</t>
  </si>
  <si>
    <t>2025-12-01</t>
  </si>
  <si>
    <t>2025-12-03</t>
  </si>
  <si>
    <t>2025-12-05</t>
  </si>
  <si>
    <t>2025-12-06</t>
  </si>
  <si>
    <t>2025-12-08</t>
  </si>
  <si>
    <t>2025-12-17</t>
  </si>
  <si>
    <t>2025-12-24</t>
  </si>
  <si>
    <t>2025-12-25</t>
  </si>
  <si>
    <t>2025-12-26</t>
  </si>
  <si>
    <t>2025-12-27</t>
  </si>
  <si>
    <t>2026-01-03</t>
  </si>
  <si>
    <t>2026-01-07</t>
  </si>
  <si>
    <t>2026-01-09</t>
  </si>
  <si>
    <t>2026-01-13</t>
  </si>
  <si>
    <t>2026-01-23</t>
  </si>
  <si>
    <t>2026-01-24</t>
  </si>
  <si>
    <t>2026-01-28</t>
  </si>
  <si>
    <t>2026-01-31</t>
  </si>
  <si>
    <t>2026-02-01</t>
  </si>
  <si>
    <t>2026-02-02</t>
  </si>
  <si>
    <t>2026-02-03</t>
  </si>
  <si>
    <t>2026-02-05</t>
  </si>
  <si>
    <t>2026-02-06</t>
  </si>
  <si>
    <t>2026-02-14</t>
  </si>
  <si>
    <t>2026-02-17</t>
  </si>
  <si>
    <t>2026-02-22</t>
  </si>
  <si>
    <t>2026-02-23</t>
  </si>
  <si>
    <t>2026-02-24</t>
  </si>
  <si>
    <t>2026-02-25</t>
  </si>
  <si>
    <t>2026-02-26</t>
  </si>
  <si>
    <t>2026-02-27</t>
  </si>
  <si>
    <t>2026-03-03</t>
  </si>
  <si>
    <t>2026-03-05</t>
  </si>
  <si>
    <t>2026-03-10</t>
  </si>
  <si>
    <t>2026-03-15</t>
  </si>
  <si>
    <t>2026-03-19</t>
  </si>
  <si>
    <t>2026-03-20</t>
  </si>
  <si>
    <t>2026-03-22</t>
  </si>
  <si>
    <t>2026-03-23</t>
  </si>
  <si>
    <t>2026-03-25</t>
  </si>
  <si>
    <t>2026-03-31</t>
  </si>
  <si>
    <t>2026-04-01</t>
  </si>
  <si>
    <t>2026-04-02</t>
  </si>
  <si>
    <t>2026-04-05</t>
  </si>
  <si>
    <t>2026-04-07</t>
  </si>
  <si>
    <t>2026-04-08</t>
  </si>
  <si>
    <t>2026-04-09</t>
  </si>
  <si>
    <t>2026-04-11</t>
  </si>
  <si>
    <t>2026-04-12</t>
  </si>
  <si>
    <t>2026-04-14</t>
  </si>
  <si>
    <t>2026-04-15</t>
  </si>
  <si>
    <t>2026-04-21</t>
  </si>
  <si>
    <t>2026-04-22</t>
  </si>
  <si>
    <t>2026-04-23</t>
  </si>
  <si>
    <t>2026-04-24</t>
  </si>
  <si>
    <t>2026-04-25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</si>
  <si>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</si>
  <si>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</si>
  <si>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</si>
  <si>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</si>
  <si>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</si>
  <si>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</si>
  <si>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</si>
  <si>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</si>
  <si>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2026-05-07</t>
  </si>
  <si>
    <t>2026-05-10</t>
  </si>
  <si>
    <t>2026-05-14</t>
  </si>
  <si>
    <t>2026-05-15</t>
  </si>
  <si>
    <t>2026-05-16</t>
  </si>
  <si>
    <t>2026-05-18</t>
  </si>
  <si>
    <t>2026-05-21</t>
  </si>
  <si>
    <t>2026-05-23</t>
  </si>
  <si>
    <t>2026-05-27</t>
  </si>
  <si>
    <t>2026-05-30</t>
  </si>
  <si>
    <t>2026-06-03</t>
  </si>
  <si>
    <t>2026-06-04</t>
  </si>
  <si>
    <t>2026-06-06</t>
  </si>
  <si>
    <t>2026-06-07</t>
  </si>
  <si>
    <t>2026-06-10</t>
  </si>
  <si>
    <t>2026-06-11</t>
  </si>
  <si>
    <t>2026-06-19</t>
  </si>
  <si>
    <t>2026-06-20</t>
  </si>
  <si>
    <t>2026-06-23</t>
  </si>
  <si>
    <t>2026-06-24</t>
  </si>
  <si>
    <t>2026-06-25</t>
  </si>
  <si>
    <t>2026-06-28</t>
  </si>
  <si>
    <t>2026-06-30</t>
  </si>
  <si>
    <t>2026-07-01</t>
  </si>
  <si>
    <t>2026-07-02</t>
  </si>
  <si>
    <t>2026-07-05</t>
  </si>
  <si>
    <t>2026-07-06</t>
  </si>
  <si>
    <t>2026-07-09</t>
  </si>
  <si>
    <t>2026-07-13</t>
  </si>
  <si>
    <t>2026-07-16</t>
  </si>
  <si>
    <t>2026-07-19</t>
  </si>
  <si>
    <t>2026-07-21</t>
  </si>
  <si>
    <t>2026-07-25</t>
  </si>
  <si>
    <t>Expense</t>
  </si>
  <si>
    <t>Income</t>
  </si>
  <si>
    <t>Transfer</t>
  </si>
  <si>
    <t>OTP számla</t>
  </si>
  <si>
    <t>Készpénz</t>
  </si>
  <si>
    <t>Államkincstár</t>
  </si>
  <si>
    <t>Ajándékutalvány</t>
  </si>
  <si>
    <t>Valuták (EUR)</t>
  </si>
  <si>
    <t>Laptop kaució</t>
  </si>
  <si>
    <t>Valuták (BGN)</t>
  </si>
  <si>
    <t>Dapper wallet</t>
  </si>
  <si>
    <t>PayPal</t>
  </si>
  <si>
    <t>Nexo</t>
  </si>
  <si>
    <t>Wise</t>
  </si>
  <si>
    <t>Revolut Pro</t>
  </si>
  <si>
    <t>HUF</t>
  </si>
  <si>
    <t>EUR</t>
  </si>
  <si>
    <t>BGN</t>
  </si>
  <si>
    <t>USD</t>
  </si>
  <si>
    <t>Business befektetés</t>
  </si>
  <si>
    <t>Ajándék</t>
  </si>
  <si>
    <t>Közlekedés</t>
  </si>
  <si>
    <t>Étel-ital</t>
  </si>
  <si>
    <t>Luxus, szórakozás</t>
  </si>
  <si>
    <t>Üzletelés</t>
  </si>
  <si>
    <t>Egészség</t>
  </si>
  <si>
    <t>Egyéb</t>
  </si>
  <si>
    <t>Kamat</t>
  </si>
  <si>
    <t>Ösztöndíj</t>
  </si>
  <si>
    <t>Fejlődés, befektetés</t>
  </si>
  <si>
    <t>Utazás</t>
  </si>
  <si>
    <t>Fizetés</t>
  </si>
  <si>
    <t>VitaSteps</t>
  </si>
  <si>
    <t>Bari 2026</t>
  </si>
  <si>
    <t>Vésztartalék</t>
  </si>
  <si>
    <t>Hosszútávú</t>
  </si>
  <si>
    <t>Adam</t>
  </si>
  <si>
    <t>Mezek és táska</t>
  </si>
  <si>
    <t>Futár</t>
  </si>
  <si>
    <t>Gdl</t>
  </si>
  <si>
    <t xml:space="preserve">GDL busz </t>
  </si>
  <si>
    <t>Algir gyros @ Dönercos</t>
  </si>
  <si>
    <t>Dreher @ pajta pub</t>
  </si>
  <si>
    <t>Juventus vendég mez</t>
  </si>
  <si>
    <t>Barcelona zsebpénz - Bözsi mama</t>
  </si>
  <si>
    <t>Barcelona zsebpénz - Zsuzsi mama</t>
  </si>
  <si>
    <t>Sör @ Blokk</t>
  </si>
  <si>
    <t xml:space="preserve">Daiquiri @ Blokk </t>
  </si>
  <si>
    <t>Strawberry colada @ Blokk</t>
  </si>
  <si>
    <t>Gyros</t>
  </si>
  <si>
    <t>Maskulan</t>
  </si>
  <si>
    <t>Piros United mez</t>
  </si>
  <si>
    <t xml:space="preserve">Mate tea </t>
  </si>
  <si>
    <t>Biciklis bérlet</t>
  </si>
  <si>
    <t>GDL</t>
  </si>
  <si>
    <t>Torta Kinga</t>
  </si>
  <si>
    <t>Twentysix</t>
  </si>
  <si>
    <t>EUR átváltas költségei</t>
  </si>
  <si>
    <t>Otp díj</t>
  </si>
  <si>
    <t>Mekdo</t>
  </si>
  <si>
    <t>Pomyva nagyfröccs</t>
  </si>
  <si>
    <t>Borpatika házmester</t>
  </si>
  <si>
    <t>Karimi gyrostál felezés</t>
  </si>
  <si>
    <t>Anya zsebpénz</t>
  </si>
  <si>
    <t>Timi hotpot</t>
  </si>
  <si>
    <t>Pogi @ MVM - kóla</t>
  </si>
  <si>
    <t>Volán GDL</t>
  </si>
  <si>
    <t>Sör @ udvarROM</t>
  </si>
  <si>
    <t>Hotpot bevásárlás</t>
  </si>
  <si>
    <t>Ajándékutalvány makro xdd</t>
  </si>
  <si>
    <t>Két sör + borravaló</t>
  </si>
  <si>
    <t>Kéthavi ösztöndíj</t>
  </si>
  <si>
    <t>tortilla + falafel tál @ Karimi</t>
  </si>
  <si>
    <t xml:space="preserve"> hotpot</t>
  </si>
  <si>
    <t>Hotpot bevásárlás+torta törlesztés</t>
  </si>
  <si>
    <t>Staropramen @ ZICCER</t>
  </si>
  <si>
    <t>Anya trade</t>
  </si>
  <si>
    <t>Shein mate + air fryer</t>
  </si>
  <si>
    <t>Robi</t>
  </si>
  <si>
    <t>Zsuzsi mama locsolás</t>
  </si>
  <si>
    <t xml:space="preserve">Bözsi mama húsvét </t>
  </si>
  <si>
    <t>Condom</t>
  </si>
  <si>
    <t>Falafel king street</t>
  </si>
  <si>
    <t>WHU mez</t>
  </si>
  <si>
    <t xml:space="preserve">Munch </t>
  </si>
  <si>
    <t>Fagyi @ Naplázs</t>
  </si>
  <si>
    <t>Munch szülőknek</t>
  </si>
  <si>
    <t>Búzasör @ GosSip</t>
  </si>
  <si>
    <t>Burger king</t>
  </si>
  <si>
    <t>Mézes (?) - menü (sör + tabasco vodka)</t>
  </si>
  <si>
    <t>Soproni @ Albert</t>
  </si>
  <si>
    <t>Sör + hubi kombó @ GosSip</t>
  </si>
  <si>
    <t>Kör @ all-inn</t>
  </si>
  <si>
    <t>Kálvin kebab</t>
  </si>
  <si>
    <t>Trio pizza munch</t>
  </si>
  <si>
    <t>Mittelwasser pólók részem</t>
  </si>
  <si>
    <t>Bueno automata Corvo</t>
  </si>
  <si>
    <t>Három oli 2 korsó Dreher</t>
  </si>
  <si>
    <t>Tig öregdiák sportnap</t>
  </si>
  <si>
    <t>Kissarkany</t>
  </si>
  <si>
    <t>Zacskos leves muller</t>
  </si>
  <si>
    <t>Kupadöntő</t>
  </si>
  <si>
    <t>Kupadöntő Timinek</t>
  </si>
  <si>
    <t>Fradi - Újpest meccsjegy</t>
  </si>
  <si>
    <t>Meccs pia 2x</t>
  </si>
  <si>
    <t>Mekdo meccs után</t>
  </si>
  <si>
    <t>MU mez</t>
  </si>
  <si>
    <t>Derbi fradikártya</t>
  </si>
  <si>
    <t>Krúbi koncert</t>
  </si>
  <si>
    <t>Juventus mez</t>
  </si>
  <si>
    <t>MÁV bicijegy</t>
  </si>
  <si>
    <t>GDL menetjegy</t>
  </si>
  <si>
    <t>Burgasz repjegy Timi</t>
  </si>
  <si>
    <t>Burgasz Repjegyek</t>
  </si>
  <si>
    <t>500g bio rozskenyér kvaszhoz</t>
  </si>
  <si>
    <t>Gumióvszer</t>
  </si>
  <si>
    <t>GDL buszjegy</t>
  </si>
  <si>
    <t>Úszó bérletre</t>
  </si>
  <si>
    <t>Úszóbérlet</t>
  </si>
  <si>
    <t>Robinson meggyes soproni</t>
  </si>
  <si>
    <t>Fan vodka sprite</t>
  </si>
  <si>
    <t>Bagoly kola 💀💀</t>
  </si>
  <si>
    <t>Fan stella (4dl)</t>
  </si>
  <si>
    <t>Burgasz szállás</t>
  </si>
  <si>
    <t>Timi krém (utalta)</t>
  </si>
  <si>
    <t>Timi harisnya</t>
  </si>
  <si>
    <t>GDL jegy</t>
  </si>
  <si>
    <t xml:space="preserve">Timi krém utalás </t>
  </si>
  <si>
    <t>Legenda: meggysör + tonic</t>
  </si>
  <si>
    <t>Anyám cash</t>
  </si>
  <si>
    <t>Palatinus én</t>
  </si>
  <si>
    <t>Palatinus Peti</t>
  </si>
  <si>
    <t>Palatinus hambi</t>
  </si>
  <si>
    <t>Peti gyros tál Pala</t>
  </si>
  <si>
    <t>Anya Burgasz költőpénz</t>
  </si>
  <si>
    <t>Kölcsön festőre</t>
  </si>
  <si>
    <t>Festő tartozás törlesztő</t>
  </si>
  <si>
    <t>Bagoly: 4 pia (3x tatra + meggysör)</t>
  </si>
  <si>
    <t>Timi fehér rózsa @ Palotakert</t>
  </si>
  <si>
    <t>Zsuzsi mama Montenegró</t>
  </si>
  <si>
    <t>Bözsi mama pénz Montenegró</t>
  </si>
  <si>
    <t>Hanna és Kolos torta</t>
  </si>
  <si>
    <t>Business: Cigi Montenegró</t>
  </si>
  <si>
    <t>Balaton törlesztés Lukácsnak</t>
  </si>
  <si>
    <t>Váltás költsége</t>
  </si>
  <si>
    <t>HUF-EUR váltás Arany change (395)</t>
  </si>
  <si>
    <t>Timitől Leva pénz</t>
  </si>
  <si>
    <t>Timi: szállás, krúbi, cigi</t>
  </si>
  <si>
    <t>Gyógykrém shit</t>
  </si>
  <si>
    <t>Biztosítás Burgasz</t>
  </si>
  <si>
    <t>Timi AC Milan mez</t>
  </si>
  <si>
    <t>Mama Burgasz költőpénz</t>
  </si>
  <si>
    <t>Fagyi beannek</t>
  </si>
  <si>
    <t>Yav-ka pizzák rendelés</t>
  </si>
  <si>
    <t>Burgasz kaja bevásárlás</t>
  </si>
  <si>
    <t>2x2 múzeumok jegy</t>
  </si>
  <si>
    <t>King kong burger</t>
  </si>
  <si>
    <t>Burgasz transzfer</t>
  </si>
  <si>
    <t>BOJ airport valutaváltás</t>
  </si>
  <si>
    <t xml:space="preserve">Burgasz pénzváltó </t>
  </si>
  <si>
    <t>Zöldséges itt</t>
  </si>
  <si>
    <t>Buszjegy Burgasz</t>
  </si>
  <si>
    <t>St. Anastasia hajók</t>
  </si>
  <si>
    <t>Old Pub kiadós ebéd</t>
  </si>
  <si>
    <t>Sand festival Burgas</t>
  </si>
  <si>
    <t xml:space="preserve">Múzeum St. Anastasia sziget </t>
  </si>
  <si>
    <t>Bevásárlas Sunny Market</t>
  </si>
  <si>
    <t>Neszebar buszjegyek</t>
  </si>
  <si>
    <t>Neszebar wc</t>
  </si>
  <si>
    <t>Hűtőmágnesek Neszebar</t>
  </si>
  <si>
    <t>Neszebar-Burgasz jegyek</t>
  </si>
  <si>
    <t>Burgasz pékség: croissant és 400g rozskenyér</t>
  </si>
  <si>
    <t>Burgasz: burek és croissant</t>
  </si>
  <si>
    <t>Omako tálak</t>
  </si>
  <si>
    <t xml:space="preserve">Reptérre transzfer </t>
  </si>
  <si>
    <t xml:space="preserve">Aviomuseum Burgasz </t>
  </si>
  <si>
    <t>Lokum reptéren</t>
  </si>
  <si>
    <t>Vinted LAFC mez</t>
  </si>
  <si>
    <t>Robi Soproni</t>
  </si>
  <si>
    <t>Kinga Krúbi koncert</t>
  </si>
  <si>
    <t>Meki Timinek és nekem</t>
  </si>
  <si>
    <t>Tranzakciós ktsg Nexo (kb.)</t>
  </si>
  <si>
    <t>Top shot teljes cashout</t>
  </si>
  <si>
    <t>Vinted Chelsea mez</t>
  </si>
  <si>
    <t>Szonda és alkohol</t>
  </si>
  <si>
    <t>Bözsi mamától Balatonra</t>
  </si>
  <si>
    <t>Anyától többlet biciklire</t>
  </si>
  <si>
    <t>2 twister kfc</t>
  </si>
  <si>
    <t xml:space="preserve">Balatonalmádi Aldi </t>
  </si>
  <si>
    <t>Idegenforgalmi adó</t>
  </si>
  <si>
    <t>Balatonalmádi Aldi csoportosan</t>
  </si>
  <si>
    <t>Bevásárlás Balatonalmádi</t>
  </si>
  <si>
    <t>Strandbelépő</t>
  </si>
  <si>
    <t>Bobozás</t>
  </si>
  <si>
    <t>Bevásárlás Máténak</t>
  </si>
  <si>
    <t>Amerikai burger @ Balatonalmádi</t>
  </si>
  <si>
    <t>Sajtos-tejfölös Balatonalmádi</t>
  </si>
  <si>
    <t>Timinek icengo</t>
  </si>
  <si>
    <t>Balaton strandjegy</t>
  </si>
  <si>
    <t>Gyros tortilla Balatonalmádi</t>
  </si>
  <si>
    <t>Gödöllői Kéktúra füzetek</t>
  </si>
  <si>
    <t>Pest vármegyebérlet</t>
  </si>
  <si>
    <t>GDL busz</t>
  </si>
  <si>
    <t>2db sör + 1 péksüti</t>
  </si>
  <si>
    <t>Maskulan @ Rossmann GDL</t>
  </si>
  <si>
    <t>Tej + vaj100g + 4db citrom (Timinek)</t>
  </si>
  <si>
    <t>Izrael - Olaszország focimeccs</t>
  </si>
  <si>
    <t>Timi 2. évforduló desszert mekdóban</t>
  </si>
  <si>
    <t>Timi 2. évforduló minigolf</t>
  </si>
  <si>
    <t>Timi 2. évfordulós Bamba Marha</t>
  </si>
  <si>
    <t xml:space="preserve">GDL bringatúra  </t>
  </si>
  <si>
    <t>Bringajegy to GDL</t>
  </si>
  <si>
    <t>GDL helyi</t>
  </si>
  <si>
    <t>Apenta Vásárcsarnok coop</t>
  </si>
  <si>
    <t>Hell</t>
  </si>
  <si>
    <t>Mirinda @ Bozsik</t>
  </si>
  <si>
    <t>Miami heat mez</t>
  </si>
  <si>
    <t>Fradi - Budafok</t>
  </si>
  <si>
    <t>Korcsma</t>
  </si>
  <si>
    <t>Fuzetea @ Budafok</t>
  </si>
  <si>
    <t>Fiúknak kör @ Pinyó</t>
  </si>
  <si>
    <t>Gyömbér @ Oportó</t>
  </si>
  <si>
    <t>Nagyfröccs @ Ponyvaregény</t>
  </si>
  <si>
    <t>Országbérlet</t>
  </si>
  <si>
    <t>Teljesítménytúra XVI</t>
  </si>
  <si>
    <t>Kombucha + kimchi</t>
  </si>
  <si>
    <t>Galatasaray és Werder mez 1. részlet</t>
  </si>
  <si>
    <t>Galatasaray és Werder mez 2. részlet</t>
  </si>
  <si>
    <t>Burger king fogyasztás</t>
  </si>
  <si>
    <t>Szondi utca kínai</t>
  </si>
  <si>
    <t>Anya vízilabda jegyek ára</t>
  </si>
  <si>
    <t>Anya szülinapi orchidea (LIDL)</t>
  </si>
  <si>
    <t>Fröccs én+Bencsik @ Jolly</t>
  </si>
  <si>
    <t>Krumpli Máté+Én @ Tölcsibe</t>
  </si>
  <si>
    <t>3x tiramusu</t>
  </si>
  <si>
    <t>Munch szendó</t>
  </si>
  <si>
    <t>Kávé automatából</t>
  </si>
  <si>
    <t>7db mez by messi107</t>
  </si>
  <si>
    <t>Maskulan, das Kondom</t>
  </si>
  <si>
    <t>Marika néni 10k Magyarék 15k</t>
  </si>
  <si>
    <t>Yerba mate (Rosamonte)</t>
  </si>
  <si>
    <t xml:space="preserve">Lukács Simon </t>
  </si>
  <si>
    <t>Starbucks Lukynak</t>
  </si>
  <si>
    <t xml:space="preserve">Szabaduló Lukácsnak </t>
  </si>
  <si>
    <t>Luky szülinap @ Gyűrű</t>
  </si>
  <si>
    <t>Szabaduló nekem</t>
  </si>
  <si>
    <t>Luky szülinapi @ cafe35szerviz</t>
  </si>
  <si>
    <t>Simon Luky szülinap</t>
  </si>
  <si>
    <t>Starbucks Luky szülinapi</t>
  </si>
  <si>
    <t>Luky szülinap @ cafe35szerviz</t>
  </si>
  <si>
    <t xml:space="preserve">Luky szülinapi @ Bordizsár </t>
  </si>
  <si>
    <t>Szülinapi Bözsi mamától</t>
  </si>
  <si>
    <t>Zsuzsi mama szülinap</t>
  </si>
  <si>
    <t>Pogány koncert 2025.április</t>
  </si>
  <si>
    <t xml:space="preserve">Sült burgonya McDonald's </t>
  </si>
  <si>
    <t>Öltöny eladása</t>
  </si>
  <si>
    <t xml:space="preserve">Timi borkostoló </t>
  </si>
  <si>
    <t>Bor + ajándék bor @ Gyöngyös 5Dudás</t>
  </si>
  <si>
    <t>Temu: biciklis balaclava, bucket hat, játékok</t>
  </si>
  <si>
    <t>Karácsonyi Temu: Timi és fiúk</t>
  </si>
  <si>
    <t>ETF</t>
  </si>
  <si>
    <t>Frei @ Nyugati</t>
  </si>
  <si>
    <t>FTC - BVSC vizilabda</t>
  </si>
  <si>
    <t>Wokngo nagy @ Batthyany</t>
  </si>
  <si>
    <t xml:space="preserve">2x házmester @ Mátra borozó </t>
  </si>
  <si>
    <t>Athééén retúr repjegy</t>
  </si>
  <si>
    <t>Arsenal és Messi mez (Vinted)</t>
  </si>
  <si>
    <t>Pest vármegye bérlet</t>
  </si>
  <si>
    <t>GosSip</t>
  </si>
  <si>
    <t>Luki+Mate+én</t>
  </si>
  <si>
    <t>Karácsonyra üvegek</t>
  </si>
  <si>
    <t>Étcsoki (90g) a likőrbe</t>
  </si>
  <si>
    <t>2sör Robi</t>
  </si>
  <si>
    <t>Mekdós bigmac (kuponnal)</t>
  </si>
  <si>
    <t xml:space="preserve">Anya apa dumaszínház </t>
  </si>
  <si>
    <t>Athén szállás</t>
  </si>
  <si>
    <t>Bözsi mama kari</t>
  </si>
  <si>
    <t>Zsuzsi mama kari</t>
  </si>
  <si>
    <t>Lightyear díj</t>
  </si>
  <si>
    <t>Tabletop simulator</t>
  </si>
  <si>
    <t>Sör + 2jäger</t>
  </si>
  <si>
    <t>Sör @ Fan club</t>
  </si>
  <si>
    <t>2024 növekedés</t>
  </si>
  <si>
    <t>Szoboszlai mez, Vinted</t>
  </si>
  <si>
    <t>IKEA 8db zöldséggolyó</t>
  </si>
  <si>
    <t>Timi IKEA 8db zöldséggolyó</t>
  </si>
  <si>
    <t>Anya Athén költőpénz</t>
  </si>
  <si>
    <t>Gyros @ Mester utca</t>
  </si>
  <si>
    <t>Sajtburesz mekdo</t>
  </si>
  <si>
    <t>Athén biztosítás</t>
  </si>
  <si>
    <t>Mama Athénra</t>
  </si>
  <si>
    <t>Bérlet</t>
  </si>
  <si>
    <t>Athén repjegy ülőhely</t>
  </si>
  <si>
    <t>Transzfer jegyek</t>
  </si>
  <si>
    <t>Faszinak parkolás fizetése reptéren</t>
  </si>
  <si>
    <t>ΠΑΥΛΙΣ gyros+sali+krumpli</t>
  </si>
  <si>
    <t>Szuvenírek Athén (3db hűtőmágnés)</t>
  </si>
  <si>
    <t xml:space="preserve">Gyros rendelés </t>
  </si>
  <si>
    <t>Vinted Milan mez</t>
  </si>
  <si>
    <t>Lukumadesz + süti</t>
  </si>
  <si>
    <t>Olympion étterem</t>
  </si>
  <si>
    <t>Vonaljegyek</t>
  </si>
  <si>
    <t>szuvenírek (olíva)</t>
  </si>
  <si>
    <t>The big bad wolf: szuvlaki</t>
  </si>
  <si>
    <t>ΚΡΙΤΣ péksüti</t>
  </si>
  <si>
    <t>Bozo nem mondja le időben a feliratkozást (smartguide)</t>
  </si>
  <si>
    <t>2 sör @ Trabant</t>
  </si>
  <si>
    <t>Szilvás sör @ Guri</t>
  </si>
  <si>
    <t>2dl bor @ Humbák</t>
  </si>
  <si>
    <t>Dreher @ Paranoir</t>
  </si>
  <si>
    <t>Meki 2db burger</t>
  </si>
  <si>
    <t>Hosszúlépés @ OneBeer</t>
  </si>
  <si>
    <t>2dl bor @ Zuzmó</t>
  </si>
  <si>
    <t>Timi 2,5 éves rózsa</t>
  </si>
  <si>
    <t>Anya ttúra előtti aji</t>
  </si>
  <si>
    <t xml:space="preserve">Téli Margita 20 </t>
  </si>
  <si>
    <t>Margita kupaaa</t>
  </si>
  <si>
    <t xml:space="preserve">Új fülhallgató </t>
  </si>
  <si>
    <t>Utalás díja</t>
  </si>
  <si>
    <t>Tiramisu @ Drönk</t>
  </si>
  <si>
    <t>Timi ramenezés, enyém</t>
  </si>
  <si>
    <t>Timi ramen</t>
  </si>
  <si>
    <t>Timi libegő enyém</t>
  </si>
  <si>
    <t>Timi libegő</t>
  </si>
  <si>
    <t>PMÁP</t>
  </si>
  <si>
    <t xml:space="preserve">Croissant: butter brothers </t>
  </si>
  <si>
    <t>Karimi</t>
  </si>
  <si>
    <t>Ázsiai üdítők Timivel</t>
  </si>
  <si>
    <t>Timi országbérlet</t>
  </si>
  <si>
    <t>Hot dog készítés Bencsiknél</t>
  </si>
  <si>
    <t>Bözsi mama jogsihoz</t>
  </si>
  <si>
    <t>Fradi kártya (ital)</t>
  </si>
  <si>
    <t>Timi rétes</t>
  </si>
  <si>
    <t>Drönk</t>
  </si>
  <si>
    <t>Meki Timinek és nekem + mandula</t>
  </si>
  <si>
    <t>Pogi koncert pia+repohár</t>
  </si>
  <si>
    <t>Ruhatár Pog</t>
  </si>
  <si>
    <t>Starbie munch otthonra</t>
  </si>
  <si>
    <t>Zaza kebab</t>
  </si>
  <si>
    <t>Club32 vodkasprite+hubi</t>
  </si>
  <si>
    <t>Unci @ Hauzol</t>
  </si>
  <si>
    <t>Zsuzsi mama húsvét</t>
  </si>
  <si>
    <t>Noémi húsvét</t>
  </si>
  <si>
    <t>Timi food court pho</t>
  </si>
  <si>
    <t>Keleti food court: hagyományos pekingi tészta</t>
  </si>
  <si>
    <t>Margita K50</t>
  </si>
  <si>
    <t>Masculan + sikosító</t>
  </si>
  <si>
    <t>Anya anyák napja</t>
  </si>
  <si>
    <t>TIG sportnap</t>
  </si>
  <si>
    <t>Mekdo bejövős</t>
  </si>
  <si>
    <t>Timi rizspapír</t>
  </si>
  <si>
    <t>Yerba mate (Pajaritos)</t>
  </si>
  <si>
    <t>2 kör @ All-inn</t>
  </si>
  <si>
    <t>Staropramen @ Andersen</t>
  </si>
  <si>
    <t>Mcdonalds Sertés farm</t>
  </si>
  <si>
    <t>Margita éjszakai 12k</t>
  </si>
  <si>
    <t xml:space="preserve">Timi Palatinus </t>
  </si>
  <si>
    <t>Timi Palatinus hambi</t>
  </si>
  <si>
    <t>Bözsi mama Nyíregyre</t>
  </si>
  <si>
    <t>Nyíregy buszjegy</t>
  </si>
  <si>
    <t>Nyíregy -&gt; Budapest anya+én</t>
  </si>
  <si>
    <t>Egészségügyi vizsga</t>
  </si>
  <si>
    <t>Jurassic world jegy nekem</t>
  </si>
  <si>
    <t>Jurassic world jegy Timi</t>
  </si>
  <si>
    <t>Temu</t>
  </si>
  <si>
    <t>Bringajegyek (Diósjenő)</t>
  </si>
  <si>
    <t>Kerékpárjegy</t>
  </si>
  <si>
    <t>IKEA snack (fahéjas csiga)</t>
  </si>
  <si>
    <t>Tranzakció költség OTP</t>
  </si>
  <si>
    <t>foodora rendelés</t>
  </si>
  <si>
    <t>Gamerland</t>
  </si>
  <si>
    <t>2 sör @ Black Dog</t>
  </si>
  <si>
    <t>Nagyfröccs @ Sarki Tanszék</t>
  </si>
  <si>
    <t xml:space="preserve">Móricz meki </t>
  </si>
  <si>
    <t>Gamerland Peti</t>
  </si>
  <si>
    <t>2 szörpös feles @ Pinyó</t>
  </si>
  <si>
    <t>Anya vonatjegy</t>
  </si>
  <si>
    <t>Zsuzsi mama Esztergom</t>
  </si>
  <si>
    <t>Lukács szülinap könyv</t>
  </si>
  <si>
    <t>Margita éjszakai K20</t>
  </si>
  <si>
    <t>Margita éjszakai K20 Timi</t>
  </si>
  <si>
    <t>Kerékpárjegyek</t>
  </si>
  <si>
    <t>Grillezés Magyarék</t>
  </si>
  <si>
    <t>Grillezés Marika néni</t>
  </si>
  <si>
    <t>bringajegy</t>
  </si>
  <si>
    <t>Cafe Frei Timivel</t>
  </si>
  <si>
    <t>Két sör Timivel</t>
  </si>
  <si>
    <t>Tízórai</t>
  </si>
  <si>
    <t>Fuzetea</t>
  </si>
  <si>
    <t>Masculan</t>
  </si>
  <si>
    <t>Anya szülinap: városi séta</t>
  </si>
  <si>
    <t>Hervis pulcsi</t>
  </si>
  <si>
    <t>Pulcsi</t>
  </si>
  <si>
    <t>Timi japánkert</t>
  </si>
  <si>
    <t>Timi Chinatown</t>
  </si>
  <si>
    <t>Timi burger king krumpli+szósz</t>
  </si>
  <si>
    <t>Guri Keresztapa</t>
  </si>
  <si>
    <t>Halva @ Iran cukraszda</t>
  </si>
  <si>
    <t>Mcdonalds Bigmac+krumpli</t>
  </si>
  <si>
    <t>2 koktél 1 árán @ 7ker</t>
  </si>
  <si>
    <t>7ker fröccs kancsó akció</t>
  </si>
  <si>
    <t>Apa karácsony, Timi szülinap</t>
  </si>
  <si>
    <t>Timi ALDI rózsa</t>
  </si>
  <si>
    <t>Bözsi mama szülinapi</t>
  </si>
  <si>
    <t>Sütikék @ Smankerli</t>
  </si>
  <si>
    <t>Burger king Timi</t>
  </si>
  <si>
    <t xml:space="preserve">Süti hozzávalók </t>
  </si>
  <si>
    <t>Burger King kupon</t>
  </si>
  <si>
    <t>Sör @ HÉTKER</t>
  </si>
  <si>
    <t>2dl bor + shot @ HÉTKER</t>
  </si>
  <si>
    <t>IKEA 8 hotdog Timi</t>
  </si>
  <si>
    <t>Nobility ital Timi</t>
  </si>
  <si>
    <t>3 lottószelvény</t>
  </si>
  <si>
    <t>Állampapír vétel</t>
  </si>
  <si>
    <t>Pinyó 2 tálca spanoknak</t>
  </si>
  <si>
    <t>Lotto</t>
  </si>
  <si>
    <t>Timi ZAIQA</t>
  </si>
  <si>
    <t>Anya karácsonyi ajándék</t>
  </si>
  <si>
    <t>Timi Keleti</t>
  </si>
  <si>
    <t>Google AI Pro</t>
  </si>
  <si>
    <t>Vonatjegy Timi Fehérvár</t>
  </si>
  <si>
    <t>Maskulan @ Sugár DM</t>
  </si>
  <si>
    <t>Telefontok, Timi cuccok</t>
  </si>
  <si>
    <t>XXXLutz ebéd</t>
  </si>
  <si>
    <t>Telki ebéd + xfb ebéd</t>
  </si>
  <si>
    <t>Timi munch</t>
  </si>
  <si>
    <t>Timi tulipán</t>
  </si>
  <si>
    <t>TipForge hirdetések</t>
  </si>
  <si>
    <t>Székház szenya+kinder</t>
  </si>
  <si>
    <t>Telki</t>
  </si>
  <si>
    <t>A Grund Mlsz</t>
  </si>
  <si>
    <t>Kelly's wok Timi</t>
  </si>
  <si>
    <t>Telki ebéd</t>
  </si>
  <si>
    <t>Odor Finium hirdetések</t>
  </si>
  <si>
    <t>Lovi fogadás</t>
  </si>
  <si>
    <t>Gyros Bakáts</t>
  </si>
  <si>
    <t>Üdítők Peti kártya</t>
  </si>
  <si>
    <t>Sör @ Hauzol</t>
  </si>
  <si>
    <t>Máté sör + 2dl cserszegi @ 7ker</t>
  </si>
  <si>
    <t>Masculan+öblítő</t>
  </si>
  <si>
    <t>Rudas Fürdő Timivel</t>
  </si>
  <si>
    <t>Rudas Fürdő Timi</t>
  </si>
  <si>
    <t>Telki capuccino</t>
  </si>
  <si>
    <t>Pho Timi+én</t>
  </si>
  <si>
    <t>Három ori 2 korsó Dreher</t>
  </si>
  <si>
    <t>Timi ázsiai</t>
  </si>
  <si>
    <t>Sió 1L + zsemle</t>
  </si>
  <si>
    <t>Rejtő Jenő: Vanek úr Párizsban (akció @ Libri)</t>
  </si>
  <si>
    <t>Timi kaják március</t>
  </si>
  <si>
    <t>Puskás Aréna üdítők+chips</t>
  </si>
  <si>
    <t>Karimi tortilla</t>
  </si>
  <si>
    <t>Hosszúlépés + kóla @ Borpatika</t>
  </si>
  <si>
    <t>Meta ads</t>
  </si>
  <si>
    <t>Zsuzsi mama húsvét(+kari)</t>
  </si>
  <si>
    <t>MTK - ZTE</t>
  </si>
  <si>
    <t>Tej Timi</t>
  </si>
  <si>
    <t>Masculan + wc papír</t>
  </si>
  <si>
    <t>Twentysix Timivel</t>
  </si>
  <si>
    <t>MK döntő különbözet</t>
  </si>
  <si>
    <t>Timi kaják április</t>
  </si>
  <si>
    <t>WC Bécs xd</t>
  </si>
  <si>
    <t>Buszjegy Bécs</t>
  </si>
  <si>
    <t>Bécs jegy 2x</t>
  </si>
  <si>
    <t>ÖBB Gösser Märzen</t>
  </si>
  <si>
    <t>Philly cheesesteak + krumpli @ Grund</t>
  </si>
  <si>
    <t>Kávé @ Grund</t>
  </si>
  <si>
    <t>BKIK hozzájárulás</t>
  </si>
  <si>
    <t>Vállalkozás létrehozása Laci</t>
  </si>
  <si>
    <t>Első 100-as batch</t>
  </si>
  <si>
    <t>Timi kv</t>
  </si>
  <si>
    <t>Szotyik Örs</t>
  </si>
  <si>
    <t>Gyros + Timi krumpli @ Urban kebab</t>
  </si>
  <si>
    <t>Bari repjegyek</t>
  </si>
  <si>
    <t>Átcsoportosítás</t>
  </si>
  <si>
    <t>Dunapanda</t>
  </si>
  <si>
    <t>Szójaszósz Timi</t>
  </si>
  <si>
    <t>Anya hosszúlépés</t>
  </si>
  <si>
    <t>Google One</t>
  </si>
  <si>
    <t>Masculan @ dm</t>
  </si>
  <si>
    <t>Meki bl döntő</t>
  </si>
  <si>
    <t>Kajapénz korrekció Timi</t>
  </si>
  <si>
    <t>Bari szállás Timi</t>
  </si>
  <si>
    <t>Paprika</t>
  </si>
  <si>
    <t>PSG fanzone chips</t>
  </si>
  <si>
    <t>Bari szállás</t>
  </si>
  <si>
    <t>PAFC mez kiárusítás</t>
  </si>
  <si>
    <t>Üdítő Puskás</t>
  </si>
  <si>
    <t>Bari IFA</t>
  </si>
  <si>
    <t>Legi 4 korsó w/ Máté</t>
  </si>
  <si>
    <t>Kínai @ Kolosy</t>
  </si>
  <si>
    <t>Peti szülinapi szivar</t>
  </si>
  <si>
    <t>Szivar</t>
  </si>
  <si>
    <t xml:space="preserve">Gyors Máté </t>
  </si>
  <si>
    <t>Bari</t>
  </si>
  <si>
    <t>Google pro</t>
  </si>
  <si>
    <t>ZenSlot teszt kampány</t>
  </si>
  <si>
    <t>Szendvics Székház mellett</t>
  </si>
  <si>
    <t>MLSZ Grund night out (ital)</t>
  </si>
  <si>
    <t>Margherita @ Grund (MLSZ night out)</t>
  </si>
  <si>
    <t>Éjszakai coca cola zero</t>
  </si>
  <si>
    <t>Gyros Markónál</t>
  </si>
  <si>
    <t>Masculan @ Rossmann Árkád</t>
  </si>
  <si>
    <t>Timi kajapénz</t>
  </si>
  <si>
    <t>Fizu</t>
  </si>
  <si>
    <t>Bónusz</t>
  </si>
  <si>
    <t>Cafeteria</t>
  </si>
  <si>
    <t>OrdoPure Meta</t>
  </si>
  <si>
    <t>IKEA ital</t>
  </si>
  <si>
    <t>Narandzs</t>
  </si>
  <si>
    <t>Gyros @ Szentendre</t>
  </si>
  <si>
    <t>OrdoPure kampány 1</t>
  </si>
  <si>
    <t>Tata Anya vonat</t>
  </si>
  <si>
    <t>Masculan @ Sugár dm</t>
  </si>
  <si>
    <t>Gyros tál Akácfa</t>
  </si>
  <si>
    <t>Söri @ Hauzol</t>
  </si>
  <si>
    <t>3x jäger + 1x sör @ Hauzol</t>
  </si>
  <si>
    <t>Snacky @ Dunakeszi</t>
  </si>
  <si>
    <t>Fully night market Timivel</t>
  </si>
  <si>
    <t>Meta: OrdoPure2 kampány</t>
  </si>
  <si>
    <t>Ebéd @ Kantinetta</t>
  </si>
  <si>
    <t>OrdoPure campaign2</t>
  </si>
  <si>
    <t>Yettel számla</t>
  </si>
  <si>
    <t>TX-1448</t>
  </si>
  <si>
    <t>TX-1445</t>
  </si>
  <si>
    <t>TX-1446</t>
  </si>
  <si>
    <t>TX-1447</t>
  </si>
  <si>
    <t>TX-1444</t>
  </si>
  <si>
    <t>TX-1443</t>
  </si>
  <si>
    <t>TX-1442</t>
  </si>
  <si>
    <t>TX-1519</t>
  </si>
  <si>
    <t>TX-1518</t>
  </si>
  <si>
    <t>TX-1517</t>
  </si>
  <si>
    <t>TX-1441</t>
  </si>
  <si>
    <t>TX-1440</t>
  </si>
  <si>
    <t>TX-1439</t>
  </si>
  <si>
    <t>TX-1438</t>
  </si>
  <si>
    <t>TX-1437</t>
  </si>
  <si>
    <t>TX-1516</t>
  </si>
  <si>
    <t>TX-1436</t>
  </si>
  <si>
    <t>TX-1435</t>
  </si>
  <si>
    <t>TX-1434</t>
  </si>
  <si>
    <t>TX-1433</t>
  </si>
  <si>
    <t>TX-1432</t>
  </si>
  <si>
    <t>TX-1431</t>
  </si>
  <si>
    <t>TX-1551</t>
  </si>
  <si>
    <t>TX-1430</t>
  </si>
  <si>
    <t>TX-1550</t>
  </si>
  <si>
    <t>TX-1429</t>
  </si>
  <si>
    <t>TX-1428</t>
  </si>
  <si>
    <t>TX-1426</t>
  </si>
  <si>
    <t>TX-1427</t>
  </si>
  <si>
    <t>TX-1425</t>
  </si>
  <si>
    <t>TX-1514</t>
  </si>
  <si>
    <t>TX-1515</t>
  </si>
  <si>
    <t>TX-1424</t>
  </si>
  <si>
    <t>TX-1549</t>
  </si>
  <si>
    <t>TX-1422</t>
  </si>
  <si>
    <t>TX-1423</t>
  </si>
  <si>
    <t>TX-1421</t>
  </si>
  <si>
    <t>TX-1420</t>
  </si>
  <si>
    <t>TX-1513</t>
  </si>
  <si>
    <t>TX-1419</t>
  </si>
  <si>
    <t>TX-1512</t>
  </si>
  <si>
    <t>TX-1418</t>
  </si>
  <si>
    <t>TX-1417</t>
  </si>
  <si>
    <t>TX-1510</t>
  </si>
  <si>
    <t>TX-1511</t>
  </si>
  <si>
    <t>TX-1416</t>
  </si>
  <si>
    <t>TX-1415</t>
  </si>
  <si>
    <t>TX-1548</t>
  </si>
  <si>
    <t>TX-1414</t>
  </si>
  <si>
    <t>TX-1413</t>
  </si>
  <si>
    <t>TX-1412</t>
  </si>
  <si>
    <t>TX-1509</t>
  </si>
  <si>
    <t>TX-1508</t>
  </si>
  <si>
    <t>TX-1411</t>
  </si>
  <si>
    <t>TX-1410</t>
  </si>
  <si>
    <t>TX-1507</t>
  </si>
  <si>
    <t>TX-1506</t>
  </si>
  <si>
    <t>TX-1407</t>
  </si>
  <si>
    <t>TX-1408</t>
  </si>
  <si>
    <t>TX-1409</t>
  </si>
  <si>
    <t>TX-1406</t>
  </si>
  <si>
    <t>TX-1403</t>
  </si>
  <si>
    <t>TX-1405</t>
  </si>
  <si>
    <t>TX-1402</t>
  </si>
  <si>
    <t>TX-1401</t>
  </si>
  <si>
    <t>TX-1404</t>
  </si>
  <si>
    <t>TX-1400</t>
  </si>
  <si>
    <t>TX-1399</t>
  </si>
  <si>
    <t>TX-1398</t>
  </si>
  <si>
    <t>TX-1397</t>
  </si>
  <si>
    <t>TX-1505</t>
  </si>
  <si>
    <t>TX-1396</t>
  </si>
  <si>
    <t>TX-1395</t>
  </si>
  <si>
    <t>TX-1392</t>
  </si>
  <si>
    <t>TX-1393</t>
  </si>
  <si>
    <t>TX-1394</t>
  </si>
  <si>
    <t>TX-1391</t>
  </si>
  <si>
    <t>TX-1390</t>
  </si>
  <si>
    <t>TX-1389</t>
  </si>
  <si>
    <t>TX-1388</t>
  </si>
  <si>
    <t>TX-1387</t>
  </si>
  <si>
    <t>TX-1504</t>
  </si>
  <si>
    <t>TX-1386</t>
  </si>
  <si>
    <t>TX-1385</t>
  </si>
  <si>
    <t>TX-1503</t>
  </si>
  <si>
    <t>TX-1384</t>
  </si>
  <si>
    <t>TX-1383</t>
  </si>
  <si>
    <t>TX-1502</t>
  </si>
  <si>
    <t>TX-1382</t>
  </si>
  <si>
    <t>TX-1381</t>
  </si>
  <si>
    <t>TX-1380</t>
  </si>
  <si>
    <t>TX-1379</t>
  </si>
  <si>
    <t>TX-1501</t>
  </si>
  <si>
    <t>TX-1500</t>
  </si>
  <si>
    <t>TX-1378</t>
  </si>
  <si>
    <t>TX-1375</t>
  </si>
  <si>
    <t>TX-1377</t>
  </si>
  <si>
    <t>TX-1374</t>
  </si>
  <si>
    <t>TX-1376</t>
  </si>
  <si>
    <t>TX-1373</t>
  </si>
  <si>
    <t>TX-1372</t>
  </si>
  <si>
    <t>TX-1371</t>
  </si>
  <si>
    <t>TX-1369</t>
  </si>
  <si>
    <t>TX-1370</t>
  </si>
  <si>
    <t>TX-1499</t>
  </si>
  <si>
    <t>TX-1368</t>
  </si>
  <si>
    <t>TX-1498</t>
  </si>
  <si>
    <t>TX-1367</t>
  </si>
  <si>
    <t>TX-1366</t>
  </si>
  <si>
    <t>TX-1365</t>
  </si>
  <si>
    <t>TX-1364</t>
  </si>
  <si>
    <t>TX-1496</t>
  </si>
  <si>
    <t>TX-1363</t>
  </si>
  <si>
    <t>TX-1497</t>
  </si>
  <si>
    <t>TX-1361</t>
  </si>
  <si>
    <t>TX-1362</t>
  </si>
  <si>
    <t>TX-1360</t>
  </si>
  <si>
    <t>TX-1495</t>
  </si>
  <si>
    <t>TX-1494</t>
  </si>
  <si>
    <t>TX-1359</t>
  </si>
  <si>
    <t>TX-1358</t>
  </si>
  <si>
    <t>TX-1357</t>
  </si>
  <si>
    <t>TX-1356</t>
  </si>
  <si>
    <t>TX-1547</t>
  </si>
  <si>
    <t>TX-1493</t>
  </si>
  <si>
    <t>TX-1546</t>
  </si>
  <si>
    <t>TX-1492</t>
  </si>
  <si>
    <t>TX-1355</t>
  </si>
  <si>
    <t>TX-1354</t>
  </si>
  <si>
    <t>TX-1353</t>
  </si>
  <si>
    <t>TX-1491</t>
  </si>
  <si>
    <t>TX-1347</t>
  </si>
  <si>
    <t>TX-1348</t>
  </si>
  <si>
    <t>TX-1349</t>
  </si>
  <si>
    <t>TX-1350</t>
  </si>
  <si>
    <t>TX-1351</t>
  </si>
  <si>
    <t>TX-1352</t>
  </si>
  <si>
    <t>TX-1545</t>
  </si>
  <si>
    <t>TX-1544</t>
  </si>
  <si>
    <t>TX-1341</t>
  </si>
  <si>
    <t>TX-1340</t>
  </si>
  <si>
    <t>TX-1346</t>
  </si>
  <si>
    <t>TX-1345</t>
  </si>
  <si>
    <t>TX-1344</t>
  </si>
  <si>
    <t>TX-1343</t>
  </si>
  <si>
    <t>TX-1342</t>
  </si>
  <si>
    <t>TX-1339</t>
  </si>
  <si>
    <t>TX-1338</t>
  </si>
  <si>
    <t>TX-1337</t>
  </si>
  <si>
    <t>TX-1336</t>
  </si>
  <si>
    <t>TX-1335</t>
  </si>
  <si>
    <t>TX-1334</t>
  </si>
  <si>
    <t>TX-1333</t>
  </si>
  <si>
    <t>TX-1332</t>
  </si>
  <si>
    <t>TX-1331</t>
  </si>
  <si>
    <t>TX-1330</t>
  </si>
  <si>
    <t>TX-1329</t>
  </si>
  <si>
    <t>TX-1490</t>
  </si>
  <si>
    <t>TX-1328</t>
  </si>
  <si>
    <t>TX-1327</t>
  </si>
  <si>
    <t>TX-1489</t>
  </si>
  <si>
    <t>TX-1543</t>
  </si>
  <si>
    <t>TX-1326</t>
  </si>
  <si>
    <t>TX-1325</t>
  </si>
  <si>
    <t>TX-1542</t>
  </si>
  <si>
    <t>TX-1488</t>
  </si>
  <si>
    <t>TX-1324</t>
  </si>
  <si>
    <t>TX-1487</t>
  </si>
  <si>
    <t>TX-1486</t>
  </si>
  <si>
    <t>TX-1323</t>
  </si>
  <si>
    <t>TX-1320</t>
  </si>
  <si>
    <t>TX-1322</t>
  </si>
  <si>
    <t>TX-1541</t>
  </si>
  <si>
    <t>TX-1321</t>
  </si>
  <si>
    <t>TX-1319</t>
  </si>
  <si>
    <t>TX-1314</t>
  </si>
  <si>
    <t>TX-1313</t>
  </si>
  <si>
    <t>TX-1316</t>
  </si>
  <si>
    <t>TX-1317</t>
  </si>
  <si>
    <t>TX-1318</t>
  </si>
  <si>
    <t>TX-1315</t>
  </si>
  <si>
    <t>TX-1312</t>
  </si>
  <si>
    <t>TX-1311</t>
  </si>
  <si>
    <t>TX-1310</t>
  </si>
  <si>
    <t>TX-1309</t>
  </si>
  <si>
    <t>TX-1308</t>
  </si>
  <si>
    <t>TX-1307</t>
  </si>
  <si>
    <t>TX-1304</t>
  </si>
  <si>
    <t>TX-1306</t>
  </si>
  <si>
    <t>TX-1305</t>
  </si>
  <si>
    <t>TX-1303</t>
  </si>
  <si>
    <t>TX-1302</t>
  </si>
  <si>
    <t>TX-1299</t>
  </si>
  <si>
    <t>TX-1301</t>
  </si>
  <si>
    <t>TX-1300</t>
  </si>
  <si>
    <t>TX-1297</t>
  </si>
  <si>
    <t>TX-1298</t>
  </si>
  <si>
    <t>TX-1296</t>
  </si>
  <si>
    <t>TX-1295</t>
  </si>
  <si>
    <t>TX-1294</t>
  </si>
  <si>
    <t>TX-1292</t>
  </si>
  <si>
    <t>TX-1293</t>
  </si>
  <si>
    <t>TX-1291</t>
  </si>
  <si>
    <t>TX-1290</t>
  </si>
  <si>
    <t>TX-1289</t>
  </si>
  <si>
    <t>TX-1288</t>
  </si>
  <si>
    <t>TX-1287</t>
  </si>
  <si>
    <t>TX-1286</t>
  </si>
  <si>
    <t>TX-1285</t>
  </si>
  <si>
    <t>TX-1284</t>
  </si>
  <si>
    <t>TX-1283</t>
  </si>
  <si>
    <t>TX-1282</t>
  </si>
  <si>
    <t>TX-1281</t>
  </si>
  <si>
    <t>TX-1280</t>
  </si>
  <si>
    <t>TX-1279</t>
  </si>
  <si>
    <t>TX-1278</t>
  </si>
  <si>
    <t>TX-1540</t>
  </si>
  <si>
    <t>TX-1539</t>
  </si>
  <si>
    <t>TX-1277</t>
  </si>
  <si>
    <t>TX-1276</t>
  </si>
  <si>
    <t>TX-1275</t>
  </si>
  <si>
    <t>TX-1274</t>
  </si>
  <si>
    <t>TX-1273</t>
  </si>
  <si>
    <t>TX-1272</t>
  </si>
  <si>
    <t>TX-1271</t>
  </si>
  <si>
    <t>TX-1270</t>
  </si>
  <si>
    <t>TX-1269</t>
  </si>
  <si>
    <t>TX-1538</t>
  </si>
  <si>
    <t>TX-1485</t>
  </si>
  <si>
    <t>TX-1268</t>
  </si>
  <si>
    <t>TX-1537</t>
  </si>
  <si>
    <t>TX-1259</t>
  </si>
  <si>
    <t>TX-1260</t>
  </si>
  <si>
    <t>TX-1261</t>
  </si>
  <si>
    <t>TX-1262</t>
  </si>
  <si>
    <t>TX-1267</t>
  </si>
  <si>
    <t>TX-1264</t>
  </si>
  <si>
    <t>TX-1265</t>
  </si>
  <si>
    <t>TX-1266</t>
  </si>
  <si>
    <t>TX-1258</t>
  </si>
  <si>
    <t>TX-1263</t>
  </si>
  <si>
    <t>TX-1256</t>
  </si>
  <si>
    <t>TX-1257</t>
  </si>
  <si>
    <t>TX-1484</t>
  </si>
  <si>
    <t>TX-1483</t>
  </si>
  <si>
    <t>TX-1255</t>
  </si>
  <si>
    <t>TX-1254</t>
  </si>
  <si>
    <t>TX-1482</t>
  </si>
  <si>
    <t>TX-1253</t>
  </si>
  <si>
    <t>TX-1252</t>
  </si>
  <si>
    <t>TX-1251</t>
  </si>
  <si>
    <t>TX-1249</t>
  </si>
  <si>
    <t>TX-1250</t>
  </si>
  <si>
    <t>TX-1536</t>
  </si>
  <si>
    <t>TX-1248</t>
  </si>
  <si>
    <t>TX-1247</t>
  </si>
  <si>
    <t>TX-1246</t>
  </si>
  <si>
    <t>TX-1245</t>
  </si>
  <si>
    <t>TX-1244</t>
  </si>
  <si>
    <t>TX-1481</t>
  </si>
  <si>
    <t>TX-1243</t>
  </si>
  <si>
    <t>TX-1241</t>
  </si>
  <si>
    <t>TX-1240</t>
  </si>
  <si>
    <t>TX-1242</t>
  </si>
  <si>
    <t>TX-1237</t>
  </si>
  <si>
    <t>TX-1239</t>
  </si>
  <si>
    <t>TX-1238</t>
  </si>
  <si>
    <t>TX-1236</t>
  </si>
  <si>
    <t>TX-1235</t>
  </si>
  <si>
    <t>TX-1234</t>
  </si>
  <si>
    <t>TX-1233</t>
  </si>
  <si>
    <t>TX-1480</t>
  </si>
  <si>
    <t>TX-1479</t>
  </si>
  <si>
    <t>TX-1232</t>
  </si>
  <si>
    <t>TX-1231</t>
  </si>
  <si>
    <t>TX-1535</t>
  </si>
  <si>
    <t>TX-1229</t>
  </si>
  <si>
    <t>TX-1230</t>
  </si>
  <si>
    <t>TX-1478</t>
  </si>
  <si>
    <t>TX-1477</t>
  </si>
  <si>
    <t>TX-1228</t>
  </si>
  <si>
    <t>TX-1227</t>
  </si>
  <si>
    <t>TX-1476</t>
  </si>
  <si>
    <t>TX-1226</t>
  </si>
  <si>
    <t>TX-1475</t>
  </si>
  <si>
    <t>TX-1224</t>
  </si>
  <si>
    <t>TX-1225</t>
  </si>
  <si>
    <t>TX-1223</t>
  </si>
  <si>
    <t>TX-1474</t>
  </si>
  <si>
    <t>TX-1222</t>
  </si>
  <si>
    <t>TX-1221</t>
  </si>
  <si>
    <t>TX-1219</t>
  </si>
  <si>
    <t>TX-1534</t>
  </si>
  <si>
    <t>TX-1220</t>
  </si>
  <si>
    <t>TX-1218</t>
  </si>
  <si>
    <t>TX-1217</t>
  </si>
  <si>
    <t>TX-1473</t>
  </si>
  <si>
    <t>TX-1215</t>
  </si>
  <si>
    <t>TX-1216</t>
  </si>
  <si>
    <t>TX-1214</t>
  </si>
  <si>
    <t>TX-1213</t>
  </si>
  <si>
    <t>TX-1212</t>
  </si>
  <si>
    <t>TX-1211</t>
  </si>
  <si>
    <t>TX-1210</t>
  </si>
  <si>
    <t>TX-1209</t>
  </si>
  <si>
    <t>TX-1208</t>
  </si>
  <si>
    <t>TX-1533</t>
  </si>
  <si>
    <t>TX-1206</t>
  </si>
  <si>
    <t>TX-1205</t>
  </si>
  <si>
    <t>TX-1207</t>
  </si>
  <si>
    <t>TX-1204</t>
  </si>
  <si>
    <t>TX-1203</t>
  </si>
  <si>
    <t>TX-1202</t>
  </si>
  <si>
    <t>TX-1201</t>
  </si>
  <si>
    <t>TX-1472</t>
  </si>
  <si>
    <t>TX-1200</t>
  </si>
  <si>
    <t>TX-1199</t>
  </si>
  <si>
    <t>TX-1198</t>
  </si>
  <si>
    <t>TX-1196</t>
  </si>
  <si>
    <t>TX-1197</t>
  </si>
  <si>
    <t>TX-1532</t>
  </si>
  <si>
    <t>TX-1195</t>
  </si>
  <si>
    <t>TX-1194</t>
  </si>
  <si>
    <t>TX-1193</t>
  </si>
  <si>
    <t>TX-1189</t>
  </si>
  <si>
    <t>TX-1190</t>
  </si>
  <si>
    <t>TX-1191</t>
  </si>
  <si>
    <t>TX-1192</t>
  </si>
  <si>
    <t>TX-1471</t>
  </si>
  <si>
    <t>TX-1188</t>
  </si>
  <si>
    <t>TX-1531</t>
  </si>
  <si>
    <t>TX-1187</t>
  </si>
  <si>
    <t>TX-1186</t>
  </si>
  <si>
    <t>TX-1185</t>
  </si>
  <si>
    <t>TX-1470</t>
  </si>
  <si>
    <t>TX-1184</t>
  </si>
  <si>
    <t>TX-1183</t>
  </si>
  <si>
    <t>TX-1182</t>
  </si>
  <si>
    <t>TX-1469</t>
  </si>
  <si>
    <t>TX-1530</t>
  </si>
  <si>
    <t>TX-1181</t>
  </si>
  <si>
    <t>TX-1180</t>
  </si>
  <si>
    <t>TX-1179</t>
  </si>
  <si>
    <t>TX-1178</t>
  </si>
  <si>
    <t>TX-1468</t>
  </si>
  <si>
    <t>TX-1176</t>
  </si>
  <si>
    <t>TX-1175</t>
  </si>
  <si>
    <t>TX-1177</t>
  </si>
  <si>
    <t>TX-1174</t>
  </si>
  <si>
    <t>TX-1173</t>
  </si>
  <si>
    <t>TX-1172</t>
  </si>
  <si>
    <t>TX-1171</t>
  </si>
  <si>
    <t>TX-1170</t>
  </si>
  <si>
    <t>TX-1169</t>
  </si>
  <si>
    <t>TX-1168</t>
  </si>
  <si>
    <t>TX-1167</t>
  </si>
  <si>
    <t>TX-1467</t>
  </si>
  <si>
    <t>TX-1466</t>
  </si>
  <si>
    <t>TX-1465</t>
  </si>
  <si>
    <t>TX-1165</t>
  </si>
  <si>
    <t>TX-1166</t>
  </si>
  <si>
    <t>TX-1164</t>
  </si>
  <si>
    <t>TX-1163</t>
  </si>
  <si>
    <t>TX-1162</t>
  </si>
  <si>
    <t>TX-1529</t>
  </si>
  <si>
    <t>TX-1161</t>
  </si>
  <si>
    <t>TX-1160</t>
  </si>
  <si>
    <t>TX-1464</t>
  </si>
  <si>
    <t>TX-1159</t>
  </si>
  <si>
    <t>TX-1158</t>
  </si>
  <si>
    <t>TX-1157</t>
  </si>
  <si>
    <t>TX-1156</t>
  </si>
  <si>
    <t>TX-1155</t>
  </si>
  <si>
    <t>TX-1154</t>
  </si>
  <si>
    <t>TX-1153</t>
  </si>
  <si>
    <t>TX-1152</t>
  </si>
  <si>
    <t>TX-1151</t>
  </si>
  <si>
    <t>TX-1528</t>
  </si>
  <si>
    <t>TX-1463</t>
  </si>
  <si>
    <t>TX-1150</t>
  </si>
  <si>
    <t>TX-1149</t>
  </si>
  <si>
    <t>TX-1148</t>
  </si>
  <si>
    <t>TX-1147</t>
  </si>
  <si>
    <t>TX-1146</t>
  </si>
  <si>
    <t>TX-1145</t>
  </si>
  <si>
    <t>TX-1144</t>
  </si>
  <si>
    <t>TX-1462</t>
  </si>
  <si>
    <t>TX-1143</t>
  </si>
  <si>
    <t>TX-1142</t>
  </si>
  <si>
    <t>TX-1527</t>
  </si>
  <si>
    <t>TX-1140</t>
  </si>
  <si>
    <t>TX-1141</t>
  </si>
  <si>
    <t>TX-1139</t>
  </si>
  <si>
    <t>TX-1138</t>
  </si>
  <si>
    <t>TX-1137</t>
  </si>
  <si>
    <t>TX-1136</t>
  </si>
  <si>
    <t>TX-1135</t>
  </si>
  <si>
    <t>TX-1134</t>
  </si>
  <si>
    <t>TX-1133</t>
  </si>
  <si>
    <t>TX-1132</t>
  </si>
  <si>
    <t>TX-1131</t>
  </si>
  <si>
    <t>TX-1130</t>
  </si>
  <si>
    <t>TX-1126</t>
  </si>
  <si>
    <t>TX-1127</t>
  </si>
  <si>
    <t>TX-1128</t>
  </si>
  <si>
    <t>TX-1129</t>
  </si>
  <si>
    <t>TX-1125</t>
  </si>
  <si>
    <t>TX-1526</t>
  </si>
  <si>
    <t>TX-1122</t>
  </si>
  <si>
    <t>TX-1124</t>
  </si>
  <si>
    <t>TX-1123</t>
  </si>
  <si>
    <t>TX-1461</t>
  </si>
  <si>
    <t>TX-1121</t>
  </si>
  <si>
    <t>TX-1120</t>
  </si>
  <si>
    <t>TX-1119</t>
  </si>
  <si>
    <t>TX-1118</t>
  </si>
  <si>
    <t>TX-1460</t>
  </si>
  <si>
    <t>TX-1459</t>
  </si>
  <si>
    <t>TX-1117</t>
  </si>
  <si>
    <t>TX-1116</t>
  </si>
  <si>
    <t>TX-1525</t>
  </si>
  <si>
    <t>TX-1114</t>
  </si>
  <si>
    <t>TX-1115</t>
  </si>
  <si>
    <t>TX-1113</t>
  </si>
  <si>
    <t>TX-1112</t>
  </si>
  <si>
    <t>TX-1110</t>
  </si>
  <si>
    <t>TX-1111</t>
  </si>
  <si>
    <t>TX-1109</t>
  </si>
  <si>
    <t>TX-1108</t>
  </si>
  <si>
    <t>TX-1104</t>
  </si>
  <si>
    <t>TX-1105</t>
  </si>
  <si>
    <t>TX-1103</t>
  </si>
  <si>
    <t>TX-1107</t>
  </si>
  <si>
    <t>TX-1106</t>
  </si>
  <si>
    <t>TX-1102</t>
  </si>
  <si>
    <t>TX-1101</t>
  </si>
  <si>
    <t>TX-1100</t>
  </si>
  <si>
    <t>TX-1099</t>
  </si>
  <si>
    <t>TX-1098</t>
  </si>
  <si>
    <t>TX-1097</t>
  </si>
  <si>
    <t>TX-1096</t>
  </si>
  <si>
    <t>TX-1095</t>
  </si>
  <si>
    <t>TX-1094</t>
  </si>
  <si>
    <t>TX-1093</t>
  </si>
  <si>
    <t>TX-1458</t>
  </si>
  <si>
    <t>TX-1457</t>
  </si>
  <si>
    <t>TX-1092</t>
  </si>
  <si>
    <t>TX-1090</t>
  </si>
  <si>
    <t>TX-1091</t>
  </si>
  <si>
    <t>TX-1089</t>
  </si>
  <si>
    <t>TX-1088</t>
  </si>
  <si>
    <t>TX-1087</t>
  </si>
  <si>
    <t>TX-1086</t>
  </si>
  <si>
    <t>TX-1085</t>
  </si>
  <si>
    <t>TX-1524</t>
  </si>
  <si>
    <t>TX-1083</t>
  </si>
  <si>
    <t>TX-1084</t>
  </si>
  <si>
    <t>TX-1523</t>
  </si>
  <si>
    <t>TX-1082</t>
  </si>
  <si>
    <t>TX-1081</t>
  </si>
  <si>
    <t>TX-1080</t>
  </si>
  <si>
    <t>TX-1522</t>
  </si>
  <si>
    <t>TX-1521</t>
  </si>
  <si>
    <t>TX-1079</t>
  </si>
  <si>
    <t>TX-1456</t>
  </si>
  <si>
    <t>TX-1078</t>
  </si>
  <si>
    <t>TX-1077</t>
  </si>
  <si>
    <t>TX-1076</t>
  </si>
  <si>
    <t>TX-1075</t>
  </si>
  <si>
    <t>TX-1074</t>
  </si>
  <si>
    <t>TX-1073</t>
  </si>
  <si>
    <t>TX-1072</t>
  </si>
  <si>
    <t>TX-1071</t>
  </si>
  <si>
    <t>TX-1070</t>
  </si>
  <si>
    <t>TX-1069</t>
  </si>
  <si>
    <t>TX-1068</t>
  </si>
  <si>
    <t>TX-1066</t>
  </si>
  <si>
    <t>TX-1065</t>
  </si>
  <si>
    <t>TX-1067</t>
  </si>
  <si>
    <t>TX-1064</t>
  </si>
  <si>
    <t>TX-1063</t>
  </si>
  <si>
    <t>TX-1062</t>
  </si>
  <si>
    <t>TX-1061</t>
  </si>
  <si>
    <t>TX-1455</t>
  </si>
  <si>
    <t>TX-1060</t>
  </si>
  <si>
    <t>TX-1059</t>
  </si>
  <si>
    <t>TX-1057</t>
  </si>
  <si>
    <t>TX-1058</t>
  </si>
  <si>
    <t>TX-1056</t>
  </si>
  <si>
    <t>TX-1055</t>
  </si>
  <si>
    <t>TX-1454</t>
  </si>
  <si>
    <t>TX-1054</t>
  </si>
  <si>
    <t>TX-1053</t>
  </si>
  <si>
    <t>TX-1052</t>
  </si>
  <si>
    <t>TX-1051</t>
  </si>
  <si>
    <t>TX-1050</t>
  </si>
  <si>
    <t>TX-1049</t>
  </si>
  <si>
    <t>TX-1453</t>
  </si>
  <si>
    <t>TX-1046</t>
  </si>
  <si>
    <t>TX-1047</t>
  </si>
  <si>
    <t>TX-1048</t>
  </si>
  <si>
    <t>TX-1045</t>
  </si>
  <si>
    <t>TX-1044</t>
  </si>
  <si>
    <t>TX-1043</t>
  </si>
  <si>
    <t>TX-1042</t>
  </si>
  <si>
    <t>TX-1041</t>
  </si>
  <si>
    <t>TX-1039</t>
  </si>
  <si>
    <t>TX-1040</t>
  </si>
  <si>
    <t>TX-1038</t>
  </si>
  <si>
    <t>TX-1037</t>
  </si>
  <si>
    <t>TX-1036</t>
  </si>
  <si>
    <t>TX-1035</t>
  </si>
  <si>
    <t>TX-1033</t>
  </si>
  <si>
    <t>TX-1034</t>
  </si>
  <si>
    <t>TX-1452</t>
  </si>
  <si>
    <t>TX-1032</t>
  </si>
  <si>
    <t>TX-1031</t>
  </si>
  <si>
    <t>TX-1451</t>
  </si>
  <si>
    <t>TX-1450</t>
  </si>
  <si>
    <t>TX-1030</t>
  </si>
  <si>
    <t>TX-1029</t>
  </si>
  <si>
    <t>TX-1027</t>
  </si>
  <si>
    <t>TX-1028</t>
  </si>
  <si>
    <t>TX-1026</t>
  </si>
  <si>
    <t>TX-1025</t>
  </si>
  <si>
    <t>TX-1024</t>
  </si>
  <si>
    <t>TX-1023</t>
  </si>
  <si>
    <t>TX-1022</t>
  </si>
  <si>
    <t>TX-1020</t>
  </si>
  <si>
    <t>TX-1021</t>
  </si>
  <si>
    <t>TX-1019</t>
  </si>
  <si>
    <t>TX-1018</t>
  </si>
  <si>
    <t>TX-1017</t>
  </si>
  <si>
    <t>TX-1016</t>
  </si>
  <si>
    <t>TX-1015</t>
  </si>
  <si>
    <t>TX-1013</t>
  </si>
  <si>
    <t>TX-1014</t>
  </si>
  <si>
    <t>TX-1011</t>
  </si>
  <si>
    <t>TX-1012</t>
  </si>
  <si>
    <t>TX-1010</t>
  </si>
  <si>
    <t>TX-1009</t>
  </si>
  <si>
    <t>TX-1449</t>
  </si>
  <si>
    <t>TX-1007</t>
  </si>
  <si>
    <t>TX-1008</t>
  </si>
  <si>
    <t>TX-1006</t>
  </si>
  <si>
    <t>TX-1005</t>
  </si>
  <si>
    <t>TX-1004</t>
  </si>
  <si>
    <t>TX-1003</t>
  </si>
  <si>
    <t>TX-1520</t>
  </si>
  <si>
    <t>TX-1000</t>
  </si>
  <si>
    <t>TX-1002</t>
  </si>
  <si>
    <t>TX-1001</t>
  </si>
  <si>
    <t>TX-1552</t>
  </si>
  <si>
    <t>TX-1553</t>
  </si>
  <si>
    <t>TX-1554</t>
  </si>
  <si>
    <t>TX-1555</t>
  </si>
  <si>
    <t>TX-1556</t>
  </si>
  <si>
    <t>TX-1557</t>
  </si>
  <si>
    <t>TX-1558</t>
  </si>
  <si>
    <t>TX-1559</t>
  </si>
  <si>
    <t>TX-1560</t>
  </si>
  <si>
    <t>TX-1561</t>
  </si>
  <si>
    <t>TX-1562</t>
  </si>
  <si>
    <t>TX-1568</t>
  </si>
  <si>
    <t>TX-1567</t>
  </si>
  <si>
    <t>TX-1566</t>
  </si>
  <si>
    <t>TX-1565</t>
  </si>
  <si>
    <t>TX-1564</t>
  </si>
  <si>
    <t>TX-1563</t>
  </si>
  <si>
    <t>TX-1569</t>
  </si>
  <si>
    <t>TX-1570</t>
  </si>
  <si>
    <t>TX-1571</t>
  </si>
  <si>
    <t>TX-1572</t>
  </si>
  <si>
    <t>TX-1573</t>
  </si>
  <si>
    <t>TX-1574</t>
  </si>
  <si>
    <t>TX-1575</t>
  </si>
  <si>
    <t>TX-1576</t>
  </si>
  <si>
    <t>TX-1577</t>
  </si>
  <si>
    <t>TX-1578</t>
  </si>
  <si>
    <t>TX-1579</t>
  </si>
  <si>
    <t>TX-1581</t>
  </si>
  <si>
    <t>TX-1580</t>
  </si>
  <si>
    <t>TX-1582</t>
  </si>
  <si>
    <t>TX-1583</t>
  </si>
  <si>
    <t>TX-1584</t>
  </si>
  <si>
    <t>TX-1585</t>
  </si>
  <si>
    <t>TX-1586</t>
  </si>
  <si>
    <t>TX-1587</t>
  </si>
  <si>
    <t>TX-1588</t>
  </si>
  <si>
    <t>TX-1589</t>
  </si>
  <si>
    <t>TX-1590</t>
  </si>
  <si>
    <t>TX-1591</t>
  </si>
  <si>
    <t>TX-1592</t>
  </si>
  <si>
    <t>TX-1593</t>
  </si>
  <si>
    <t>TX-1594</t>
  </si>
  <si>
    <t>TX-1595</t>
  </si>
  <si>
    <t>TX-1597</t>
  </si>
  <si>
    <t>TX-1596</t>
  </si>
  <si>
    <t>TX-1598</t>
  </si>
  <si>
    <t>TX-1599</t>
  </si>
  <si>
    <t>TX-1600</t>
  </si>
  <si>
    <t>TX-1601</t>
  </si>
  <si>
    <t>TX-1602</t>
  </si>
  <si>
    <t>TX-1603</t>
  </si>
  <si>
    <t>TX-1604</t>
  </si>
  <si>
    <t>TX-1605</t>
  </si>
  <si>
    <t>TX-1606</t>
  </si>
  <si>
    <t>TX-1607</t>
  </si>
  <si>
    <t>TX-1608</t>
  </si>
  <si>
    <t>TX-1609</t>
  </si>
  <si>
    <t>TX-1610</t>
  </si>
  <si>
    <t>2026-05-14 12:49:44</t>
  </si>
  <si>
    <t>2026-05-14 12:51:46</t>
  </si>
  <si>
    <t>2026-05-14 12:53:35</t>
  </si>
  <si>
    <t>2026-05-14 12:54:32</t>
  </si>
  <si>
    <t>2026-05-14 13:43:56</t>
  </si>
  <si>
    <t>2026-05-15 08:18:09</t>
  </si>
  <si>
    <t>2026-05-16 15:04:01</t>
  </si>
  <si>
    <t>2026-05-18 08:40:24</t>
  </si>
  <si>
    <t>2026-05-21 15:43:57</t>
  </si>
  <si>
    <t>2026-05-23 19:22:45</t>
  </si>
  <si>
    <t>2026-05-27 11:05:33</t>
  </si>
  <si>
    <t>2026-05-30 20:49:08</t>
  </si>
  <si>
    <t>2026-05-30 13:38:23</t>
  </si>
  <si>
    <t>2026-05-30 13:36:51</t>
  </si>
  <si>
    <t>2026-05-30 13:20:17</t>
  </si>
  <si>
    <t>2026-05-30 13:19:44</t>
  </si>
  <si>
    <t>2026-05-30 06:33:16</t>
  </si>
  <si>
    <t>2026-06-03 19:41:34</t>
  </si>
  <si>
    <t>2026-06-04 18:32:47</t>
  </si>
  <si>
    <t>2026-06-06 09:36:53</t>
  </si>
  <si>
    <t>2026-06-07 16:19:31</t>
  </si>
  <si>
    <t>2026-06-10 23:23:34</t>
  </si>
  <si>
    <t>2026-06-11 10:53:45</t>
  </si>
  <si>
    <t>2026-06-19 16:17:24</t>
  </si>
  <si>
    <t>2026-06-19 16:17:40</t>
  </si>
  <si>
    <t>2026-06-19 16:57:46</t>
  </si>
  <si>
    <t>2026-06-20 12:50:08</t>
  </si>
  <si>
    <t>2026-06-20 12:51:29</t>
  </si>
  <si>
    <t>2026-06-23 14:55:24</t>
  </si>
  <si>
    <t>2026-06-23 13:12:17</t>
  </si>
  <si>
    <t>2026-06-24 11:23:07</t>
  </si>
  <si>
    <t>2026-06-25 11:18:16</t>
  </si>
  <si>
    <t>2026-06-25 11:19:11</t>
  </si>
  <si>
    <t>2026-06-25 11:19:29</t>
  </si>
  <si>
    <t>2026-06-25 11:20:55</t>
  </si>
  <si>
    <t>2026-06-28 11:01:44</t>
  </si>
  <si>
    <t>2026-06-28 17:19:07</t>
  </si>
  <si>
    <t>2026-06-30 17:27:03</t>
  </si>
  <si>
    <t>2026-07-01 13:28:03</t>
  </si>
  <si>
    <t>2026-07-01 13:28:24</t>
  </si>
  <si>
    <t>2026-07-01 15:05:55</t>
  </si>
  <si>
    <t>2026-07-01 19:39:57</t>
  </si>
  <si>
    <t>2026-07-02 18:02:54</t>
  </si>
  <si>
    <t>2026-07-05 16:58:18</t>
  </si>
  <si>
    <t>2026-07-06 17:16:31</t>
  </si>
  <si>
    <t>2026-07-06 17:15:43</t>
  </si>
  <si>
    <t>2026-07-09 08:01:36</t>
  </si>
  <si>
    <t>2026-07-13 16:54:10</t>
  </si>
  <si>
    <t>2026-07-16 17:36:12</t>
  </si>
  <si>
    <t>2026-07-16 17:37:31</t>
  </si>
  <si>
    <t>2026-07-16 17:38:09</t>
  </si>
  <si>
    <t>2026-07-19 10:25:11</t>
  </si>
  <si>
    <t>2026-07-19 10:26:46</t>
  </si>
  <si>
    <t>2026-07-21 13:14:23</t>
  </si>
  <si>
    <t>2026-07-21 13:14:55</t>
  </si>
  <si>
    <t>2026-07-25 16:17:47</t>
  </si>
  <si>
    <t>2026-07-25 16:19:19</t>
  </si>
  <si>
    <t>2026-07-25 16:19:54</t>
  </si>
  <si>
    <t>2026-07-25 16:28:28</t>
  </si>
  <si>
    <t>ID 🔒</t>
  </si>
  <si>
    <t>BaseAmount 🔒</t>
  </si>
  <si>
    <t>CreatedAt 🔒</t>
  </si>
  <si>
    <t>Name</t>
  </si>
  <si>
    <t>OpeningBalance</t>
  </si>
  <si>
    <t>IsArchived</t>
  </si>
  <si>
    <t>_MongoID</t>
  </si>
  <si>
    <t>Lightyear TBSZ</t>
  </si>
  <si>
    <t>Bank</t>
  </si>
  <si>
    <t>6a04c8576297c4682dd5cacc</t>
  </si>
  <si>
    <t>6a04c8576297c4682dd5cacf</t>
  </si>
  <si>
    <t>6a04c8586297c4682dd5cad4</t>
  </si>
  <si>
    <t>6a04c8636297c4682dd5cbb2</t>
  </si>
  <si>
    <t>6a04c8666297c4682dd5cbf2</t>
  </si>
  <si>
    <t>6a04c8686297c4682dd5cc24</t>
  </si>
  <si>
    <t>6a04c8716297c4682dd5ccbf</t>
  </si>
  <si>
    <t>6a04c8726297c4682dd5cce4</t>
  </si>
  <si>
    <t>6a04c8726297c4682dd5cce6</t>
  </si>
  <si>
    <t>6a04c8736297c4682dd5ccee</t>
  </si>
  <si>
    <t>6a04c8736297c4682dd5ccf3</t>
  </si>
  <si>
    <t>6a04c8746297c4682dd5cd05</t>
  </si>
  <si>
    <t>6a04c8746297c4682dd5cd0a</t>
  </si>
  <si>
    <t>_MongoID 🔒</t>
  </si>
  <si>
    <t>Target</t>
  </si>
  <si>
    <t>Period</t>
  </si>
  <si>
    <t>Deadline</t>
  </si>
  <si>
    <t>Élelmiszer</t>
  </si>
  <si>
    <t>Szórakozás</t>
  </si>
  <si>
    <t>Budget</t>
  </si>
  <si>
    <t>Goal</t>
  </si>
  <si>
    <t>Monthly</t>
  </si>
  <si>
    <t>6a05bfb43fc100a238d0b0df</t>
  </si>
  <si>
    <t>6a05c55603740ac92d5c4e54</t>
  </si>
  <si>
    <t>6a05c5b803740ac92d5c4e56</t>
  </si>
  <si>
    <t>People</t>
  </si>
  <si>
    <t>Categories</t>
  </si>
  <si>
    <t>Merchants</t>
  </si>
  <si>
    <t>Tags</t>
  </si>
  <si>
    <t>Lidl</t>
  </si>
  <si>
    <t>Netflix</t>
  </si>
  <si>
    <t>Spotify</t>
  </si>
  <si>
    <t>Amazon</t>
  </si>
  <si>
    <t>Nyaralás</t>
  </si>
  <si>
    <t>Munka</t>
  </si>
  <si>
    <t>LookupKey</t>
  </si>
  <si>
    <t>Rate_to_HUF</t>
  </si>
  <si>
    <t>2026-05-13AUD</t>
  </si>
  <si>
    <t>2026-05-13BRL</t>
  </si>
  <si>
    <t>2026-05-13CAD</t>
  </si>
  <si>
    <t>2026-05-13CHF</t>
  </si>
  <si>
    <t>2026-05-13CNY</t>
  </si>
  <si>
    <t>2026-05-13CZK</t>
  </si>
  <si>
    <t>2026-05-13DKK</t>
  </si>
  <si>
    <t>2026-05-13GBP</t>
  </si>
  <si>
    <t>2026-05-13HKD</t>
  </si>
  <si>
    <t>2026-05-13IDR</t>
  </si>
  <si>
    <t>2026-05-13ILS</t>
  </si>
  <si>
    <t>2026-05-13INR</t>
  </si>
  <si>
    <t>2026-05-13ISK</t>
  </si>
  <si>
    <t>2026-05-13JPY</t>
  </si>
  <si>
    <t>2026-05-13KRW</t>
  </si>
  <si>
    <t>2026-05-13MXN</t>
  </si>
  <si>
    <t>2026-05-13MYR</t>
  </si>
  <si>
    <t>2026-05-13NOK</t>
  </si>
  <si>
    <t>2026-05-13NZD</t>
  </si>
  <si>
    <t>2026-05-13PHP</t>
  </si>
  <si>
    <t>2026-05-13PLN</t>
  </si>
  <si>
    <t>2026-05-13RON</t>
  </si>
  <si>
    <t>2026-05-13SEK</t>
  </si>
  <si>
    <t>2026-05-13SGD</t>
  </si>
  <si>
    <t>2026-05-13THB</t>
  </si>
  <si>
    <t>2026-05-13TRY</t>
  </si>
  <si>
    <t>2026-05-13USD</t>
  </si>
  <si>
    <t>2026-05-13ZAR</t>
  </si>
  <si>
    <t>2026-05-13EUR</t>
  </si>
  <si>
    <t>2026-05-14AUD</t>
  </si>
  <si>
    <t>2026-05-14BRL</t>
  </si>
  <si>
    <t>2026-05-14CAD</t>
  </si>
  <si>
    <t>2026-05-14CHF</t>
  </si>
  <si>
    <t>2026-05-14CNY</t>
  </si>
  <si>
    <t>2026-05-14CZK</t>
  </si>
  <si>
    <t>2026-05-14DKK</t>
  </si>
  <si>
    <t>2026-05-14GBP</t>
  </si>
  <si>
    <t>2026-05-14HKD</t>
  </si>
  <si>
    <t>2026-05-14IDR</t>
  </si>
  <si>
    <t>2026-05-14ILS</t>
  </si>
  <si>
    <t>2026-05-14INR</t>
  </si>
  <si>
    <t>2026-05-14ISK</t>
  </si>
  <si>
    <t>2026-05-14JPY</t>
  </si>
  <si>
    <t>2026-05-14KRW</t>
  </si>
  <si>
    <t>2026-05-14MXN</t>
  </si>
  <si>
    <t>2026-05-14MYR</t>
  </si>
  <si>
    <t>2026-05-14NOK</t>
  </si>
  <si>
    <t>2026-05-14NZD</t>
  </si>
  <si>
    <t>2026-05-14PHP</t>
  </si>
  <si>
    <t>2026-05-14PLN</t>
  </si>
  <si>
    <t>2026-05-14RON</t>
  </si>
  <si>
    <t>2026-05-14SEK</t>
  </si>
  <si>
    <t>2026-05-14SGD</t>
  </si>
  <si>
    <t>2026-05-14THB</t>
  </si>
  <si>
    <t>2026-05-14TRY</t>
  </si>
  <si>
    <t>2026-05-14USD</t>
  </si>
  <si>
    <t>2026-05-14ZAR</t>
  </si>
  <si>
    <t>2026-05-14EUR</t>
  </si>
  <si>
    <t>2026-05-15EUR</t>
  </si>
  <si>
    <t>2026-05-15AED</t>
  </si>
  <si>
    <t>2026-05-15AFN</t>
  </si>
  <si>
    <t>2026-05-15ALL</t>
  </si>
  <si>
    <t>2026-05-15AMD</t>
  </si>
  <si>
    <t>2026-05-15ANG</t>
  </si>
  <si>
    <t>2026-05-15AOA</t>
  </si>
  <si>
    <t>2026-05-15ARS</t>
  </si>
  <si>
    <t>2026-05-15AUD</t>
  </si>
  <si>
    <t>2026-05-15AWG</t>
  </si>
  <si>
    <t>2026-05-15AZN</t>
  </si>
  <si>
    <t>2026-05-15BAM</t>
  </si>
  <si>
    <t>2026-05-15BBD</t>
  </si>
  <si>
    <t>2026-05-15BDT</t>
  </si>
  <si>
    <t>2026-05-15BGN</t>
  </si>
  <si>
    <t>2026-05-15BHD</t>
  </si>
  <si>
    <t>2026-05-15BIF</t>
  </si>
  <si>
    <t>2026-05-15BMD</t>
  </si>
  <si>
    <t>2026-05-15BND</t>
  </si>
  <si>
    <t>2026-05-15BOB</t>
  </si>
  <si>
    <t>2026-05-15BRL</t>
  </si>
  <si>
    <t>2026-05-15BSD</t>
  </si>
  <si>
    <t>2026-05-15BTN</t>
  </si>
  <si>
    <t>2026-05-15BWP</t>
  </si>
  <si>
    <t>2026-05-15BYN</t>
  </si>
  <si>
    <t>2026-05-15BZD</t>
  </si>
  <si>
    <t>2026-05-15CAD</t>
  </si>
  <si>
    <t>2026-05-15CDF</t>
  </si>
  <si>
    <t>2026-05-15CHF</t>
  </si>
  <si>
    <t>2026-05-15CLF</t>
  </si>
  <si>
    <t>2026-05-15CLP</t>
  </si>
  <si>
    <t>2026-05-15CNH</t>
  </si>
  <si>
    <t>2026-05-15CNY</t>
  </si>
  <si>
    <t>2026-05-15COP</t>
  </si>
  <si>
    <t>2026-05-15CRC</t>
  </si>
  <si>
    <t>2026-05-15CUP</t>
  </si>
  <si>
    <t>2026-05-15CVE</t>
  </si>
  <si>
    <t>2026-05-15CZK</t>
  </si>
  <si>
    <t>2026-05-15DJF</t>
  </si>
  <si>
    <t>2026-05-15DKK</t>
  </si>
  <si>
    <t>2026-05-15DOP</t>
  </si>
  <si>
    <t>2026-05-15DZD</t>
  </si>
  <si>
    <t>2026-05-15EGP</t>
  </si>
  <si>
    <t>2026-05-15ERN</t>
  </si>
  <si>
    <t>2026-05-15ETB</t>
  </si>
  <si>
    <t>2026-05-15FJD</t>
  </si>
  <si>
    <t>2026-05-15FKP</t>
  </si>
  <si>
    <t>2026-05-15FOK</t>
  </si>
  <si>
    <t>2026-05-15GBP</t>
  </si>
  <si>
    <t>2026-05-15GEL</t>
  </si>
  <si>
    <t>2026-05-15GGP</t>
  </si>
  <si>
    <t>2026-05-15GHS</t>
  </si>
  <si>
    <t>2026-05-15GIP</t>
  </si>
  <si>
    <t>2026-05-15GMD</t>
  </si>
  <si>
    <t>2026-05-15GNF</t>
  </si>
  <si>
    <t>2026-05-15GTQ</t>
  </si>
  <si>
    <t>2026-05-15GYD</t>
  </si>
  <si>
    <t>2026-05-15HKD</t>
  </si>
  <si>
    <t>2026-05-15HNL</t>
  </si>
  <si>
    <t>2026-05-15HRK</t>
  </si>
  <si>
    <t>2026-05-15HTG</t>
  </si>
  <si>
    <t>2026-05-15IDR</t>
  </si>
  <si>
    <t>2026-05-15ILS</t>
  </si>
  <si>
    <t>2026-05-15IMP</t>
  </si>
  <si>
    <t>2026-05-15INR</t>
  </si>
  <si>
    <t>2026-05-15IQD</t>
  </si>
  <si>
    <t>2026-05-15IRR</t>
  </si>
  <si>
    <t>2026-05-15ISK</t>
  </si>
  <si>
    <t>2026-05-15JEP</t>
  </si>
  <si>
    <t>2026-05-15JMD</t>
  </si>
  <si>
    <t>2026-05-15JOD</t>
  </si>
  <si>
    <t>2026-05-15JPY</t>
  </si>
  <si>
    <t>2026-05-15KES</t>
  </si>
  <si>
    <t>2026-05-15KGS</t>
  </si>
  <si>
    <t>2026-05-15KHR</t>
  </si>
  <si>
    <t>2026-05-15KID</t>
  </si>
  <si>
    <t>2026-05-15KMF</t>
  </si>
  <si>
    <t>2026-05-15KRW</t>
  </si>
  <si>
    <t>2026-05-15KWD</t>
  </si>
  <si>
    <t>2026-05-15KYD</t>
  </si>
  <si>
    <t>2026-05-15KZT</t>
  </si>
  <si>
    <t>2026-05-15LAK</t>
  </si>
  <si>
    <t>2026-05-15LBP</t>
  </si>
  <si>
    <t>2026-05-15LKR</t>
  </si>
  <si>
    <t>2026-05-15LRD</t>
  </si>
  <si>
    <t>2026-05-15LSL</t>
  </si>
  <si>
    <t>2026-05-15LYD</t>
  </si>
  <si>
    <t>2026-05-15MAD</t>
  </si>
  <si>
    <t>2026-05-15MDL</t>
  </si>
  <si>
    <t>2026-05-15MGA</t>
  </si>
  <si>
    <t>2026-05-15MKD</t>
  </si>
  <si>
    <t>2026-05-15MMK</t>
  </si>
  <si>
    <t>2026-05-15MNT</t>
  </si>
  <si>
    <t>2026-05-15MOP</t>
  </si>
  <si>
    <t>2026-05-15MRU</t>
  </si>
  <si>
    <t>2026-05-15MUR</t>
  </si>
  <si>
    <t>2026-05-15MVR</t>
  </si>
  <si>
    <t>2026-05-15MWK</t>
  </si>
  <si>
    <t>2026-05-15MXN</t>
  </si>
  <si>
    <t>2026-05-15MYR</t>
  </si>
  <si>
    <t>2026-05-15MZN</t>
  </si>
  <si>
    <t>2026-05-15NAD</t>
  </si>
  <si>
    <t>2026-05-15NGN</t>
  </si>
  <si>
    <t>2026-05-15NIO</t>
  </si>
  <si>
    <t>2026-05-15NOK</t>
  </si>
  <si>
    <t>2026-05-15NPR</t>
  </si>
  <si>
    <t>2026-05-15NZD</t>
  </si>
  <si>
    <t>2026-05-15OMR</t>
  </si>
  <si>
    <t>2026-05-15PAB</t>
  </si>
  <si>
    <t>2026-05-15PEN</t>
  </si>
  <si>
    <t>2026-05-15PGK</t>
  </si>
  <si>
    <t>2026-05-15PHP</t>
  </si>
  <si>
    <t>2026-05-15PKR</t>
  </si>
  <si>
    <t>2026-05-15PLN</t>
  </si>
  <si>
    <t>2026-05-15PYG</t>
  </si>
  <si>
    <t>2026-05-15QAR</t>
  </si>
  <si>
    <t>2026-05-15RON</t>
  </si>
  <si>
    <t>2026-05-15RSD</t>
  </si>
  <si>
    <t>2026-05-15RUB</t>
  </si>
  <si>
    <t>2026-05-15RWF</t>
  </si>
  <si>
    <t>2026-05-15SAR</t>
  </si>
  <si>
    <t>2026-05-15SBD</t>
  </si>
  <si>
    <t>2026-05-15SCR</t>
  </si>
  <si>
    <t>2026-05-15SDG</t>
  </si>
  <si>
    <t>2026-05-15SEK</t>
  </si>
  <si>
    <t>2026-05-15SGD</t>
  </si>
  <si>
    <t>2026-05-15SHP</t>
  </si>
  <si>
    <t>2026-05-15SLE</t>
  </si>
  <si>
    <t>2026-05-15SLL</t>
  </si>
  <si>
    <t>2026-05-15SOS</t>
  </si>
  <si>
    <t>2026-05-15SRD</t>
  </si>
  <si>
    <t>2026-05-15SSP</t>
  </si>
  <si>
    <t>2026-05-15STN</t>
  </si>
  <si>
    <t>2026-05-15SYP</t>
  </si>
  <si>
    <t>2026-05-15SZL</t>
  </si>
  <si>
    <t>2026-05-15THB</t>
  </si>
  <si>
    <t>2026-05-15TJS</t>
  </si>
  <si>
    <t>2026-05-15TMT</t>
  </si>
  <si>
    <t>2026-05-15TND</t>
  </si>
  <si>
    <t>2026-05-15TOP</t>
  </si>
  <si>
    <t>2026-05-15TRY</t>
  </si>
  <si>
    <t>2026-05-15TTD</t>
  </si>
  <si>
    <t>2026-05-15TVD</t>
  </si>
  <si>
    <t>2026-05-15TWD</t>
  </si>
  <si>
    <t>2026-05-15TZS</t>
  </si>
  <si>
    <t>2026-05-15UAH</t>
  </si>
  <si>
    <t>2026-05-15UGX</t>
  </si>
  <si>
    <t>2026-05-15USD</t>
  </si>
  <si>
    <t>2026-05-15UYU</t>
  </si>
  <si>
    <t>2026-05-15UZS</t>
  </si>
  <si>
    <t>2026-05-15VES</t>
  </si>
  <si>
    <t>2026-05-15VND</t>
  </si>
  <si>
    <t>2026-05-15VUV</t>
  </si>
  <si>
    <t>2026-05-15WST</t>
  </si>
  <si>
    <t>2026-05-15XAF</t>
  </si>
  <si>
    <t>2026-05-15XCD</t>
  </si>
  <si>
    <t>2026-05-15XCG</t>
  </si>
  <si>
    <t>2026-05-15XDR</t>
  </si>
  <si>
    <t>2026-05-15XOF</t>
  </si>
  <si>
    <t>2026-05-15XPF</t>
  </si>
  <si>
    <t>2026-05-15YER</t>
  </si>
  <si>
    <t>2026-05-15ZAR</t>
  </si>
  <si>
    <t>2026-05-15ZMW</t>
  </si>
  <si>
    <t>2026-05-15ZWG</t>
  </si>
  <si>
    <t>2026-05-15ZWL</t>
  </si>
  <si>
    <t>2026-05-16EUR</t>
  </si>
  <si>
    <t>2026-05-16AED</t>
  </si>
  <si>
    <t>2026-05-16AFN</t>
  </si>
  <si>
    <t>2026-05-16ALL</t>
  </si>
  <si>
    <t>2026-05-16AMD</t>
  </si>
  <si>
    <t>2026-05-16ANG</t>
  </si>
  <si>
    <t>2026-05-16AOA</t>
  </si>
  <si>
    <t>2026-05-16ARS</t>
  </si>
  <si>
    <t>2026-05-16AUD</t>
  </si>
  <si>
    <t>2026-05-16AWG</t>
  </si>
  <si>
    <t>2026-05-16AZN</t>
  </si>
  <si>
    <t>2026-05-16BAM</t>
  </si>
  <si>
    <t>2026-05-16BBD</t>
  </si>
  <si>
    <t>2026-05-16BDT</t>
  </si>
  <si>
    <t>2026-05-16BGN</t>
  </si>
  <si>
    <t>2026-05-16BHD</t>
  </si>
  <si>
    <t>2026-05-16BIF</t>
  </si>
  <si>
    <t>2026-05-16BMD</t>
  </si>
  <si>
    <t>2026-05-16BND</t>
  </si>
  <si>
    <t>2026-05-16BOB</t>
  </si>
  <si>
    <t>2026-05-16BRL</t>
  </si>
  <si>
    <t>2026-05-16BSD</t>
  </si>
  <si>
    <t>2026-05-16BTN</t>
  </si>
  <si>
    <t>2026-05-16BWP</t>
  </si>
  <si>
    <t>2026-05-16BYN</t>
  </si>
  <si>
    <t>2026-05-16BZD</t>
  </si>
  <si>
    <t>2026-05-16CAD</t>
  </si>
  <si>
    <t>2026-05-16CDF</t>
  </si>
  <si>
    <t>2026-05-16CHF</t>
  </si>
  <si>
    <t>2026-05-16CLF</t>
  </si>
  <si>
    <t>2026-05-16CLP</t>
  </si>
  <si>
    <t>2026-05-16CNH</t>
  </si>
  <si>
    <t>2026-05-16CNY</t>
  </si>
  <si>
    <t>2026-05-16COP</t>
  </si>
  <si>
    <t>2026-05-16CRC</t>
  </si>
  <si>
    <t>2026-05-16CUP</t>
  </si>
  <si>
    <t>2026-05-16CVE</t>
  </si>
  <si>
    <t>2026-05-16CZK</t>
  </si>
  <si>
    <t>2026-05-16DJF</t>
  </si>
  <si>
    <t>2026-05-16DKK</t>
  </si>
  <si>
    <t>2026-05-16DOP</t>
  </si>
  <si>
    <t>2026-05-16DZD</t>
  </si>
  <si>
    <t>2026-05-16EGP</t>
  </si>
  <si>
    <t>2026-05-16ERN</t>
  </si>
  <si>
    <t>2026-05-16ETB</t>
  </si>
  <si>
    <t>2026-05-16FJD</t>
  </si>
  <si>
    <t>2026-05-16FKP</t>
  </si>
  <si>
    <t>2026-05-16FOK</t>
  </si>
  <si>
    <t>2026-05-16GBP</t>
  </si>
  <si>
    <t>2026-05-16GEL</t>
  </si>
  <si>
    <t>2026-05-16GGP</t>
  </si>
  <si>
    <t>2026-05-16GHS</t>
  </si>
  <si>
    <t>2026-05-16GIP</t>
  </si>
  <si>
    <t>2026-05-16GMD</t>
  </si>
  <si>
    <t>2026-05-16GNF</t>
  </si>
  <si>
    <t>2026-05-16GTQ</t>
  </si>
  <si>
    <t>2026-05-16GYD</t>
  </si>
  <si>
    <t>2026-05-16HKD</t>
  </si>
  <si>
    <t>2026-05-16HNL</t>
  </si>
  <si>
    <t>2026-05-16HRK</t>
  </si>
  <si>
    <t>2026-05-16HTG</t>
  </si>
  <si>
    <t>2026-05-16IDR</t>
  </si>
  <si>
    <t>2026-05-16ILS</t>
  </si>
  <si>
    <t>2026-05-16IMP</t>
  </si>
  <si>
    <t>2026-05-16INR</t>
  </si>
  <si>
    <t>2026-05-16IQD</t>
  </si>
  <si>
    <t>2026-05-16IRR</t>
  </si>
  <si>
    <t>2026-05-16ISK</t>
  </si>
  <si>
    <t>2026-05-16JEP</t>
  </si>
  <si>
    <t>2026-05-16JMD</t>
  </si>
  <si>
    <t>2026-05-16JOD</t>
  </si>
  <si>
    <t>2026-05-16JPY</t>
  </si>
  <si>
    <t>2026-05-16KES</t>
  </si>
  <si>
    <t>2026-05-16KGS</t>
  </si>
  <si>
    <t>2026-05-16KHR</t>
  </si>
  <si>
    <t>2026-05-16KID</t>
  </si>
  <si>
    <t>2026-05-16KMF</t>
  </si>
  <si>
    <t>2026-05-16KRW</t>
  </si>
  <si>
    <t>2026-05-16KWD</t>
  </si>
  <si>
    <t>2026-05-16KYD</t>
  </si>
  <si>
    <t>2026-05-16KZT</t>
  </si>
  <si>
    <t>2026-05-16LAK</t>
  </si>
  <si>
    <t>2026-05-16LBP</t>
  </si>
  <si>
    <t>2026-05-16LKR</t>
  </si>
  <si>
    <t>2026-05-16LRD</t>
  </si>
  <si>
    <t>2026-05-16LSL</t>
  </si>
  <si>
    <t>2026-05-16LYD</t>
  </si>
  <si>
    <t>2026-05-16MAD</t>
  </si>
  <si>
    <t>2026-05-16MDL</t>
  </si>
  <si>
    <t>2026-05-16MGA</t>
  </si>
  <si>
    <t>2026-05-16MKD</t>
  </si>
  <si>
    <t>2026-05-16MMK</t>
  </si>
  <si>
    <t>2026-05-16MNT</t>
  </si>
  <si>
    <t>2026-05-16MOP</t>
  </si>
  <si>
    <t>2026-05-16MRU</t>
  </si>
  <si>
    <t>2026-05-16MUR</t>
  </si>
  <si>
    <t>2026-05-16MVR</t>
  </si>
  <si>
    <t>2026-05-16MWK</t>
  </si>
  <si>
    <t>2026-05-16MXN</t>
  </si>
  <si>
    <t>2026-05-16MYR</t>
  </si>
  <si>
    <t>2026-05-16MZN</t>
  </si>
  <si>
    <t>2026-05-16NAD</t>
  </si>
  <si>
    <t>2026-05-16NGN</t>
  </si>
  <si>
    <t>2026-05-16NIO</t>
  </si>
  <si>
    <t>2026-05-16NOK</t>
  </si>
  <si>
    <t>2026-05-16NPR</t>
  </si>
  <si>
    <t>2026-05-16NZD</t>
  </si>
  <si>
    <t>2026-05-16OMR</t>
  </si>
  <si>
    <t>2026-05-16PAB</t>
  </si>
  <si>
    <t>2026-05-16PEN</t>
  </si>
  <si>
    <t>2026-05-16PGK</t>
  </si>
  <si>
    <t>2026-05-16PHP</t>
  </si>
  <si>
    <t>2026-05-16PKR</t>
  </si>
  <si>
    <t>2026-05-16PLN</t>
  </si>
  <si>
    <t>2026-05-16PYG</t>
  </si>
  <si>
    <t>2026-05-16QAR</t>
  </si>
  <si>
    <t>2026-05-16RON</t>
  </si>
  <si>
    <t>2026-05-16RSD</t>
  </si>
  <si>
    <t>2026-05-16RUB</t>
  </si>
  <si>
    <t>2026-05-16RWF</t>
  </si>
  <si>
    <t>2026-05-16SAR</t>
  </si>
  <si>
    <t>2026-05-16SBD</t>
  </si>
  <si>
    <t>2026-05-16SCR</t>
  </si>
  <si>
    <t>2026-05-16SDG</t>
  </si>
  <si>
    <t>2026-05-16SEK</t>
  </si>
  <si>
    <t>2026-05-16SGD</t>
  </si>
  <si>
    <t>2026-05-16SHP</t>
  </si>
  <si>
    <t>2026-05-16SLE</t>
  </si>
  <si>
    <t>2026-05-16SLL</t>
  </si>
  <si>
    <t>2026-05-16SOS</t>
  </si>
  <si>
    <t>2026-05-16SRD</t>
  </si>
  <si>
    <t>2026-05-16SSP</t>
  </si>
  <si>
    <t>2026-05-16STN</t>
  </si>
  <si>
    <t>2026-05-16SYP</t>
  </si>
  <si>
    <t>2026-05-16SZL</t>
  </si>
  <si>
    <t>2026-05-16THB</t>
  </si>
  <si>
    <t>2026-05-16TJS</t>
  </si>
  <si>
    <t>2026-05-16TMT</t>
  </si>
  <si>
    <t>2026-05-16TND</t>
  </si>
  <si>
    <t>2026-05-16TOP</t>
  </si>
  <si>
    <t>2026-05-16TRY</t>
  </si>
  <si>
    <t>2026-05-16TTD</t>
  </si>
  <si>
    <t>2026-05-16TVD</t>
  </si>
  <si>
    <t>2026-05-16TWD</t>
  </si>
  <si>
    <t>2026-05-16TZS</t>
  </si>
  <si>
    <t>2026-05-16UAH</t>
  </si>
  <si>
    <t>2026-05-16UGX</t>
  </si>
  <si>
    <t>2026-05-16USD</t>
  </si>
  <si>
    <t>2026-05-16UYU</t>
  </si>
  <si>
    <t>2026-05-16UZS</t>
  </si>
  <si>
    <t>2026-05-16VES</t>
  </si>
  <si>
    <t>2026-05-16VND</t>
  </si>
  <si>
    <t>2026-05-16VUV</t>
  </si>
  <si>
    <t>2026-05-16WST</t>
  </si>
  <si>
    <t>2026-05-16XAF</t>
  </si>
  <si>
    <t>2026-05-16XCD</t>
  </si>
  <si>
    <t>2026-05-16XCG</t>
  </si>
  <si>
    <t>2026-05-16XDR</t>
  </si>
  <si>
    <t>2026-05-16XOF</t>
  </si>
  <si>
    <t>2026-05-16XPF</t>
  </si>
  <si>
    <t>2026-05-16YER</t>
  </si>
  <si>
    <t>2026-05-16ZAR</t>
  </si>
  <si>
    <t>2026-05-16ZMW</t>
  </si>
  <si>
    <t>2026-05-16ZWG</t>
  </si>
  <si>
    <t>2026-05-16ZWL</t>
  </si>
  <si>
    <t>2026-05-18EUR</t>
  </si>
  <si>
    <t>2026-05-18AED</t>
  </si>
  <si>
    <t>2026-05-18AFN</t>
  </si>
  <si>
    <t>2026-05-18ALL</t>
  </si>
  <si>
    <t>2026-05-18AMD</t>
  </si>
  <si>
    <t>2026-05-18ANG</t>
  </si>
  <si>
    <t>2026-05-18AOA</t>
  </si>
  <si>
    <t>2026-05-18ARS</t>
  </si>
  <si>
    <t>2026-05-18AUD</t>
  </si>
  <si>
    <t>2026-05-18AWG</t>
  </si>
  <si>
    <t>2026-05-18AZN</t>
  </si>
  <si>
    <t>2026-05-18BAM</t>
  </si>
  <si>
    <t>2026-05-18BBD</t>
  </si>
  <si>
    <t>2026-05-18BDT</t>
  </si>
  <si>
    <t>2026-05-18BGN</t>
  </si>
  <si>
    <t>2026-05-18BHD</t>
  </si>
  <si>
    <t>2026-05-18BIF</t>
  </si>
  <si>
    <t>2026-05-18BMD</t>
  </si>
  <si>
    <t>2026-05-18BND</t>
  </si>
  <si>
    <t>2026-05-18BOB</t>
  </si>
  <si>
    <t>2026-05-18BRL</t>
  </si>
  <si>
    <t>2026-05-18BSD</t>
  </si>
  <si>
    <t>2026-05-18BTN</t>
  </si>
  <si>
    <t>2026-05-18BWP</t>
  </si>
  <si>
    <t>2026-05-18BYN</t>
  </si>
  <si>
    <t>2026-05-18BZD</t>
  </si>
  <si>
    <t>2026-05-18CAD</t>
  </si>
  <si>
    <t>2026-05-18CDF</t>
  </si>
  <si>
    <t>2026-05-18CHF</t>
  </si>
  <si>
    <t>2026-05-18CLF</t>
  </si>
  <si>
    <t>2026-05-18CLP</t>
  </si>
  <si>
    <t>2026-05-18CNH</t>
  </si>
  <si>
    <t>2026-05-18CNY</t>
  </si>
  <si>
    <t>2026-05-18COP</t>
  </si>
  <si>
    <t>2026-05-18CRC</t>
  </si>
  <si>
    <t>2026-05-18CUP</t>
  </si>
  <si>
    <t>2026-05-18CVE</t>
  </si>
  <si>
    <t>2026-05-18CZK</t>
  </si>
  <si>
    <t>2026-05-18DJF</t>
  </si>
  <si>
    <t>2026-05-18DKK</t>
  </si>
  <si>
    <t>2026-05-18DOP</t>
  </si>
  <si>
    <t>2026-05-18DZD</t>
  </si>
  <si>
    <t>2026-05-18EGP</t>
  </si>
  <si>
    <t>2026-05-18ERN</t>
  </si>
  <si>
    <t>2026-05-18ETB</t>
  </si>
  <si>
    <t>2026-05-18FJD</t>
  </si>
  <si>
    <t>2026-05-18FKP</t>
  </si>
  <si>
    <t>2026-05-18FOK</t>
  </si>
  <si>
    <t>2026-05-18GBP</t>
  </si>
  <si>
    <t>2026-05-18GEL</t>
  </si>
  <si>
    <t>2026-05-18GGP</t>
  </si>
  <si>
    <t>2026-05-18GHS</t>
  </si>
  <si>
    <t>2026-05-18GIP</t>
  </si>
  <si>
    <t>2026-05-18GMD</t>
  </si>
  <si>
    <t>2026-05-18GNF</t>
  </si>
  <si>
    <t>2026-05-18GTQ</t>
  </si>
  <si>
    <t>2026-05-18GYD</t>
  </si>
  <si>
    <t>2026-05-18HKD</t>
  </si>
  <si>
    <t>2026-05-18HNL</t>
  </si>
  <si>
    <t>2026-05-18HRK</t>
  </si>
  <si>
    <t>2026-05-18HTG</t>
  </si>
  <si>
    <t>2026-05-18IDR</t>
  </si>
  <si>
    <t>2026-05-18ILS</t>
  </si>
  <si>
    <t>2026-05-18IMP</t>
  </si>
  <si>
    <t>2026-05-18INR</t>
  </si>
  <si>
    <t>2026-05-18IQD</t>
  </si>
  <si>
    <t>2026-05-18IRR</t>
  </si>
  <si>
    <t>2026-05-18ISK</t>
  </si>
  <si>
    <t>2026-05-18JEP</t>
  </si>
  <si>
    <t>2026-05-18JMD</t>
  </si>
  <si>
    <t>2026-05-18JOD</t>
  </si>
  <si>
    <t>2026-05-18JPY</t>
  </si>
  <si>
    <t>2026-05-18KES</t>
  </si>
  <si>
    <t>2026-05-18KGS</t>
  </si>
  <si>
    <t>2026-05-18KHR</t>
  </si>
  <si>
    <t>2026-05-18KID</t>
  </si>
  <si>
    <t>2026-05-18KMF</t>
  </si>
  <si>
    <t>2026-05-18KRW</t>
  </si>
  <si>
    <t>2026-05-18KWD</t>
  </si>
  <si>
    <t>2026-05-18KYD</t>
  </si>
  <si>
    <t>2026-05-18KZT</t>
  </si>
  <si>
    <t>2026-05-18LAK</t>
  </si>
  <si>
    <t>2026-05-18LBP</t>
  </si>
  <si>
    <t>2026-05-18LKR</t>
  </si>
  <si>
    <t>2026-05-18LRD</t>
  </si>
  <si>
    <t>2026-05-18LSL</t>
  </si>
  <si>
    <t>2026-05-18LYD</t>
  </si>
  <si>
    <t>2026-05-18MAD</t>
  </si>
  <si>
    <t>2026-05-18MDL</t>
  </si>
  <si>
    <t>2026-05-18MGA</t>
  </si>
  <si>
    <t>2026-05-18MKD</t>
  </si>
  <si>
    <t>2026-05-18MMK</t>
  </si>
  <si>
    <t>2026-05-18MNT</t>
  </si>
  <si>
    <t>2026-05-18MOP</t>
  </si>
  <si>
    <t>2026-05-18MRU</t>
  </si>
  <si>
    <t>2026-05-18MUR</t>
  </si>
  <si>
    <t>2026-05-18MVR</t>
  </si>
  <si>
    <t>2026-05-18MWK</t>
  </si>
  <si>
    <t>2026-05-18MXN</t>
  </si>
  <si>
    <t>2026-05-18MYR</t>
  </si>
  <si>
    <t>2026-05-18MZN</t>
  </si>
  <si>
    <t>2026-05-18NAD</t>
  </si>
  <si>
    <t>2026-05-18NGN</t>
  </si>
  <si>
    <t>2026-05-18NIO</t>
  </si>
  <si>
    <t>2026-05-18NOK</t>
  </si>
  <si>
    <t>2026-05-18NPR</t>
  </si>
  <si>
    <t>2026-05-18NZD</t>
  </si>
  <si>
    <t>2026-05-18OMR</t>
  </si>
  <si>
    <t>2026-05-18PAB</t>
  </si>
  <si>
    <t>2026-05-18PEN</t>
  </si>
  <si>
    <t>2026-05-18PGK</t>
  </si>
  <si>
    <t>2026-05-18PHP</t>
  </si>
  <si>
    <t>2026-05-18PKR</t>
  </si>
  <si>
    <t>2026-05-18PLN</t>
  </si>
  <si>
    <t>2026-05-18PYG</t>
  </si>
  <si>
    <t>2026-05-18QAR</t>
  </si>
  <si>
    <t>2026-05-18RON</t>
  </si>
  <si>
    <t>2026-05-18RSD</t>
  </si>
  <si>
    <t>2026-05-18RUB</t>
  </si>
  <si>
    <t>2026-05-18RWF</t>
  </si>
  <si>
    <t>2026-05-18SAR</t>
  </si>
  <si>
    <t>2026-05-18SBD</t>
  </si>
  <si>
    <t>2026-05-18SCR</t>
  </si>
  <si>
    <t>2026-05-18SDG</t>
  </si>
  <si>
    <t>2026-05-18SEK</t>
  </si>
  <si>
    <t>2026-05-18SGD</t>
  </si>
  <si>
    <t>2026-05-18SHP</t>
  </si>
  <si>
    <t>2026-05-18SLE</t>
  </si>
  <si>
    <t>2026-05-18SLL</t>
  </si>
  <si>
    <t>2026-05-18SOS</t>
  </si>
  <si>
    <t>2026-05-18SRD</t>
  </si>
  <si>
    <t>2026-05-18SSP</t>
  </si>
  <si>
    <t>2026-05-18STN</t>
  </si>
  <si>
    <t>2026-05-18SYP</t>
  </si>
  <si>
    <t>2026-05-18SZL</t>
  </si>
  <si>
    <t>2026-05-18THB</t>
  </si>
  <si>
    <t>2026-05-18TJS</t>
  </si>
  <si>
    <t>2026-05-18TMT</t>
  </si>
  <si>
    <t>2026-05-18TND</t>
  </si>
  <si>
    <t>2026-05-18TOP</t>
  </si>
  <si>
    <t>2026-05-18TRY</t>
  </si>
  <si>
    <t>2026-05-18TTD</t>
  </si>
  <si>
    <t>2026-05-18TVD</t>
  </si>
  <si>
    <t>2026-05-18TWD</t>
  </si>
  <si>
    <t>2026-05-18TZS</t>
  </si>
  <si>
    <t>2026-05-18UAH</t>
  </si>
  <si>
    <t>2026-05-18UGX</t>
  </si>
  <si>
    <t>2026-05-18USD</t>
  </si>
  <si>
    <t>2026-05-18UYU</t>
  </si>
  <si>
    <t>2026-05-18UZS</t>
  </si>
  <si>
    <t>2026-05-18VES</t>
  </si>
  <si>
    <t>2026-05-18VND</t>
  </si>
  <si>
    <t>2026-05-18VUV</t>
  </si>
  <si>
    <t>2026-05-18WST</t>
  </si>
  <si>
    <t>2026-05-18XAF</t>
  </si>
  <si>
    <t>2026-05-18XCD</t>
  </si>
  <si>
    <t>2026-05-18XCG</t>
  </si>
  <si>
    <t>2026-05-18XDR</t>
  </si>
  <si>
    <t>2026-05-18XOF</t>
  </si>
  <si>
    <t>2026-05-18XPF</t>
  </si>
  <si>
    <t>2026-05-18YER</t>
  </si>
  <si>
    <t>2026-05-18ZAR</t>
  </si>
  <si>
    <t>2026-05-18ZMW</t>
  </si>
  <si>
    <t>2026-05-18ZWG</t>
  </si>
  <si>
    <t>2026-05-18ZWL</t>
  </si>
  <si>
    <t>2026-05-19EUR</t>
  </si>
  <si>
    <t>2026-05-19AED</t>
  </si>
  <si>
    <t>2026-05-19AFN</t>
  </si>
  <si>
    <t>2026-05-19ALL</t>
  </si>
  <si>
    <t>2026-05-19AMD</t>
  </si>
  <si>
    <t>2026-05-19ANG</t>
  </si>
  <si>
    <t>2026-05-19AOA</t>
  </si>
  <si>
    <t>2026-05-19ARS</t>
  </si>
  <si>
    <t>2026-05-19AUD</t>
  </si>
  <si>
    <t>2026-05-19AWG</t>
  </si>
  <si>
    <t>2026-05-19AZN</t>
  </si>
  <si>
    <t>2026-05-19BAM</t>
  </si>
  <si>
    <t>2026-05-19BBD</t>
  </si>
  <si>
    <t>2026-05-19BDT</t>
  </si>
  <si>
    <t>2026-05-19BGN</t>
  </si>
  <si>
    <t>2026-05-19BHD</t>
  </si>
  <si>
    <t>2026-05-19BIF</t>
  </si>
  <si>
    <t>2026-05-19BMD</t>
  </si>
  <si>
    <t>2026-05-19BND</t>
  </si>
  <si>
    <t>2026-05-19BOB</t>
  </si>
  <si>
    <t>2026-05-19BRL</t>
  </si>
  <si>
    <t>2026-05-19BSD</t>
  </si>
  <si>
    <t>2026-05-19BTN</t>
  </si>
  <si>
    <t>2026-05-19BWP</t>
  </si>
  <si>
    <t>2026-05-19BYN</t>
  </si>
  <si>
    <t>2026-05-19BZD</t>
  </si>
  <si>
    <t>2026-05-19CAD</t>
  </si>
  <si>
    <t>2026-05-19CDF</t>
  </si>
  <si>
    <t>2026-05-19CHF</t>
  </si>
  <si>
    <t>2026-05-19CLF</t>
  </si>
  <si>
    <t>2026-05-19CLP</t>
  </si>
  <si>
    <t>2026-05-19CNH</t>
  </si>
  <si>
    <t>2026-05-19CNY</t>
  </si>
  <si>
    <t>2026-05-19COP</t>
  </si>
  <si>
    <t>2026-05-19CRC</t>
  </si>
  <si>
    <t>2026-05-19CUP</t>
  </si>
  <si>
    <t>2026-05-19CVE</t>
  </si>
  <si>
    <t>2026-05-19CZK</t>
  </si>
  <si>
    <t>2026-05-19DJF</t>
  </si>
  <si>
    <t>2026-05-19DKK</t>
  </si>
  <si>
    <t>2026-05-19DOP</t>
  </si>
  <si>
    <t>2026-05-19DZD</t>
  </si>
  <si>
    <t>2026-05-19EGP</t>
  </si>
  <si>
    <t>2026-05-19ERN</t>
  </si>
  <si>
    <t>2026-05-19ETB</t>
  </si>
  <si>
    <t>2026-05-19FJD</t>
  </si>
  <si>
    <t>2026-05-19FKP</t>
  </si>
  <si>
    <t>2026-05-19FOK</t>
  </si>
  <si>
    <t>2026-05-19GBP</t>
  </si>
  <si>
    <t>2026-05-19GEL</t>
  </si>
  <si>
    <t>2026-05-19GGP</t>
  </si>
  <si>
    <t>2026-05-19GHS</t>
  </si>
  <si>
    <t>2026-05-19GIP</t>
  </si>
  <si>
    <t>2026-05-19GMD</t>
  </si>
  <si>
    <t>2026-05-19GNF</t>
  </si>
  <si>
    <t>2026-05-19GTQ</t>
  </si>
  <si>
    <t>2026-05-19GYD</t>
  </si>
  <si>
    <t>2026-05-19HKD</t>
  </si>
  <si>
    <t>2026-05-19HNL</t>
  </si>
  <si>
    <t>2026-05-19HRK</t>
  </si>
  <si>
    <t>2026-05-19HTG</t>
  </si>
  <si>
    <t>2026-05-19IDR</t>
  </si>
  <si>
    <t>2026-05-19ILS</t>
  </si>
  <si>
    <t>2026-05-19IMP</t>
  </si>
  <si>
    <t>2026-05-19INR</t>
  </si>
  <si>
    <t>2026-05-19IQD</t>
  </si>
  <si>
    <t>2026-05-19IRR</t>
  </si>
  <si>
    <t>2026-05-19ISK</t>
  </si>
  <si>
    <t>2026-05-19JEP</t>
  </si>
  <si>
    <t>2026-05-19JMD</t>
  </si>
  <si>
    <t>2026-05-19JOD</t>
  </si>
  <si>
    <t>2026-05-19JPY</t>
  </si>
  <si>
    <t>2026-05-19KES</t>
  </si>
  <si>
    <t>2026-05-19KGS</t>
  </si>
  <si>
    <t>2026-05-19KHR</t>
  </si>
  <si>
    <t>2026-05-19KID</t>
  </si>
  <si>
    <t>2026-05-19KMF</t>
  </si>
  <si>
    <t>2026-05-19KRW</t>
  </si>
  <si>
    <t>2026-05-19KWD</t>
  </si>
  <si>
    <t>2026-05-19KYD</t>
  </si>
  <si>
    <t>2026-05-19KZT</t>
  </si>
  <si>
    <t>2026-05-19LAK</t>
  </si>
  <si>
    <t>2026-05-19LBP</t>
  </si>
  <si>
    <t>2026-05-19LKR</t>
  </si>
  <si>
    <t>2026-05-19LRD</t>
  </si>
  <si>
    <t>2026-05-19LSL</t>
  </si>
  <si>
    <t>2026-05-19LYD</t>
  </si>
  <si>
    <t>2026-05-19MAD</t>
  </si>
  <si>
    <t>2026-05-19MDL</t>
  </si>
  <si>
    <t>2026-05-19MGA</t>
  </si>
  <si>
    <t>2026-05-19MKD</t>
  </si>
  <si>
    <t>2026-05-19MMK</t>
  </si>
  <si>
    <t>2026-05-19MNT</t>
  </si>
  <si>
    <t>2026-05-19MOP</t>
  </si>
  <si>
    <t>2026-05-19MRU</t>
  </si>
  <si>
    <t>2026-05-19MUR</t>
  </si>
  <si>
    <t>2026-05-19MVR</t>
  </si>
  <si>
    <t>2026-05-19MWK</t>
  </si>
  <si>
    <t>2026-05-19MXN</t>
  </si>
  <si>
    <t>2026-05-19MYR</t>
  </si>
  <si>
    <t>2026-05-19MZN</t>
  </si>
  <si>
    <t>2026-05-19NAD</t>
  </si>
  <si>
    <t>2026-05-19NGN</t>
  </si>
  <si>
    <t>2026-05-19NIO</t>
  </si>
  <si>
    <t>2026-05-19NOK</t>
  </si>
  <si>
    <t>2026-05-19NPR</t>
  </si>
  <si>
    <t>2026-05-19NZD</t>
  </si>
  <si>
    <t>2026-05-19OMR</t>
  </si>
  <si>
    <t>2026-05-19PAB</t>
  </si>
  <si>
    <t>2026-05-19PEN</t>
  </si>
  <si>
    <t>2026-05-19PGK</t>
  </si>
  <si>
    <t>2026-05-19PHP</t>
  </si>
  <si>
    <t>2026-05-19PKR</t>
  </si>
  <si>
    <t>2026-05-19PLN</t>
  </si>
  <si>
    <t>2026-05-19PYG</t>
  </si>
  <si>
    <t>2026-05-19QAR</t>
  </si>
  <si>
    <t>2026-05-19RON</t>
  </si>
  <si>
    <t>2026-05-19RSD</t>
  </si>
  <si>
    <t>2026-05-19RUB</t>
  </si>
  <si>
    <t>2026-05-19RWF</t>
  </si>
  <si>
    <t>2026-05-19SAR</t>
  </si>
  <si>
    <t>2026-05-19SBD</t>
  </si>
  <si>
    <t>2026-05-19SCR</t>
  </si>
  <si>
    <t>2026-05-19SDG</t>
  </si>
  <si>
    <t>2026-05-19SEK</t>
  </si>
  <si>
    <t>2026-05-19SGD</t>
  </si>
  <si>
    <t>2026-05-19SHP</t>
  </si>
  <si>
    <t>2026-05-19SLE</t>
  </si>
  <si>
    <t>2026-05-19SLL</t>
  </si>
  <si>
    <t>2026-05-19SOS</t>
  </si>
  <si>
    <t>2026-05-19SRD</t>
  </si>
  <si>
    <t>2026-05-19SSP</t>
  </si>
  <si>
    <t>2026-05-19STN</t>
  </si>
  <si>
    <t>2026-05-19SYP</t>
  </si>
  <si>
    <t>2026-05-19SZL</t>
  </si>
  <si>
    <t>2026-05-19THB</t>
  </si>
  <si>
    <t>2026-05-19TJS</t>
  </si>
  <si>
    <t>2026-05-19TMT</t>
  </si>
  <si>
    <t>2026-05-19TND</t>
  </si>
  <si>
    <t>2026-05-19TOP</t>
  </si>
  <si>
    <t>2026-05-19TRY</t>
  </si>
  <si>
    <t>2026-05-19TTD</t>
  </si>
  <si>
    <t>2026-05-19TVD</t>
  </si>
  <si>
    <t>2026-05-19TWD</t>
  </si>
  <si>
    <t>2026-05-19TZS</t>
  </si>
  <si>
    <t>2026-05-19UAH</t>
  </si>
  <si>
    <t>2026-05-19UGX</t>
  </si>
  <si>
    <t>2026-05-19USD</t>
  </si>
  <si>
    <t>2026-05-19UYU</t>
  </si>
  <si>
    <t>2026-05-19UZS</t>
  </si>
  <si>
    <t>2026-05-19VES</t>
  </si>
  <si>
    <t>2026-05-19VND</t>
  </si>
  <si>
    <t>2026-05-19VUV</t>
  </si>
  <si>
    <t>2026-05-19WST</t>
  </si>
  <si>
    <t>2026-05-19XAF</t>
  </si>
  <si>
    <t>2026-05-19XCD</t>
  </si>
  <si>
    <t>2026-05-19XCG</t>
  </si>
  <si>
    <t>2026-05-19XDR</t>
  </si>
  <si>
    <t>2026-05-19XOF</t>
  </si>
  <si>
    <t>2026-05-19XPF</t>
  </si>
  <si>
    <t>2026-05-19YER</t>
  </si>
  <si>
    <t>2026-05-19ZAR</t>
  </si>
  <si>
    <t>2026-05-19ZMW</t>
  </si>
  <si>
    <t>2026-05-19ZWG</t>
  </si>
  <si>
    <t>2026-05-19ZWL</t>
  </si>
  <si>
    <t>2026-05-21EUR</t>
  </si>
  <si>
    <t>2026-05-21AED</t>
  </si>
  <si>
    <t>2026-05-21AFN</t>
  </si>
  <si>
    <t>2026-05-21ALL</t>
  </si>
  <si>
    <t>2026-05-21AMD</t>
  </si>
  <si>
    <t>2026-05-21ANG</t>
  </si>
  <si>
    <t>2026-05-21AOA</t>
  </si>
  <si>
    <t>2026-05-21ARS</t>
  </si>
  <si>
    <t>2026-05-21AUD</t>
  </si>
  <si>
    <t>2026-05-21AWG</t>
  </si>
  <si>
    <t>2026-05-21AZN</t>
  </si>
  <si>
    <t>2026-05-21BAM</t>
  </si>
  <si>
    <t>2026-05-21BBD</t>
  </si>
  <si>
    <t>2026-05-21BDT</t>
  </si>
  <si>
    <t>2026-05-21BGN</t>
  </si>
  <si>
    <t>2026-05-21BHD</t>
  </si>
  <si>
    <t>2026-05-21BIF</t>
  </si>
  <si>
    <t>2026-05-21BMD</t>
  </si>
  <si>
    <t>2026-05-21BND</t>
  </si>
  <si>
    <t>2026-05-21BOB</t>
  </si>
  <si>
    <t>2026-05-21BRL</t>
  </si>
  <si>
    <t>2026-05-21BSD</t>
  </si>
  <si>
    <t>2026-05-21BTN</t>
  </si>
  <si>
    <t>2026-05-21BWP</t>
  </si>
  <si>
    <t>2026-05-21BYN</t>
  </si>
  <si>
    <t>2026-05-21BZD</t>
  </si>
  <si>
    <t>2026-05-21CAD</t>
  </si>
  <si>
    <t>2026-05-21CDF</t>
  </si>
  <si>
    <t>2026-05-21CHF</t>
  </si>
  <si>
    <t>2026-05-21CLF</t>
  </si>
  <si>
    <t>2026-05-21CLP</t>
  </si>
  <si>
    <t>2026-05-21CNH</t>
  </si>
  <si>
    <t>2026-05-21CNY</t>
  </si>
  <si>
    <t>2026-05-21COP</t>
  </si>
  <si>
    <t>2026-05-21CRC</t>
  </si>
  <si>
    <t>2026-05-21CUP</t>
  </si>
  <si>
    <t>2026-05-21CVE</t>
  </si>
  <si>
    <t>2026-05-21CZK</t>
  </si>
  <si>
    <t>2026-05-21DJF</t>
  </si>
  <si>
    <t>2026-05-21DKK</t>
  </si>
  <si>
    <t>2026-05-21DOP</t>
  </si>
  <si>
    <t>2026-05-21DZD</t>
  </si>
  <si>
    <t>2026-05-21EGP</t>
  </si>
  <si>
    <t>2026-05-21ERN</t>
  </si>
  <si>
    <t>2026-05-21ETB</t>
  </si>
  <si>
    <t>2026-05-21FJD</t>
  </si>
  <si>
    <t>2026-05-21FKP</t>
  </si>
  <si>
    <t>2026-05-21FOK</t>
  </si>
  <si>
    <t>2026-05-21GBP</t>
  </si>
  <si>
    <t>2026-05-21GEL</t>
  </si>
  <si>
    <t>2026-05-21GGP</t>
  </si>
  <si>
    <t>2026-05-21GHS</t>
  </si>
  <si>
    <t>2026-05-21GIP</t>
  </si>
  <si>
    <t>2026-05-21GMD</t>
  </si>
  <si>
    <t>2026-05-21GNF</t>
  </si>
  <si>
    <t>2026-05-21GTQ</t>
  </si>
  <si>
    <t>2026-05-21GYD</t>
  </si>
  <si>
    <t>2026-05-21HKD</t>
  </si>
  <si>
    <t>2026-05-21HNL</t>
  </si>
  <si>
    <t>2026-05-21HRK</t>
  </si>
  <si>
    <t>2026-05-21HTG</t>
  </si>
  <si>
    <t>2026-05-21IDR</t>
  </si>
  <si>
    <t>2026-05-21ILS</t>
  </si>
  <si>
    <t>2026-05-21IMP</t>
  </si>
  <si>
    <t>2026-05-21INR</t>
  </si>
  <si>
    <t>2026-05-21IQD</t>
  </si>
  <si>
    <t>2026-05-21IRR</t>
  </si>
  <si>
    <t>2026-05-21ISK</t>
  </si>
  <si>
    <t>2026-05-21JEP</t>
  </si>
  <si>
    <t>2026-05-21JMD</t>
  </si>
  <si>
    <t>2026-05-21JOD</t>
  </si>
  <si>
    <t>2026-05-21JPY</t>
  </si>
  <si>
    <t>2026-05-21KES</t>
  </si>
  <si>
    <t>2026-05-21KGS</t>
  </si>
  <si>
    <t>2026-05-21KHR</t>
  </si>
  <si>
    <t>2026-05-21KID</t>
  </si>
  <si>
    <t>2026-05-21KMF</t>
  </si>
  <si>
    <t>2026-05-21KRW</t>
  </si>
  <si>
    <t>2026-05-21KWD</t>
  </si>
  <si>
    <t>2026-05-21KYD</t>
  </si>
  <si>
    <t>2026-05-21KZT</t>
  </si>
  <si>
    <t>2026-05-21LAK</t>
  </si>
  <si>
    <t>2026-05-21LBP</t>
  </si>
  <si>
    <t>2026-05-21LKR</t>
  </si>
  <si>
    <t>2026-05-21LRD</t>
  </si>
  <si>
    <t>2026-05-21LSL</t>
  </si>
  <si>
    <t>2026-05-21LYD</t>
  </si>
  <si>
    <t>2026-05-21MAD</t>
  </si>
  <si>
    <t>2026-05-21MDL</t>
  </si>
  <si>
    <t>2026-05-21MGA</t>
  </si>
  <si>
    <t>2026-05-21MKD</t>
  </si>
  <si>
    <t>2026-05-21MMK</t>
  </si>
  <si>
    <t>2026-05-21MNT</t>
  </si>
  <si>
    <t>2026-05-21MOP</t>
  </si>
  <si>
    <t>2026-05-21MRU</t>
  </si>
  <si>
    <t>2026-05-21MUR</t>
  </si>
  <si>
    <t>2026-05-21MVR</t>
  </si>
  <si>
    <t>2026-05-21MWK</t>
  </si>
  <si>
    <t>2026-05-21MXN</t>
  </si>
  <si>
    <t>2026-05-21MYR</t>
  </si>
  <si>
    <t>2026-05-21MZN</t>
  </si>
  <si>
    <t>2026-05-21NAD</t>
  </si>
  <si>
    <t>2026-05-21NGN</t>
  </si>
  <si>
    <t>2026-05-21NIO</t>
  </si>
  <si>
    <t>2026-05-21NOK</t>
  </si>
  <si>
    <t>2026-05-21NPR</t>
  </si>
  <si>
    <t>2026-05-21NZD</t>
  </si>
  <si>
    <t>2026-05-21OMR</t>
  </si>
  <si>
    <t>2026-05-21PAB</t>
  </si>
  <si>
    <t>2026-05-21PEN</t>
  </si>
  <si>
    <t>2026-05-21PGK</t>
  </si>
  <si>
    <t>2026-05-21PHP</t>
  </si>
  <si>
    <t>2026-05-21PKR</t>
  </si>
  <si>
    <t>2026-05-21PLN</t>
  </si>
  <si>
    <t>2026-05-21PYG</t>
  </si>
  <si>
    <t>2026-05-21QAR</t>
  </si>
  <si>
    <t>2026-05-21RON</t>
  </si>
  <si>
    <t>2026-05-21RSD</t>
  </si>
  <si>
    <t>2026-05-21RUB</t>
  </si>
  <si>
    <t>2026-05-21RWF</t>
  </si>
  <si>
    <t>2026-05-21SAR</t>
  </si>
  <si>
    <t>2026-05-21SBD</t>
  </si>
  <si>
    <t>2026-05-21SCR</t>
  </si>
  <si>
    <t>2026-05-21SDG</t>
  </si>
  <si>
    <t>2026-05-21SEK</t>
  </si>
  <si>
    <t>2026-05-21SGD</t>
  </si>
  <si>
    <t>2026-05-21SHP</t>
  </si>
  <si>
    <t>2026-05-21SLE</t>
  </si>
  <si>
    <t>2026-05-21SLL</t>
  </si>
  <si>
    <t>2026-05-21SOS</t>
  </si>
  <si>
    <t>2026-05-21SRD</t>
  </si>
  <si>
    <t>2026-05-21SSP</t>
  </si>
  <si>
    <t>2026-05-21STN</t>
  </si>
  <si>
    <t>2026-05-21SYP</t>
  </si>
  <si>
    <t>2026-05-21SZL</t>
  </si>
  <si>
    <t>2026-05-21THB</t>
  </si>
  <si>
    <t>2026-05-21TJS</t>
  </si>
  <si>
    <t>2026-05-21TMT</t>
  </si>
  <si>
    <t>2026-05-21TND</t>
  </si>
  <si>
    <t>2026-05-21TOP</t>
  </si>
  <si>
    <t>2026-05-21TRY</t>
  </si>
  <si>
    <t>2026-05-21TTD</t>
  </si>
  <si>
    <t>2026-05-21TVD</t>
  </si>
  <si>
    <t>2026-05-21TWD</t>
  </si>
  <si>
    <t>2026-05-21TZS</t>
  </si>
  <si>
    <t>2026-05-21UAH</t>
  </si>
  <si>
    <t>2026-05-21UGX</t>
  </si>
  <si>
    <t>2026-05-21USD</t>
  </si>
  <si>
    <t>2026-05-21UYU</t>
  </si>
  <si>
    <t>2026-05-21UZS</t>
  </si>
  <si>
    <t>2026-05-21VES</t>
  </si>
  <si>
    <t>2026-05-21VND</t>
  </si>
  <si>
    <t>2026-05-21VUV</t>
  </si>
  <si>
    <t>2026-05-21WST</t>
  </si>
  <si>
    <t>2026-05-21XAF</t>
  </si>
  <si>
    <t>2026-05-21XCD</t>
  </si>
  <si>
    <t>2026-05-21XCG</t>
  </si>
  <si>
    <t>2026-05-21XDR</t>
  </si>
  <si>
    <t>2026-05-21XOF</t>
  </si>
  <si>
    <t>2026-05-21XPF</t>
  </si>
  <si>
    <t>2026-05-21YER</t>
  </si>
  <si>
    <t>2026-05-21ZAR</t>
  </si>
  <si>
    <t>2026-05-21ZMW</t>
  </si>
  <si>
    <t>2026-05-21ZWG</t>
  </si>
  <si>
    <t>2026-05-21ZWL</t>
  </si>
  <si>
    <t>2026-05-23EUR</t>
  </si>
  <si>
    <t>2026-05-23AED</t>
  </si>
  <si>
    <t>2026-05-23AFN</t>
  </si>
  <si>
    <t>2026-05-23ALL</t>
  </si>
  <si>
    <t>2026-05-23AMD</t>
  </si>
  <si>
    <t>2026-05-23ANG</t>
  </si>
  <si>
    <t>2026-05-23AOA</t>
  </si>
  <si>
    <t>2026-05-23ARS</t>
  </si>
  <si>
    <t>2026-05-23AUD</t>
  </si>
  <si>
    <t>2026-05-23AWG</t>
  </si>
  <si>
    <t>2026-05-23AZN</t>
  </si>
  <si>
    <t>2026-05-23BAM</t>
  </si>
  <si>
    <t>2026-05-23BBD</t>
  </si>
  <si>
    <t>2026-05-23BDT</t>
  </si>
  <si>
    <t>2026-05-23BGN</t>
  </si>
  <si>
    <t>2026-05-23BHD</t>
  </si>
  <si>
    <t>2026-05-23BIF</t>
  </si>
  <si>
    <t>2026-05-23BMD</t>
  </si>
  <si>
    <t>2026-05-23BND</t>
  </si>
  <si>
    <t>2026-05-23BOB</t>
  </si>
  <si>
    <t>2026-05-23BRL</t>
  </si>
  <si>
    <t>2026-05-23BSD</t>
  </si>
  <si>
    <t>2026-05-23BTN</t>
  </si>
  <si>
    <t>2026-05-23BWP</t>
  </si>
  <si>
    <t>2026-05-23BYN</t>
  </si>
  <si>
    <t>2026-05-23BZD</t>
  </si>
  <si>
    <t>2026-05-23CAD</t>
  </si>
  <si>
    <t>2026-05-23CDF</t>
  </si>
  <si>
    <t>2026-05-23CHF</t>
  </si>
  <si>
    <t>2026-05-23CLF</t>
  </si>
  <si>
    <t>2026-05-23CLP</t>
  </si>
  <si>
    <t>2026-05-23CNH</t>
  </si>
  <si>
    <t>2026-05-23CNY</t>
  </si>
  <si>
    <t>2026-05-23COP</t>
  </si>
  <si>
    <t>2026-05-23CRC</t>
  </si>
  <si>
    <t>2026-05-23CUP</t>
  </si>
  <si>
    <t>2026-05-23CVE</t>
  </si>
  <si>
    <t>2026-05-23CZK</t>
  </si>
  <si>
    <t>2026-05-23DJF</t>
  </si>
  <si>
    <t>2026-05-23DKK</t>
  </si>
  <si>
    <t>2026-05-23DOP</t>
  </si>
  <si>
    <t>2026-05-23DZD</t>
  </si>
  <si>
    <t>2026-05-23EGP</t>
  </si>
  <si>
    <t>2026-05-23ERN</t>
  </si>
  <si>
    <t>2026-05-23ETB</t>
  </si>
  <si>
    <t>2026-05-23FJD</t>
  </si>
  <si>
    <t>2026-05-23FKP</t>
  </si>
  <si>
    <t>2026-05-23FOK</t>
  </si>
  <si>
    <t>2026-05-23GBP</t>
  </si>
  <si>
    <t>2026-05-23GEL</t>
  </si>
  <si>
    <t>2026-05-23GGP</t>
  </si>
  <si>
    <t>2026-05-23GHS</t>
  </si>
  <si>
    <t>2026-05-23GIP</t>
  </si>
  <si>
    <t>2026-05-23GMD</t>
  </si>
  <si>
    <t>2026-05-23GNF</t>
  </si>
  <si>
    <t>2026-05-23GTQ</t>
  </si>
  <si>
    <t>2026-05-23GYD</t>
  </si>
  <si>
    <t>2026-05-23HKD</t>
  </si>
  <si>
    <t>2026-05-23HNL</t>
  </si>
  <si>
    <t>2026-05-23HRK</t>
  </si>
  <si>
    <t>2026-05-23HTG</t>
  </si>
  <si>
    <t>2026-05-23IDR</t>
  </si>
  <si>
    <t>2026-05-23ILS</t>
  </si>
  <si>
    <t>2026-05-23IMP</t>
  </si>
  <si>
    <t>2026-05-23INR</t>
  </si>
  <si>
    <t>2026-05-23IQD</t>
  </si>
  <si>
    <t>2026-05-23IRR</t>
  </si>
  <si>
    <t>2026-05-23ISK</t>
  </si>
  <si>
    <t>2026-05-23JEP</t>
  </si>
  <si>
    <t>2026-05-23JMD</t>
  </si>
  <si>
    <t>2026-05-23JOD</t>
  </si>
  <si>
    <t>2026-05-23JPY</t>
  </si>
  <si>
    <t>2026-05-23KES</t>
  </si>
  <si>
    <t>2026-05-23KGS</t>
  </si>
  <si>
    <t>2026-05-23KHR</t>
  </si>
  <si>
    <t>2026-05-23KID</t>
  </si>
  <si>
    <t>2026-05-23KMF</t>
  </si>
  <si>
    <t>2026-05-23KRW</t>
  </si>
  <si>
    <t>2026-05-23KWD</t>
  </si>
  <si>
    <t>2026-05-23KYD</t>
  </si>
  <si>
    <t>2026-05-23KZT</t>
  </si>
  <si>
    <t>2026-05-23LAK</t>
  </si>
  <si>
    <t>2026-05-23LBP</t>
  </si>
  <si>
    <t>2026-05-23LKR</t>
  </si>
  <si>
    <t>2026-05-23LRD</t>
  </si>
  <si>
    <t>2026-05-23LSL</t>
  </si>
  <si>
    <t>2026-05-23LYD</t>
  </si>
  <si>
    <t>2026-05-23MAD</t>
  </si>
  <si>
    <t>2026-05-23MDL</t>
  </si>
  <si>
    <t>2026-05-23MGA</t>
  </si>
  <si>
    <t>2026-05-23MKD</t>
  </si>
  <si>
    <t>2026-05-23MMK</t>
  </si>
  <si>
    <t>2026-05-23MNT</t>
  </si>
  <si>
    <t>2026-05-23MOP</t>
  </si>
  <si>
    <t>2026-05-23MRU</t>
  </si>
  <si>
    <t>2026-05-23MUR</t>
  </si>
  <si>
    <t>2026-05-23MVR</t>
  </si>
  <si>
    <t>2026-05-23MWK</t>
  </si>
  <si>
    <t>2026-05-23MXN</t>
  </si>
  <si>
    <t>2026-05-23MYR</t>
  </si>
  <si>
    <t>2026-05-23MZN</t>
  </si>
  <si>
    <t>2026-05-23NAD</t>
  </si>
  <si>
    <t>2026-05-23NGN</t>
  </si>
  <si>
    <t>2026-05-23NIO</t>
  </si>
  <si>
    <t>2026-05-23NOK</t>
  </si>
  <si>
    <t>2026-05-23NPR</t>
  </si>
  <si>
    <t>2026-05-23NZD</t>
  </si>
  <si>
    <t>2026-05-23OMR</t>
  </si>
  <si>
    <t>2026-05-23PAB</t>
  </si>
  <si>
    <t>2026-05-23PEN</t>
  </si>
  <si>
    <t>2026-05-23PGK</t>
  </si>
  <si>
    <t>2026-05-23PHP</t>
  </si>
  <si>
    <t>2026-05-23PKR</t>
  </si>
  <si>
    <t>2026-05-23PLN</t>
  </si>
  <si>
    <t>2026-05-23PYG</t>
  </si>
  <si>
    <t>2026-05-23QAR</t>
  </si>
  <si>
    <t>2026-05-23RON</t>
  </si>
  <si>
    <t>2026-05-23RSD</t>
  </si>
  <si>
    <t>2026-05-23RUB</t>
  </si>
  <si>
    <t>2026-05-23RWF</t>
  </si>
  <si>
    <t>2026-05-23SAR</t>
  </si>
  <si>
    <t>2026-05-23SBD</t>
  </si>
  <si>
    <t>2026-05-23SCR</t>
  </si>
  <si>
    <t>2026-05-23SDG</t>
  </si>
  <si>
    <t>2026-05-23SEK</t>
  </si>
  <si>
    <t>2026-05-23SGD</t>
  </si>
  <si>
    <t>2026-05-23SHP</t>
  </si>
  <si>
    <t>2026-05-23SLE</t>
  </si>
  <si>
    <t>2026-05-23SLL</t>
  </si>
  <si>
    <t>2026-05-23SOS</t>
  </si>
  <si>
    <t>2026-05-23SRD</t>
  </si>
  <si>
    <t>2026-05-23SSP</t>
  </si>
  <si>
    <t>2026-05-23STN</t>
  </si>
  <si>
    <t>2026-05-23SYP</t>
  </si>
  <si>
    <t>2026-05-23SZL</t>
  </si>
  <si>
    <t>2026-05-23THB</t>
  </si>
  <si>
    <t>2026-05-23TJS</t>
  </si>
  <si>
    <t>2026-05-23TMT</t>
  </si>
  <si>
    <t>2026-05-23TND</t>
  </si>
  <si>
    <t>2026-05-23TOP</t>
  </si>
  <si>
    <t>2026-05-23TRY</t>
  </si>
  <si>
    <t>2026-05-23TTD</t>
  </si>
  <si>
    <t>2026-05-23TVD</t>
  </si>
  <si>
    <t>2026-05-23TWD</t>
  </si>
  <si>
    <t>2026-05-23TZS</t>
  </si>
  <si>
    <t>2026-05-23UAH</t>
  </si>
  <si>
    <t>2026-05-23UGX</t>
  </si>
  <si>
    <t>2026-05-23USD</t>
  </si>
  <si>
    <t>2026-05-23UYU</t>
  </si>
  <si>
    <t>2026-05-23UZS</t>
  </si>
  <si>
    <t>2026-05-23VES</t>
  </si>
  <si>
    <t>2026-05-23VND</t>
  </si>
  <si>
    <t>2026-05-23VUV</t>
  </si>
  <si>
    <t>2026-05-23WST</t>
  </si>
  <si>
    <t>2026-05-23XAF</t>
  </si>
  <si>
    <t>2026-05-23XCD</t>
  </si>
  <si>
    <t>2026-05-23XCG</t>
  </si>
  <si>
    <t>2026-05-23XDR</t>
  </si>
  <si>
    <t>2026-05-23XOF</t>
  </si>
  <si>
    <t>2026-05-23XPF</t>
  </si>
  <si>
    <t>2026-05-23YER</t>
  </si>
  <si>
    <t>2026-05-23ZAR</t>
  </si>
  <si>
    <t>2026-05-23ZMW</t>
  </si>
  <si>
    <t>2026-05-23ZWG</t>
  </si>
  <si>
    <t>2026-05-23ZWL</t>
  </si>
  <si>
    <t>2026-05-27EUR</t>
  </si>
  <si>
    <t>2026-05-27AED</t>
  </si>
  <si>
    <t>2026-05-27AFN</t>
  </si>
  <si>
    <t>2026-05-27ALL</t>
  </si>
  <si>
    <t>2026-05-27AMD</t>
  </si>
  <si>
    <t>2026-05-27ANG</t>
  </si>
  <si>
    <t>2026-05-27AOA</t>
  </si>
  <si>
    <t>2026-05-27ARS</t>
  </si>
  <si>
    <t>2026-05-27AUD</t>
  </si>
  <si>
    <t>2026-05-27AWG</t>
  </si>
  <si>
    <t>2026-05-27AZN</t>
  </si>
  <si>
    <t>2026-05-27BAM</t>
  </si>
  <si>
    <t>2026-05-27BBD</t>
  </si>
  <si>
    <t>2026-05-27BDT</t>
  </si>
  <si>
    <t>2026-05-27BGN</t>
  </si>
  <si>
    <t>2026-05-27BHD</t>
  </si>
  <si>
    <t>2026-05-27BIF</t>
  </si>
  <si>
    <t>2026-05-27BMD</t>
  </si>
  <si>
    <t>2026-05-27BND</t>
  </si>
  <si>
    <t>2026-05-27BOB</t>
  </si>
  <si>
    <t>2026-05-27BRL</t>
  </si>
  <si>
    <t>2026-05-27BSD</t>
  </si>
  <si>
    <t>2026-05-27BTN</t>
  </si>
  <si>
    <t>2026-05-27BWP</t>
  </si>
  <si>
    <t>2026-05-27BYN</t>
  </si>
  <si>
    <t>2026-05-27BZD</t>
  </si>
  <si>
    <t>2026-05-27CAD</t>
  </si>
  <si>
    <t>2026-05-27CDF</t>
  </si>
  <si>
    <t>2026-05-27CHF</t>
  </si>
  <si>
    <t>2026-05-27CLF</t>
  </si>
  <si>
    <t>2026-05-27CLP</t>
  </si>
  <si>
    <t>2026-05-27CNH</t>
  </si>
  <si>
    <t>2026-05-27CNY</t>
  </si>
  <si>
    <t>2026-05-27COP</t>
  </si>
  <si>
    <t>2026-05-27CRC</t>
  </si>
  <si>
    <t>2026-05-27CUP</t>
  </si>
  <si>
    <t>2026-05-27CVE</t>
  </si>
  <si>
    <t>2026-05-27CZK</t>
  </si>
  <si>
    <t>2026-05-27DJF</t>
  </si>
  <si>
    <t>2026-05-27DKK</t>
  </si>
  <si>
    <t>2026-05-27DOP</t>
  </si>
  <si>
    <t>2026-05-27DZD</t>
  </si>
  <si>
    <t>2026-05-27EGP</t>
  </si>
  <si>
    <t>2026-05-27ERN</t>
  </si>
  <si>
    <t>2026-05-27ETB</t>
  </si>
  <si>
    <t>2026-05-27FJD</t>
  </si>
  <si>
    <t>2026-05-27FKP</t>
  </si>
  <si>
    <t>2026-05-27FOK</t>
  </si>
  <si>
    <t>2026-05-27GBP</t>
  </si>
  <si>
    <t>2026-05-27GEL</t>
  </si>
  <si>
    <t>2026-05-27GGP</t>
  </si>
  <si>
    <t>2026-05-27GHS</t>
  </si>
  <si>
    <t>2026-05-27GIP</t>
  </si>
  <si>
    <t>2026-05-27GMD</t>
  </si>
  <si>
    <t>2026-05-27GNF</t>
  </si>
  <si>
    <t>2026-05-27GTQ</t>
  </si>
  <si>
    <t>2026-05-27GYD</t>
  </si>
  <si>
    <t>2026-05-27HKD</t>
  </si>
  <si>
    <t>2026-05-27HNL</t>
  </si>
  <si>
    <t>2026-05-27HRK</t>
  </si>
  <si>
    <t>2026-05-27HTG</t>
  </si>
  <si>
    <t>2026-05-27IDR</t>
  </si>
  <si>
    <t>2026-05-27ILS</t>
  </si>
  <si>
    <t>2026-05-27IMP</t>
  </si>
  <si>
    <t>2026-05-27INR</t>
  </si>
  <si>
    <t>2026-05-27IQD</t>
  </si>
  <si>
    <t>2026-05-27IRR</t>
  </si>
  <si>
    <t>2026-05-27ISK</t>
  </si>
  <si>
    <t>2026-05-27JEP</t>
  </si>
  <si>
    <t>2026-05-27JMD</t>
  </si>
  <si>
    <t>2026-05-27JOD</t>
  </si>
  <si>
    <t>2026-05-27JPY</t>
  </si>
  <si>
    <t>2026-05-27KES</t>
  </si>
  <si>
    <t>2026-05-27KGS</t>
  </si>
  <si>
    <t>2026-05-27KHR</t>
  </si>
  <si>
    <t>2026-05-27KID</t>
  </si>
  <si>
    <t>2026-05-27KMF</t>
  </si>
  <si>
    <t>2026-05-27KRW</t>
  </si>
  <si>
    <t>2026-05-27KWD</t>
  </si>
  <si>
    <t>2026-05-27KYD</t>
  </si>
  <si>
    <t>2026-05-27KZT</t>
  </si>
  <si>
    <t>2026-05-27LAK</t>
  </si>
  <si>
    <t>2026-05-27LBP</t>
  </si>
  <si>
    <t>2026-05-27LKR</t>
  </si>
  <si>
    <t>2026-05-27LRD</t>
  </si>
  <si>
    <t>2026-05-27LSL</t>
  </si>
  <si>
    <t>2026-05-27LYD</t>
  </si>
  <si>
    <t>2026-05-27MAD</t>
  </si>
  <si>
    <t>2026-05-27MDL</t>
  </si>
  <si>
    <t>2026-05-27MGA</t>
  </si>
  <si>
    <t>2026-05-27MKD</t>
  </si>
  <si>
    <t>2026-05-27MMK</t>
  </si>
  <si>
    <t>2026-05-27MNT</t>
  </si>
  <si>
    <t>2026-05-27MOP</t>
  </si>
  <si>
    <t>2026-05-27MRU</t>
  </si>
  <si>
    <t>2026-05-27MUR</t>
  </si>
  <si>
    <t>2026-05-27MVR</t>
  </si>
  <si>
    <t>2026-05-27MWK</t>
  </si>
  <si>
    <t>2026-05-27MXN</t>
  </si>
  <si>
    <t>2026-05-27MYR</t>
  </si>
  <si>
    <t>2026-05-27MZN</t>
  </si>
  <si>
    <t>2026-05-27NAD</t>
  </si>
  <si>
    <t>2026-05-27NGN</t>
  </si>
  <si>
    <t>2026-05-27NIO</t>
  </si>
  <si>
    <t>2026-05-27NOK</t>
  </si>
  <si>
    <t>2026-05-27NPR</t>
  </si>
  <si>
    <t>2026-05-27NZD</t>
  </si>
  <si>
    <t>2026-05-27OMR</t>
  </si>
  <si>
    <t>2026-05-27PAB</t>
  </si>
  <si>
    <t>2026-05-27PEN</t>
  </si>
  <si>
    <t>2026-05-27PGK</t>
  </si>
  <si>
    <t>2026-05-27PHP</t>
  </si>
  <si>
    <t>2026-05-27PKR</t>
  </si>
  <si>
    <t>2026-05-27PLN</t>
  </si>
  <si>
    <t>2026-05-27PYG</t>
  </si>
  <si>
    <t>2026-05-27QAR</t>
  </si>
  <si>
    <t>2026-05-27RON</t>
  </si>
  <si>
    <t>2026-05-27RSD</t>
  </si>
  <si>
    <t>2026-05-27RUB</t>
  </si>
  <si>
    <t>2026-05-27RWF</t>
  </si>
  <si>
    <t>2026-05-27SAR</t>
  </si>
  <si>
    <t>2026-05-27SBD</t>
  </si>
  <si>
    <t>2026-05-27SCR</t>
  </si>
  <si>
    <t>2026-05-27SDG</t>
  </si>
  <si>
    <t>2026-05-27SEK</t>
  </si>
  <si>
    <t>2026-05-27SGD</t>
  </si>
  <si>
    <t>2026-05-27SHP</t>
  </si>
  <si>
    <t>2026-05-27SLE</t>
  </si>
  <si>
    <t>2026-05-27SLL</t>
  </si>
  <si>
    <t>2026-05-27SOS</t>
  </si>
  <si>
    <t>2026-05-27SRD</t>
  </si>
  <si>
    <t>2026-05-27SSP</t>
  </si>
  <si>
    <t>2026-05-27STN</t>
  </si>
  <si>
    <t>2026-05-27SYP</t>
  </si>
  <si>
    <t>2026-05-27SZL</t>
  </si>
  <si>
    <t>2026-05-27THB</t>
  </si>
  <si>
    <t>2026-05-27TJS</t>
  </si>
  <si>
    <t>2026-05-27TMT</t>
  </si>
  <si>
    <t>2026-05-27TND</t>
  </si>
  <si>
    <t>2026-05-27TOP</t>
  </si>
  <si>
    <t>2026-05-27TRY</t>
  </si>
  <si>
    <t>2026-05-27TTD</t>
  </si>
  <si>
    <t>2026-05-27TVD</t>
  </si>
  <si>
    <t>2026-05-27TWD</t>
  </si>
  <si>
    <t>2026-05-27TZS</t>
  </si>
  <si>
    <t>2026-05-27UAH</t>
  </si>
  <si>
    <t>2026-05-27UGX</t>
  </si>
  <si>
    <t>2026-05-27USD</t>
  </si>
  <si>
    <t>2026-05-27UYU</t>
  </si>
  <si>
    <t>2026-05-27UZS</t>
  </si>
  <si>
    <t>2026-05-27VES</t>
  </si>
  <si>
    <t>2026-05-27VND</t>
  </si>
  <si>
    <t>2026-05-27VUV</t>
  </si>
  <si>
    <t>2026-05-27WST</t>
  </si>
  <si>
    <t>2026-05-27XAF</t>
  </si>
  <si>
    <t>2026-05-27XCD</t>
  </si>
  <si>
    <t>2026-05-27XCG</t>
  </si>
  <si>
    <t>2026-05-27XDR</t>
  </si>
  <si>
    <t>2026-05-27XOF</t>
  </si>
  <si>
    <t>2026-05-27XPF</t>
  </si>
  <si>
    <t>2026-05-27YER</t>
  </si>
  <si>
    <t>2026-05-27ZAR</t>
  </si>
  <si>
    <t>2026-05-27ZMW</t>
  </si>
  <si>
    <t>2026-05-27ZWG</t>
  </si>
  <si>
    <t>2026-05-27ZWL</t>
  </si>
  <si>
    <t>2026-05-30EUR</t>
  </si>
  <si>
    <t>2026-05-30AED</t>
  </si>
  <si>
    <t>2026-05-30AFN</t>
  </si>
  <si>
    <t>2026-05-30ALL</t>
  </si>
  <si>
    <t>2026-05-30AMD</t>
  </si>
  <si>
    <t>2026-05-30ANG</t>
  </si>
  <si>
    <t>2026-05-30AOA</t>
  </si>
  <si>
    <t>2026-05-30ARS</t>
  </si>
  <si>
    <t>2026-05-30AUD</t>
  </si>
  <si>
    <t>2026-05-30AWG</t>
  </si>
  <si>
    <t>2026-05-30AZN</t>
  </si>
  <si>
    <t>2026-05-30BAM</t>
  </si>
  <si>
    <t>2026-05-30BBD</t>
  </si>
  <si>
    <t>2026-05-30BDT</t>
  </si>
  <si>
    <t>2026-05-30BGN</t>
  </si>
  <si>
    <t>2026-05-30BHD</t>
  </si>
  <si>
    <t>2026-05-30BIF</t>
  </si>
  <si>
    <t>2026-05-30BMD</t>
  </si>
  <si>
    <t>2026-05-30BND</t>
  </si>
  <si>
    <t>2026-05-30BOB</t>
  </si>
  <si>
    <t>2026-05-30BRL</t>
  </si>
  <si>
    <t>2026-05-30BSD</t>
  </si>
  <si>
    <t>2026-05-30BTN</t>
  </si>
  <si>
    <t>2026-05-30BWP</t>
  </si>
  <si>
    <t>2026-05-30BYN</t>
  </si>
  <si>
    <t>2026-05-30BZD</t>
  </si>
  <si>
    <t>2026-05-30CAD</t>
  </si>
  <si>
    <t>2026-05-30CDF</t>
  </si>
  <si>
    <t>2026-05-30CHF</t>
  </si>
  <si>
    <t>2026-05-30CLF</t>
  </si>
  <si>
    <t>2026-05-30CLP</t>
  </si>
  <si>
    <t>2026-05-30CNH</t>
  </si>
  <si>
    <t>2026-05-30CNY</t>
  </si>
  <si>
    <t>2026-05-30COP</t>
  </si>
  <si>
    <t>2026-05-30CRC</t>
  </si>
  <si>
    <t>2026-05-30CUP</t>
  </si>
  <si>
    <t>2026-05-30CVE</t>
  </si>
  <si>
    <t>2026-05-30CZK</t>
  </si>
  <si>
    <t>2026-05-30DJF</t>
  </si>
  <si>
    <t>2026-05-30DKK</t>
  </si>
  <si>
    <t>2026-05-30DOP</t>
  </si>
  <si>
    <t>2026-05-30DZD</t>
  </si>
  <si>
    <t>2026-05-30EGP</t>
  </si>
  <si>
    <t>2026-05-30ERN</t>
  </si>
  <si>
    <t>2026-05-30ETB</t>
  </si>
  <si>
    <t>2026-05-30FJD</t>
  </si>
  <si>
    <t>2026-05-30FKP</t>
  </si>
  <si>
    <t>2026-05-30FOK</t>
  </si>
  <si>
    <t>2026-05-30GBP</t>
  </si>
  <si>
    <t>2026-05-30GEL</t>
  </si>
  <si>
    <t>2026-05-30GGP</t>
  </si>
  <si>
    <t>2026-05-30GHS</t>
  </si>
  <si>
    <t>2026-05-30GIP</t>
  </si>
  <si>
    <t>2026-05-30GMD</t>
  </si>
  <si>
    <t>2026-05-30GNF</t>
  </si>
  <si>
    <t>2026-05-30GTQ</t>
  </si>
  <si>
    <t>2026-05-30GYD</t>
  </si>
  <si>
    <t>2026-05-30HKD</t>
  </si>
  <si>
    <t>2026-05-30HNL</t>
  </si>
  <si>
    <t>2026-05-30HRK</t>
  </si>
  <si>
    <t>2026-05-30HTG</t>
  </si>
  <si>
    <t>2026-05-30IDR</t>
  </si>
  <si>
    <t>2026-05-30ILS</t>
  </si>
  <si>
    <t>2026-05-30IMP</t>
  </si>
  <si>
    <t>2026-05-30INR</t>
  </si>
  <si>
    <t>2026-05-30IQD</t>
  </si>
  <si>
    <t>2026-05-30IRR</t>
  </si>
  <si>
    <t>2026-05-30ISK</t>
  </si>
  <si>
    <t>2026-05-30JEP</t>
  </si>
  <si>
    <t>2026-05-30JMD</t>
  </si>
  <si>
    <t>2026-05-30JOD</t>
  </si>
  <si>
    <t>2026-05-30JPY</t>
  </si>
  <si>
    <t>2026-05-30KES</t>
  </si>
  <si>
    <t>2026-05-30KGS</t>
  </si>
  <si>
    <t>2026-05-30KHR</t>
  </si>
  <si>
    <t>2026-05-30KID</t>
  </si>
  <si>
    <t>2026-05-30KMF</t>
  </si>
  <si>
    <t>2026-05-30KRW</t>
  </si>
  <si>
    <t>2026-05-30KWD</t>
  </si>
  <si>
    <t>2026-05-30KYD</t>
  </si>
  <si>
    <t>2026-05-30KZT</t>
  </si>
  <si>
    <t>2026-05-30LAK</t>
  </si>
  <si>
    <t>2026-05-30LBP</t>
  </si>
  <si>
    <t>2026-05-30LKR</t>
  </si>
  <si>
    <t>2026-05-30LRD</t>
  </si>
  <si>
    <t>2026-05-30LSL</t>
  </si>
  <si>
    <t>2026-05-30LYD</t>
  </si>
  <si>
    <t>2026-05-30MAD</t>
  </si>
  <si>
    <t>2026-05-30MDL</t>
  </si>
  <si>
    <t>2026-05-30MGA</t>
  </si>
  <si>
    <t>2026-05-30MKD</t>
  </si>
  <si>
    <t>2026-05-30MMK</t>
  </si>
  <si>
    <t>2026-05-30MNT</t>
  </si>
  <si>
    <t>2026-05-30MOP</t>
  </si>
  <si>
    <t>2026-05-30MRU</t>
  </si>
  <si>
    <t>2026-05-30MUR</t>
  </si>
  <si>
    <t>2026-05-30MVR</t>
  </si>
  <si>
    <t>2026-05-30MWK</t>
  </si>
  <si>
    <t>2026-05-30MXN</t>
  </si>
  <si>
    <t>2026-05-30MYR</t>
  </si>
  <si>
    <t>2026-05-30MZN</t>
  </si>
  <si>
    <t>2026-05-30NAD</t>
  </si>
  <si>
    <t>2026-05-30NGN</t>
  </si>
  <si>
    <t>2026-05-30NIO</t>
  </si>
  <si>
    <t>2026-05-30NOK</t>
  </si>
  <si>
    <t>2026-05-30NPR</t>
  </si>
  <si>
    <t>2026-05-30NZD</t>
  </si>
  <si>
    <t>2026-05-30OMR</t>
  </si>
  <si>
    <t>2026-05-30PAB</t>
  </si>
  <si>
    <t>2026-05-30PEN</t>
  </si>
  <si>
    <t>2026-05-30PGK</t>
  </si>
  <si>
    <t>2026-05-30PHP</t>
  </si>
  <si>
    <t>2026-05-30PKR</t>
  </si>
  <si>
    <t>2026-05-30PLN</t>
  </si>
  <si>
    <t>2026-05-30PYG</t>
  </si>
  <si>
    <t>2026-05-30QAR</t>
  </si>
  <si>
    <t>2026-05-30RON</t>
  </si>
  <si>
    <t>2026-05-30RSD</t>
  </si>
  <si>
    <t>2026-05-30RUB</t>
  </si>
  <si>
    <t>2026-05-30RWF</t>
  </si>
  <si>
    <t>2026-05-30SAR</t>
  </si>
  <si>
    <t>2026-05-30SBD</t>
  </si>
  <si>
    <t>2026-05-30SCR</t>
  </si>
  <si>
    <t>2026-05-30SDG</t>
  </si>
  <si>
    <t>2026-05-30SEK</t>
  </si>
  <si>
    <t>2026-05-30SGD</t>
  </si>
  <si>
    <t>2026-05-30SHP</t>
  </si>
  <si>
    <t>2026-05-30SLE</t>
  </si>
  <si>
    <t>2026-05-30SLL</t>
  </si>
  <si>
    <t>2026-05-30SOS</t>
  </si>
  <si>
    <t>2026-05-30SRD</t>
  </si>
  <si>
    <t>2026-05-30SSP</t>
  </si>
  <si>
    <t>2026-05-30STN</t>
  </si>
  <si>
    <t>2026-05-30SYP</t>
  </si>
  <si>
    <t>2026-05-30SZL</t>
  </si>
  <si>
    <t>2026-05-30THB</t>
  </si>
  <si>
    <t>2026-05-30TJS</t>
  </si>
  <si>
    <t>2026-05-30TMT</t>
  </si>
  <si>
    <t>2026-05-30TND</t>
  </si>
  <si>
    <t>2026-05-30TOP</t>
  </si>
  <si>
    <t>2026-05-30TRY</t>
  </si>
  <si>
    <t>2026-05-30TTD</t>
  </si>
  <si>
    <t>2026-05-30TVD</t>
  </si>
  <si>
    <t>2026-05-30TWD</t>
  </si>
  <si>
    <t>2026-05-30TZS</t>
  </si>
  <si>
    <t>2026-05-30UAH</t>
  </si>
  <si>
    <t>2026-05-30UGX</t>
  </si>
  <si>
    <t>2026-05-30USD</t>
  </si>
  <si>
    <t>2026-05-30UYU</t>
  </si>
  <si>
    <t>2026-05-30UZS</t>
  </si>
  <si>
    <t>2026-05-30VES</t>
  </si>
  <si>
    <t>2026-05-30VND</t>
  </si>
  <si>
    <t>2026-05-30VUV</t>
  </si>
  <si>
    <t>2026-05-30WST</t>
  </si>
  <si>
    <t>2026-05-30XAF</t>
  </si>
  <si>
    <t>2026-05-30XCD</t>
  </si>
  <si>
    <t>2026-05-30XCG</t>
  </si>
  <si>
    <t>2026-05-30XDR</t>
  </si>
  <si>
    <t>2026-05-30XOF</t>
  </si>
  <si>
    <t>2026-05-30XPF</t>
  </si>
  <si>
    <t>2026-05-30YER</t>
  </si>
  <si>
    <t>2026-05-30ZAR</t>
  </si>
  <si>
    <t>2026-05-30ZMW</t>
  </si>
  <si>
    <t>2026-05-30ZWG</t>
  </si>
  <si>
    <t>2026-05-30ZWL</t>
  </si>
  <si>
    <t>2026-06-01EUR</t>
  </si>
  <si>
    <t>2026-06-01AED</t>
  </si>
  <si>
    <t>2026-06-01AFN</t>
  </si>
  <si>
    <t>2026-06-01ALL</t>
  </si>
  <si>
    <t>2026-06-01AMD</t>
  </si>
  <si>
    <t>2026-06-01ANG</t>
  </si>
  <si>
    <t>2026-06-01AOA</t>
  </si>
  <si>
    <t>2026-06-01ARS</t>
  </si>
  <si>
    <t>2026-06-01AUD</t>
  </si>
  <si>
    <t>2026-06-01AWG</t>
  </si>
  <si>
    <t>2026-06-01AZN</t>
  </si>
  <si>
    <t>2026-06-01BAM</t>
  </si>
  <si>
    <t>2026-06-01BBD</t>
  </si>
  <si>
    <t>2026-06-01BDT</t>
  </si>
  <si>
    <t>2026-06-01BGN</t>
  </si>
  <si>
    <t>2026-06-01BHD</t>
  </si>
  <si>
    <t>2026-06-01BIF</t>
  </si>
  <si>
    <t>2026-06-01BMD</t>
  </si>
  <si>
    <t>2026-06-01BND</t>
  </si>
  <si>
    <t>2026-06-01BOB</t>
  </si>
  <si>
    <t>2026-06-01BRL</t>
  </si>
  <si>
    <t>2026-06-01BSD</t>
  </si>
  <si>
    <t>2026-06-01BTN</t>
  </si>
  <si>
    <t>2026-06-01BWP</t>
  </si>
  <si>
    <t>2026-06-01BYN</t>
  </si>
  <si>
    <t>2026-06-01BZD</t>
  </si>
  <si>
    <t>2026-06-01CAD</t>
  </si>
  <si>
    <t>2026-06-01CDF</t>
  </si>
  <si>
    <t>2026-06-01CHF</t>
  </si>
  <si>
    <t>2026-06-01CLF</t>
  </si>
  <si>
    <t>2026-06-01CLP</t>
  </si>
  <si>
    <t>2026-06-01CNH</t>
  </si>
  <si>
    <t>2026-06-01CNY</t>
  </si>
  <si>
    <t>2026-06-01COP</t>
  </si>
  <si>
    <t>2026-06-01CRC</t>
  </si>
  <si>
    <t>2026-06-01CUP</t>
  </si>
  <si>
    <t>2026-06-01CVE</t>
  </si>
  <si>
    <t>2026-06-01CZK</t>
  </si>
  <si>
    <t>2026-06-01DJF</t>
  </si>
  <si>
    <t>2026-06-01DKK</t>
  </si>
  <si>
    <t>2026-06-01DOP</t>
  </si>
  <si>
    <t>2026-06-01DZD</t>
  </si>
  <si>
    <t>2026-06-01EGP</t>
  </si>
  <si>
    <t>2026-06-01ERN</t>
  </si>
  <si>
    <t>2026-06-01ETB</t>
  </si>
  <si>
    <t>2026-06-01FJD</t>
  </si>
  <si>
    <t>2026-06-01FKP</t>
  </si>
  <si>
    <t>2026-06-01FOK</t>
  </si>
  <si>
    <t>2026-06-01GBP</t>
  </si>
  <si>
    <t>2026-06-01GEL</t>
  </si>
  <si>
    <t>2026-06-01GGP</t>
  </si>
  <si>
    <t>2026-06-01GHS</t>
  </si>
  <si>
    <t>2026-06-01GIP</t>
  </si>
  <si>
    <t>2026-06-01GMD</t>
  </si>
  <si>
    <t>2026-06-01GNF</t>
  </si>
  <si>
    <t>2026-06-01GTQ</t>
  </si>
  <si>
    <t>2026-06-01GYD</t>
  </si>
  <si>
    <t>2026-06-01HKD</t>
  </si>
  <si>
    <t>2026-06-01HNL</t>
  </si>
  <si>
    <t>2026-06-01HRK</t>
  </si>
  <si>
    <t>2026-06-01HTG</t>
  </si>
  <si>
    <t>2026-06-01IDR</t>
  </si>
  <si>
    <t>2026-06-01ILS</t>
  </si>
  <si>
    <t>2026-06-01IMP</t>
  </si>
  <si>
    <t>2026-06-01INR</t>
  </si>
  <si>
    <t>2026-06-01IQD</t>
  </si>
  <si>
    <t>2026-06-01IRR</t>
  </si>
  <si>
    <t>2026-06-01ISK</t>
  </si>
  <si>
    <t>2026-06-01JEP</t>
  </si>
  <si>
    <t>2026-06-01JMD</t>
  </si>
  <si>
    <t>2026-06-01JOD</t>
  </si>
  <si>
    <t>2026-06-01JPY</t>
  </si>
  <si>
    <t>2026-06-01KES</t>
  </si>
  <si>
    <t>2026-06-01KGS</t>
  </si>
  <si>
    <t>2026-06-01KHR</t>
  </si>
  <si>
    <t>2026-06-01KID</t>
  </si>
  <si>
    <t>2026-06-01KMF</t>
  </si>
  <si>
    <t>2026-06-01KRW</t>
  </si>
  <si>
    <t>2026-06-01KWD</t>
  </si>
  <si>
    <t>2026-06-01KYD</t>
  </si>
  <si>
    <t>2026-06-01KZT</t>
  </si>
  <si>
    <t>2026-06-01LAK</t>
  </si>
  <si>
    <t>2026-06-01LBP</t>
  </si>
  <si>
    <t>2026-06-01LKR</t>
  </si>
  <si>
    <t>2026-06-01LRD</t>
  </si>
  <si>
    <t>2026-06-01LSL</t>
  </si>
  <si>
    <t>2026-06-01LYD</t>
  </si>
  <si>
    <t>2026-06-01MAD</t>
  </si>
  <si>
    <t>2026-06-01MDL</t>
  </si>
  <si>
    <t>2026-06-01MGA</t>
  </si>
  <si>
    <t>2026-06-01MKD</t>
  </si>
  <si>
    <t>2026-06-01MMK</t>
  </si>
  <si>
    <t>2026-06-01MNT</t>
  </si>
  <si>
    <t>2026-06-01MOP</t>
  </si>
  <si>
    <t>2026-06-01MRU</t>
  </si>
  <si>
    <t>2026-06-01MUR</t>
  </si>
  <si>
    <t>2026-06-01MVR</t>
  </si>
  <si>
    <t>2026-06-01MWK</t>
  </si>
  <si>
    <t>2026-06-01MXN</t>
  </si>
  <si>
    <t>2026-06-01MYR</t>
  </si>
  <si>
    <t>2026-06-01MZN</t>
  </si>
  <si>
    <t>2026-06-01NAD</t>
  </si>
  <si>
    <t>2026-06-01NGN</t>
  </si>
  <si>
    <t>2026-06-01NIO</t>
  </si>
  <si>
    <t>2026-06-01NOK</t>
  </si>
  <si>
    <t>2026-06-01NPR</t>
  </si>
  <si>
    <t>2026-06-01NZD</t>
  </si>
  <si>
    <t>2026-06-01OMR</t>
  </si>
  <si>
    <t>2026-06-01PAB</t>
  </si>
  <si>
    <t>2026-06-01PEN</t>
  </si>
  <si>
    <t>2026-06-01PGK</t>
  </si>
  <si>
    <t>2026-06-01PHP</t>
  </si>
  <si>
    <t>2026-06-01PKR</t>
  </si>
  <si>
    <t>2026-06-01PLN</t>
  </si>
  <si>
    <t>2026-06-01PYG</t>
  </si>
  <si>
    <t>2026-06-01QAR</t>
  </si>
  <si>
    <t>2026-06-01RON</t>
  </si>
  <si>
    <t>2026-06-01RSD</t>
  </si>
  <si>
    <t>2026-06-01RUB</t>
  </si>
  <si>
    <t>2026-06-01RWF</t>
  </si>
  <si>
    <t>2026-06-01SAR</t>
  </si>
  <si>
    <t>2026-06-01SBD</t>
  </si>
  <si>
    <t>2026-06-01SCR</t>
  </si>
  <si>
    <t>2026-06-01SDG</t>
  </si>
  <si>
    <t>2026-06-01SEK</t>
  </si>
  <si>
    <t>2026-06-01SGD</t>
  </si>
  <si>
    <t>2026-06-01SHP</t>
  </si>
  <si>
    <t>2026-06-01SLE</t>
  </si>
  <si>
    <t>2026-06-01SLL</t>
  </si>
  <si>
    <t>2026-06-01SOS</t>
  </si>
  <si>
    <t>2026-06-01SRD</t>
  </si>
  <si>
    <t>2026-06-01SSP</t>
  </si>
  <si>
    <t>2026-06-01STN</t>
  </si>
  <si>
    <t>2026-06-01SYP</t>
  </si>
  <si>
    <t>2026-06-01SZL</t>
  </si>
  <si>
    <t>2026-06-01THB</t>
  </si>
  <si>
    <t>2026-06-01TJS</t>
  </si>
  <si>
    <t>2026-06-01TMT</t>
  </si>
  <si>
    <t>2026-06-01TND</t>
  </si>
  <si>
    <t>2026-06-01TOP</t>
  </si>
  <si>
    <t>2026-06-01TRY</t>
  </si>
  <si>
    <t>2026-06-01TTD</t>
  </si>
  <si>
    <t>2026-06-01TVD</t>
  </si>
  <si>
    <t>2026-06-01TWD</t>
  </si>
  <si>
    <t>2026-06-01TZS</t>
  </si>
  <si>
    <t>2026-06-01UAH</t>
  </si>
  <si>
    <t>2026-06-01UGX</t>
  </si>
  <si>
    <t>2026-06-01USD</t>
  </si>
  <si>
    <t>2026-06-01UYU</t>
  </si>
  <si>
    <t>2026-06-01UZS</t>
  </si>
  <si>
    <t>2026-06-01VES</t>
  </si>
  <si>
    <t>2026-06-01VND</t>
  </si>
  <si>
    <t>2026-06-01VUV</t>
  </si>
  <si>
    <t>2026-06-01WST</t>
  </si>
  <si>
    <t>2026-06-01XAF</t>
  </si>
  <si>
    <t>2026-06-01XCD</t>
  </si>
  <si>
    <t>2026-06-01XCG</t>
  </si>
  <si>
    <t>2026-06-01XDR</t>
  </si>
  <si>
    <t>2026-06-01XOF</t>
  </si>
  <si>
    <t>2026-06-01XPF</t>
  </si>
  <si>
    <t>2026-06-01YER</t>
  </si>
  <si>
    <t>2026-06-01ZAR</t>
  </si>
  <si>
    <t>2026-06-01ZMW</t>
  </si>
  <si>
    <t>2026-06-01ZWG</t>
  </si>
  <si>
    <t>2026-06-01ZWL</t>
  </si>
  <si>
    <t>2026-06-03EUR</t>
  </si>
  <si>
    <t>2026-06-03AED</t>
  </si>
  <si>
    <t>2026-06-03AFN</t>
  </si>
  <si>
    <t>2026-06-03ALL</t>
  </si>
  <si>
    <t>2026-06-03AMD</t>
  </si>
  <si>
    <t>2026-06-03ANG</t>
  </si>
  <si>
    <t>2026-06-03AOA</t>
  </si>
  <si>
    <t>2026-06-03ARS</t>
  </si>
  <si>
    <t>2026-06-03AUD</t>
  </si>
  <si>
    <t>2026-06-03AWG</t>
  </si>
  <si>
    <t>2026-06-03AZN</t>
  </si>
  <si>
    <t>2026-06-03BAM</t>
  </si>
  <si>
    <t>2026-06-03BBD</t>
  </si>
  <si>
    <t>2026-06-03BDT</t>
  </si>
  <si>
    <t>2026-06-03BGN</t>
  </si>
  <si>
    <t>2026-06-03BHD</t>
  </si>
  <si>
    <t>2026-06-03BIF</t>
  </si>
  <si>
    <t>2026-06-03BMD</t>
  </si>
  <si>
    <t>2026-06-03BND</t>
  </si>
  <si>
    <t>2026-06-03BOB</t>
  </si>
  <si>
    <t>2026-06-03BRL</t>
  </si>
  <si>
    <t>2026-06-03BSD</t>
  </si>
  <si>
    <t>2026-06-03BTN</t>
  </si>
  <si>
    <t>2026-06-03BWP</t>
  </si>
  <si>
    <t>2026-06-03BYN</t>
  </si>
  <si>
    <t>2026-06-03BZD</t>
  </si>
  <si>
    <t>2026-06-03CAD</t>
  </si>
  <si>
    <t>2026-06-03CDF</t>
  </si>
  <si>
    <t>2026-06-03CHF</t>
  </si>
  <si>
    <t>2026-06-03CLF</t>
  </si>
  <si>
    <t>2026-06-03CLP</t>
  </si>
  <si>
    <t>2026-06-03CNH</t>
  </si>
  <si>
    <t>2026-06-03CNY</t>
  </si>
  <si>
    <t>2026-06-03COP</t>
  </si>
  <si>
    <t>2026-06-03CRC</t>
  </si>
  <si>
    <t>2026-06-03CUP</t>
  </si>
  <si>
    <t>2026-06-03CVE</t>
  </si>
  <si>
    <t>2026-06-03CZK</t>
  </si>
  <si>
    <t>2026-06-03DJF</t>
  </si>
  <si>
    <t>2026-06-03DKK</t>
  </si>
  <si>
    <t>2026-06-03DOP</t>
  </si>
  <si>
    <t>2026-06-03DZD</t>
  </si>
  <si>
    <t>2026-06-03EGP</t>
  </si>
  <si>
    <t>2026-06-03ERN</t>
  </si>
  <si>
    <t>2026-06-03ETB</t>
  </si>
  <si>
    <t>2026-06-03FJD</t>
  </si>
  <si>
    <t>2026-06-03FKP</t>
  </si>
  <si>
    <t>2026-06-03FOK</t>
  </si>
  <si>
    <t>2026-06-03GBP</t>
  </si>
  <si>
    <t>2026-06-03GEL</t>
  </si>
  <si>
    <t>2026-06-03GGP</t>
  </si>
  <si>
    <t>2026-06-03GHS</t>
  </si>
  <si>
    <t>2026-06-03GIP</t>
  </si>
  <si>
    <t>2026-06-03GMD</t>
  </si>
  <si>
    <t>2026-06-03GNF</t>
  </si>
  <si>
    <t>2026-06-03GTQ</t>
  </si>
  <si>
    <t>2026-06-03GYD</t>
  </si>
  <si>
    <t>2026-06-03HKD</t>
  </si>
  <si>
    <t>2026-06-03HNL</t>
  </si>
  <si>
    <t>2026-06-03HRK</t>
  </si>
  <si>
    <t>2026-06-03HTG</t>
  </si>
  <si>
    <t>2026-06-03IDR</t>
  </si>
  <si>
    <t>2026-06-03ILS</t>
  </si>
  <si>
    <t>2026-06-03IMP</t>
  </si>
  <si>
    <t>2026-06-03INR</t>
  </si>
  <si>
    <t>2026-06-03IQD</t>
  </si>
  <si>
    <t>2026-06-03IRR</t>
  </si>
  <si>
    <t>2026-06-03ISK</t>
  </si>
  <si>
    <t>2026-06-03JEP</t>
  </si>
  <si>
    <t>2026-06-03JMD</t>
  </si>
  <si>
    <t>2026-06-03JOD</t>
  </si>
  <si>
    <t>2026-06-03JPY</t>
  </si>
  <si>
    <t>2026-06-03KES</t>
  </si>
  <si>
    <t>2026-06-03KGS</t>
  </si>
  <si>
    <t>2026-06-03KHR</t>
  </si>
  <si>
    <t>2026-06-03KID</t>
  </si>
  <si>
    <t>2026-06-03KMF</t>
  </si>
  <si>
    <t>2026-06-03KRW</t>
  </si>
  <si>
    <t>2026-06-03KWD</t>
  </si>
  <si>
    <t>2026-06-03KYD</t>
  </si>
  <si>
    <t>2026-06-03KZT</t>
  </si>
  <si>
    <t>2026-06-03LAK</t>
  </si>
  <si>
    <t>2026-06-03LBP</t>
  </si>
  <si>
    <t>2026-06-03LKR</t>
  </si>
  <si>
    <t>2026-06-03LRD</t>
  </si>
  <si>
    <t>2026-06-03LSL</t>
  </si>
  <si>
    <t>2026-06-03LYD</t>
  </si>
  <si>
    <t>2026-06-03MAD</t>
  </si>
  <si>
    <t>2026-06-03MDL</t>
  </si>
  <si>
    <t>2026-06-03MGA</t>
  </si>
  <si>
    <t>2026-06-03MKD</t>
  </si>
  <si>
    <t>2026-06-03MMK</t>
  </si>
  <si>
    <t>2026-06-03MNT</t>
  </si>
  <si>
    <t>2026-06-03MOP</t>
  </si>
  <si>
    <t>2026-06-03MRU</t>
  </si>
  <si>
    <t>2026-06-03MUR</t>
  </si>
  <si>
    <t>2026-06-03MVR</t>
  </si>
  <si>
    <t>2026-06-03MWK</t>
  </si>
  <si>
    <t>2026-06-03MXN</t>
  </si>
  <si>
    <t>2026-06-03MYR</t>
  </si>
  <si>
    <t>2026-06-03MZN</t>
  </si>
  <si>
    <t>2026-06-03NAD</t>
  </si>
  <si>
    <t>2026-06-03NGN</t>
  </si>
  <si>
    <t>2026-06-03NIO</t>
  </si>
  <si>
    <t>2026-06-03NOK</t>
  </si>
  <si>
    <t>2026-06-03NPR</t>
  </si>
  <si>
    <t>2026-06-03NZD</t>
  </si>
  <si>
    <t>2026-06-03OMR</t>
  </si>
  <si>
    <t>2026-06-03PAB</t>
  </si>
  <si>
    <t>2026-06-03PEN</t>
  </si>
  <si>
    <t>2026-06-03PGK</t>
  </si>
  <si>
    <t>2026-06-03PHP</t>
  </si>
  <si>
    <t>2026-06-03PKR</t>
  </si>
  <si>
    <t>2026-06-03PLN</t>
  </si>
  <si>
    <t>2026-06-03PYG</t>
  </si>
  <si>
    <t>2026-06-03QAR</t>
  </si>
  <si>
    <t>2026-06-03RON</t>
  </si>
  <si>
    <t>2026-06-03RSD</t>
  </si>
  <si>
    <t>2026-06-03RUB</t>
  </si>
  <si>
    <t>2026-06-03RWF</t>
  </si>
  <si>
    <t>2026-06-03SAR</t>
  </si>
  <si>
    <t>2026-06-03SBD</t>
  </si>
  <si>
    <t>2026-06-03SCR</t>
  </si>
  <si>
    <t>2026-06-03SDG</t>
  </si>
  <si>
    <t>2026-06-03SEK</t>
  </si>
  <si>
    <t>2026-06-03SGD</t>
  </si>
  <si>
    <t>2026-06-03SHP</t>
  </si>
  <si>
    <t>2026-06-03SLE</t>
  </si>
  <si>
    <t>2026-06-03SLL</t>
  </si>
  <si>
    <t>2026-06-03SOS</t>
  </si>
  <si>
    <t>2026-06-03SRD</t>
  </si>
  <si>
    <t>2026-06-03SSP</t>
  </si>
  <si>
    <t>2026-06-03STN</t>
  </si>
  <si>
    <t>2026-06-03SYP</t>
  </si>
  <si>
    <t>2026-06-03SZL</t>
  </si>
  <si>
    <t>2026-06-03THB</t>
  </si>
  <si>
    <t>2026-06-03TJS</t>
  </si>
  <si>
    <t>2026-06-03TMT</t>
  </si>
  <si>
    <t>2026-06-03TND</t>
  </si>
  <si>
    <t>2026-06-03TOP</t>
  </si>
  <si>
    <t>2026-06-03TRY</t>
  </si>
  <si>
    <t>2026-06-03TTD</t>
  </si>
  <si>
    <t>2026-06-03TVD</t>
  </si>
  <si>
    <t>2026-06-03TWD</t>
  </si>
  <si>
    <t>2026-06-03TZS</t>
  </si>
  <si>
    <t>2026-06-03UAH</t>
  </si>
  <si>
    <t>2026-06-03UGX</t>
  </si>
  <si>
    <t>2026-06-03USD</t>
  </si>
  <si>
    <t>2026-06-03UYU</t>
  </si>
  <si>
    <t>2026-06-03UZS</t>
  </si>
  <si>
    <t>2026-06-03VES</t>
  </si>
  <si>
    <t>2026-06-03VND</t>
  </si>
  <si>
    <t>2026-06-03VUV</t>
  </si>
  <si>
    <t>2026-06-03WST</t>
  </si>
  <si>
    <t>2026-06-03XAF</t>
  </si>
  <si>
    <t>2026-06-03XCD</t>
  </si>
  <si>
    <t>2026-06-03XCG</t>
  </si>
  <si>
    <t>2026-06-03XDR</t>
  </si>
  <si>
    <t>2026-06-03XOF</t>
  </si>
  <si>
    <t>2026-06-03XPF</t>
  </si>
  <si>
    <t>2026-06-03YER</t>
  </si>
  <si>
    <t>2026-06-03ZAR</t>
  </si>
  <si>
    <t>2026-06-03ZMW</t>
  </si>
  <si>
    <t>2026-06-03ZWG</t>
  </si>
  <si>
    <t>2026-06-03ZWL</t>
  </si>
  <si>
    <t>2026-06-04EUR</t>
  </si>
  <si>
    <t>2026-06-04AED</t>
  </si>
  <si>
    <t>2026-06-04AFN</t>
  </si>
  <si>
    <t>2026-06-04ALL</t>
  </si>
  <si>
    <t>2026-06-04AMD</t>
  </si>
  <si>
    <t>2026-06-04ANG</t>
  </si>
  <si>
    <t>2026-06-04AOA</t>
  </si>
  <si>
    <t>2026-06-04ARS</t>
  </si>
  <si>
    <t>2026-06-04AUD</t>
  </si>
  <si>
    <t>2026-06-04AWG</t>
  </si>
  <si>
    <t>2026-06-04AZN</t>
  </si>
  <si>
    <t>2026-06-04BAM</t>
  </si>
  <si>
    <t>2026-06-04BBD</t>
  </si>
  <si>
    <t>2026-06-04BDT</t>
  </si>
  <si>
    <t>2026-06-04BGN</t>
  </si>
  <si>
    <t>2026-06-04BHD</t>
  </si>
  <si>
    <t>2026-06-04BIF</t>
  </si>
  <si>
    <t>2026-06-04BMD</t>
  </si>
  <si>
    <t>2026-06-04BND</t>
  </si>
  <si>
    <t>2026-06-04BOB</t>
  </si>
  <si>
    <t>2026-06-04BRL</t>
  </si>
  <si>
    <t>2026-06-04BSD</t>
  </si>
  <si>
    <t>2026-06-04BTN</t>
  </si>
  <si>
    <t>2026-06-04BWP</t>
  </si>
  <si>
    <t>2026-06-04BYN</t>
  </si>
  <si>
    <t>2026-06-04BZD</t>
  </si>
  <si>
    <t>2026-06-04CAD</t>
  </si>
  <si>
    <t>2026-06-04CDF</t>
  </si>
  <si>
    <t>2026-06-04CHF</t>
  </si>
  <si>
    <t>2026-06-04CLF</t>
  </si>
  <si>
    <t>2026-06-04CLP</t>
  </si>
  <si>
    <t>2026-06-04CNH</t>
  </si>
  <si>
    <t>2026-06-04CNY</t>
  </si>
  <si>
    <t>2026-06-04COP</t>
  </si>
  <si>
    <t>2026-06-04CRC</t>
  </si>
  <si>
    <t>2026-06-04CUP</t>
  </si>
  <si>
    <t>2026-06-04CVE</t>
  </si>
  <si>
    <t>2026-06-04CZK</t>
  </si>
  <si>
    <t>2026-06-04DJF</t>
  </si>
  <si>
    <t>2026-06-04DKK</t>
  </si>
  <si>
    <t>2026-06-04DOP</t>
  </si>
  <si>
    <t>2026-06-04DZD</t>
  </si>
  <si>
    <t>2026-06-04EGP</t>
  </si>
  <si>
    <t>2026-06-04ERN</t>
  </si>
  <si>
    <t>2026-06-04ETB</t>
  </si>
  <si>
    <t>2026-06-04FJD</t>
  </si>
  <si>
    <t>2026-06-04FKP</t>
  </si>
  <si>
    <t>2026-06-04FOK</t>
  </si>
  <si>
    <t>2026-06-04GBP</t>
  </si>
  <si>
    <t>2026-06-04GEL</t>
  </si>
  <si>
    <t>2026-06-04GGP</t>
  </si>
  <si>
    <t>2026-06-04GHS</t>
  </si>
  <si>
    <t>2026-06-04GIP</t>
  </si>
  <si>
    <t>2026-06-04GMD</t>
  </si>
  <si>
    <t>2026-06-04GNF</t>
  </si>
  <si>
    <t>2026-06-04GTQ</t>
  </si>
  <si>
    <t>2026-06-04GYD</t>
  </si>
  <si>
    <t>2026-06-04HKD</t>
  </si>
  <si>
    <t>2026-06-04HNL</t>
  </si>
  <si>
    <t>2026-06-04HRK</t>
  </si>
  <si>
    <t>2026-06-04HTG</t>
  </si>
  <si>
    <t>2026-06-04IDR</t>
  </si>
  <si>
    <t>2026-06-04ILS</t>
  </si>
  <si>
    <t>2026-06-04IMP</t>
  </si>
  <si>
    <t>2026-06-04INR</t>
  </si>
  <si>
    <t>2026-06-04IQD</t>
  </si>
  <si>
    <t>2026-06-04IRR</t>
  </si>
  <si>
    <t>2026-06-04ISK</t>
  </si>
  <si>
    <t>2026-06-04JEP</t>
  </si>
  <si>
    <t>2026-06-04JMD</t>
  </si>
  <si>
    <t>2026-06-04JOD</t>
  </si>
  <si>
    <t>2026-06-04JPY</t>
  </si>
  <si>
    <t>2026-06-04KES</t>
  </si>
  <si>
    <t>2026-06-04KGS</t>
  </si>
  <si>
    <t>2026-06-04KHR</t>
  </si>
  <si>
    <t>2026-06-04KID</t>
  </si>
  <si>
    <t>2026-06-04KMF</t>
  </si>
  <si>
    <t>2026-06-04KRW</t>
  </si>
  <si>
    <t>2026-06-04KWD</t>
  </si>
  <si>
    <t>2026-06-04KYD</t>
  </si>
  <si>
    <t>2026-06-04KZT</t>
  </si>
  <si>
    <t>2026-06-04LAK</t>
  </si>
  <si>
    <t>2026-06-04LBP</t>
  </si>
  <si>
    <t>2026-06-04LKR</t>
  </si>
  <si>
    <t>2026-06-04LRD</t>
  </si>
  <si>
    <t>2026-06-04LSL</t>
  </si>
  <si>
    <t>2026-06-04LYD</t>
  </si>
  <si>
    <t>2026-06-04MAD</t>
  </si>
  <si>
    <t>2026-06-04MDL</t>
  </si>
  <si>
    <t>2026-06-04MGA</t>
  </si>
  <si>
    <t>2026-06-04MKD</t>
  </si>
  <si>
    <t>2026-06-04MMK</t>
  </si>
  <si>
    <t>2026-06-04MNT</t>
  </si>
  <si>
    <t>2026-06-04MOP</t>
  </si>
  <si>
    <t>2026-06-04MRU</t>
  </si>
  <si>
    <t>2026-06-04MUR</t>
  </si>
  <si>
    <t>2026-06-04MVR</t>
  </si>
  <si>
    <t>2026-06-04MWK</t>
  </si>
  <si>
    <t>2026-06-04MXN</t>
  </si>
  <si>
    <t>2026-06-04MYR</t>
  </si>
  <si>
    <t>2026-06-04MZN</t>
  </si>
  <si>
    <t>2026-06-04NAD</t>
  </si>
  <si>
    <t>2026-06-04NGN</t>
  </si>
  <si>
    <t>2026-06-04NIO</t>
  </si>
  <si>
    <t>2026-06-04NOK</t>
  </si>
  <si>
    <t>2026-06-04NPR</t>
  </si>
  <si>
    <t>2026-06-04NZD</t>
  </si>
  <si>
    <t>2026-06-04OMR</t>
  </si>
  <si>
    <t>2026-06-04PAB</t>
  </si>
  <si>
    <t>2026-06-04PEN</t>
  </si>
  <si>
    <t>2026-06-04PGK</t>
  </si>
  <si>
    <t>2026-06-04PHP</t>
  </si>
  <si>
    <t>2026-06-04PKR</t>
  </si>
  <si>
    <t>2026-06-04PLN</t>
  </si>
  <si>
    <t>2026-06-04PYG</t>
  </si>
  <si>
    <t>2026-06-04QAR</t>
  </si>
  <si>
    <t>2026-06-04RON</t>
  </si>
  <si>
    <t>2026-06-04RSD</t>
  </si>
  <si>
    <t>2026-06-04RUB</t>
  </si>
  <si>
    <t>2026-06-04RWF</t>
  </si>
  <si>
    <t>2026-06-04SAR</t>
  </si>
  <si>
    <t>2026-06-04SBD</t>
  </si>
  <si>
    <t>2026-06-04SCR</t>
  </si>
  <si>
    <t>2026-06-04SDG</t>
  </si>
  <si>
    <t>2026-06-04SEK</t>
  </si>
  <si>
    <t>2026-06-04SGD</t>
  </si>
  <si>
    <t>2026-06-04SHP</t>
  </si>
  <si>
    <t>2026-06-04SLE</t>
  </si>
  <si>
    <t>2026-06-04SLL</t>
  </si>
  <si>
    <t>2026-06-04SOS</t>
  </si>
  <si>
    <t>2026-06-04SRD</t>
  </si>
  <si>
    <t>2026-06-04SSP</t>
  </si>
  <si>
    <t>2026-06-04STN</t>
  </si>
  <si>
    <t>2026-06-04SYP</t>
  </si>
  <si>
    <t>2026-06-04SZL</t>
  </si>
  <si>
    <t>2026-06-04THB</t>
  </si>
  <si>
    <t>2026-06-04TJS</t>
  </si>
  <si>
    <t>2026-06-04TMT</t>
  </si>
  <si>
    <t>2026-06-04TND</t>
  </si>
  <si>
    <t>2026-06-04TOP</t>
  </si>
  <si>
    <t>2026-06-04TRY</t>
  </si>
  <si>
    <t>2026-06-04TTD</t>
  </si>
  <si>
    <t>2026-06-04TVD</t>
  </si>
  <si>
    <t>2026-06-04TWD</t>
  </si>
  <si>
    <t>2026-06-04TZS</t>
  </si>
  <si>
    <t>2026-06-04UAH</t>
  </si>
  <si>
    <t>2026-06-04UGX</t>
  </si>
  <si>
    <t>2026-06-04USD</t>
  </si>
  <si>
    <t>2026-06-04UYU</t>
  </si>
  <si>
    <t>2026-06-04UZS</t>
  </si>
  <si>
    <t>2026-06-04VES</t>
  </si>
  <si>
    <t>2026-06-04VND</t>
  </si>
  <si>
    <t>2026-06-04VUV</t>
  </si>
  <si>
    <t>2026-06-04WST</t>
  </si>
  <si>
    <t>2026-06-04XAF</t>
  </si>
  <si>
    <t>2026-06-04XCD</t>
  </si>
  <si>
    <t>2026-06-04XCG</t>
  </si>
  <si>
    <t>2026-06-04XDR</t>
  </si>
  <si>
    <t>2026-06-04XOF</t>
  </si>
  <si>
    <t>2026-06-04XPF</t>
  </si>
  <si>
    <t>2026-06-04YER</t>
  </si>
  <si>
    <t>2026-06-04ZAR</t>
  </si>
  <si>
    <t>2026-06-04ZMW</t>
  </si>
  <si>
    <t>2026-06-04ZWG</t>
  </si>
  <si>
    <t>2026-06-04ZWL</t>
  </si>
  <si>
    <t>2026-06-06EUR</t>
  </si>
  <si>
    <t>2026-06-06AED</t>
  </si>
  <si>
    <t>2026-06-06AFN</t>
  </si>
  <si>
    <t>2026-06-06ALL</t>
  </si>
  <si>
    <t>2026-06-06AMD</t>
  </si>
  <si>
    <t>2026-06-06ANG</t>
  </si>
  <si>
    <t>2026-06-06AOA</t>
  </si>
  <si>
    <t>2026-06-06ARS</t>
  </si>
  <si>
    <t>2026-06-06AUD</t>
  </si>
  <si>
    <t>2026-06-06AWG</t>
  </si>
  <si>
    <t>2026-06-06AZN</t>
  </si>
  <si>
    <t>2026-06-06BAM</t>
  </si>
  <si>
    <t>2026-06-06BBD</t>
  </si>
  <si>
    <t>2026-06-06BDT</t>
  </si>
  <si>
    <t>2026-06-06BGN</t>
  </si>
  <si>
    <t>2026-06-06BHD</t>
  </si>
  <si>
    <t>2026-06-06BIF</t>
  </si>
  <si>
    <t>2026-06-06BMD</t>
  </si>
  <si>
    <t>2026-06-06BND</t>
  </si>
  <si>
    <t>2026-06-06BOB</t>
  </si>
  <si>
    <t>2026-06-06BRL</t>
  </si>
  <si>
    <t>2026-06-06BSD</t>
  </si>
  <si>
    <t>2026-06-06BTN</t>
  </si>
  <si>
    <t>2026-06-06BWP</t>
  </si>
  <si>
    <t>2026-06-06BYN</t>
  </si>
  <si>
    <t>2026-06-06BZD</t>
  </si>
  <si>
    <t>2026-06-06CAD</t>
  </si>
  <si>
    <t>2026-06-06CDF</t>
  </si>
  <si>
    <t>2026-06-06CHF</t>
  </si>
  <si>
    <t>2026-06-06CLF</t>
  </si>
  <si>
    <t>2026-06-06CLP</t>
  </si>
  <si>
    <t>2026-06-06CNH</t>
  </si>
  <si>
    <t>2026-06-06CNY</t>
  </si>
  <si>
    <t>2026-06-06COP</t>
  </si>
  <si>
    <t>2026-06-06CRC</t>
  </si>
  <si>
    <t>2026-06-06CUP</t>
  </si>
  <si>
    <t>2026-06-06CVE</t>
  </si>
  <si>
    <t>2026-06-06CZK</t>
  </si>
  <si>
    <t>2026-06-06DJF</t>
  </si>
  <si>
    <t>2026-06-06DKK</t>
  </si>
  <si>
    <t>2026-06-06DOP</t>
  </si>
  <si>
    <t>2026-06-06DZD</t>
  </si>
  <si>
    <t>2026-06-06EGP</t>
  </si>
  <si>
    <t>2026-06-06ERN</t>
  </si>
  <si>
    <t>2026-06-06ETB</t>
  </si>
  <si>
    <t>2026-06-06FJD</t>
  </si>
  <si>
    <t>2026-06-06FKP</t>
  </si>
  <si>
    <t>2026-06-06FOK</t>
  </si>
  <si>
    <t>2026-06-06GBP</t>
  </si>
  <si>
    <t>2026-06-06GEL</t>
  </si>
  <si>
    <t>2026-06-06GGP</t>
  </si>
  <si>
    <t>2026-06-06GHS</t>
  </si>
  <si>
    <t>2026-06-06GIP</t>
  </si>
  <si>
    <t>2026-06-06GMD</t>
  </si>
  <si>
    <t>2026-06-06GNF</t>
  </si>
  <si>
    <t>2026-06-06GTQ</t>
  </si>
  <si>
    <t>2026-06-06GYD</t>
  </si>
  <si>
    <t>2026-06-06HKD</t>
  </si>
  <si>
    <t>2026-06-06HNL</t>
  </si>
  <si>
    <t>2026-06-06HRK</t>
  </si>
  <si>
    <t>2026-06-06HTG</t>
  </si>
  <si>
    <t>2026-06-06IDR</t>
  </si>
  <si>
    <t>2026-06-06ILS</t>
  </si>
  <si>
    <t>2026-06-06IMP</t>
  </si>
  <si>
    <t>2026-06-06INR</t>
  </si>
  <si>
    <t>2026-06-06IQD</t>
  </si>
  <si>
    <t>2026-06-06IRR</t>
  </si>
  <si>
    <t>2026-06-06ISK</t>
  </si>
  <si>
    <t>2026-06-06JEP</t>
  </si>
  <si>
    <t>2026-06-06JMD</t>
  </si>
  <si>
    <t>2026-06-06JOD</t>
  </si>
  <si>
    <t>2026-06-06JPY</t>
  </si>
  <si>
    <t>2026-06-06KES</t>
  </si>
  <si>
    <t>2026-06-06KGS</t>
  </si>
  <si>
    <t>2026-06-06KHR</t>
  </si>
  <si>
    <t>2026-06-06KID</t>
  </si>
  <si>
    <t>2026-06-06KMF</t>
  </si>
  <si>
    <t>2026-06-06KRW</t>
  </si>
  <si>
    <t>2026-06-06KWD</t>
  </si>
  <si>
    <t>2026-06-06KYD</t>
  </si>
  <si>
    <t>2026-06-06KZT</t>
  </si>
  <si>
    <t>2026-06-06LAK</t>
  </si>
  <si>
    <t>2026-06-06LBP</t>
  </si>
  <si>
    <t>2026-06-06LKR</t>
  </si>
  <si>
    <t>2026-06-06LRD</t>
  </si>
  <si>
    <t>2026-06-06LSL</t>
  </si>
  <si>
    <t>2026-06-06LYD</t>
  </si>
  <si>
    <t>2026-06-06MAD</t>
  </si>
  <si>
    <t>2026-06-06MDL</t>
  </si>
  <si>
    <t>2026-06-06MGA</t>
  </si>
  <si>
    <t>2026-06-06MKD</t>
  </si>
  <si>
    <t>2026-06-06MMK</t>
  </si>
  <si>
    <t>2026-06-06MNT</t>
  </si>
  <si>
    <t>2026-06-06MOP</t>
  </si>
  <si>
    <t>2026-06-06MRU</t>
  </si>
  <si>
    <t>2026-06-06MUR</t>
  </si>
  <si>
    <t>2026-06-06MVR</t>
  </si>
  <si>
    <t>2026-06-06MWK</t>
  </si>
  <si>
    <t>2026-06-06MXN</t>
  </si>
  <si>
    <t>2026-06-06MYR</t>
  </si>
  <si>
    <t>2026-06-06MZN</t>
  </si>
  <si>
    <t>2026-06-06NAD</t>
  </si>
  <si>
    <t>2026-06-06NGN</t>
  </si>
  <si>
    <t>2026-06-06NIO</t>
  </si>
  <si>
    <t>2026-06-06NOK</t>
  </si>
  <si>
    <t>2026-06-06NPR</t>
  </si>
  <si>
    <t>2026-06-06NZD</t>
  </si>
  <si>
    <t>2026-06-06OMR</t>
  </si>
  <si>
    <t>2026-06-06PAB</t>
  </si>
  <si>
    <t>2026-06-06PEN</t>
  </si>
  <si>
    <t>2026-06-06PGK</t>
  </si>
  <si>
    <t>2026-06-06PHP</t>
  </si>
  <si>
    <t>2026-06-06PKR</t>
  </si>
  <si>
    <t>2026-06-06PLN</t>
  </si>
  <si>
    <t>2026-06-06PYG</t>
  </si>
  <si>
    <t>2026-06-06QAR</t>
  </si>
  <si>
    <t>2026-06-06RON</t>
  </si>
  <si>
    <t>2026-06-06RSD</t>
  </si>
  <si>
    <t>2026-06-06RUB</t>
  </si>
  <si>
    <t>2026-06-06RWF</t>
  </si>
  <si>
    <t>2026-06-06SAR</t>
  </si>
  <si>
    <t>2026-06-06SBD</t>
  </si>
  <si>
    <t>2026-06-06SCR</t>
  </si>
  <si>
    <t>2026-06-06SDG</t>
  </si>
  <si>
    <t>2026-06-06SEK</t>
  </si>
  <si>
    <t>2026-06-06SGD</t>
  </si>
  <si>
    <t>2026-06-06SHP</t>
  </si>
  <si>
    <t>2026-06-06SLE</t>
  </si>
  <si>
    <t>2026-06-06SLL</t>
  </si>
  <si>
    <t>2026-06-06SOS</t>
  </si>
  <si>
    <t>2026-06-06SRD</t>
  </si>
  <si>
    <t>2026-06-06SSP</t>
  </si>
  <si>
    <t>2026-06-06STN</t>
  </si>
  <si>
    <t>2026-06-06SYP</t>
  </si>
  <si>
    <t>2026-06-06SZL</t>
  </si>
  <si>
    <t>2026-06-06THB</t>
  </si>
  <si>
    <t>2026-06-06TJS</t>
  </si>
  <si>
    <t>2026-06-06TMT</t>
  </si>
  <si>
    <t>2026-06-06TND</t>
  </si>
  <si>
    <t>2026-06-06TOP</t>
  </si>
  <si>
    <t>2026-06-06TRY</t>
  </si>
  <si>
    <t>2026-06-06TTD</t>
  </si>
  <si>
    <t>2026-06-06TVD</t>
  </si>
  <si>
    <t>2026-06-06TWD</t>
  </si>
  <si>
    <t>2026-06-06TZS</t>
  </si>
  <si>
    <t>2026-06-06UAH</t>
  </si>
  <si>
    <t>2026-06-06UGX</t>
  </si>
  <si>
    <t>2026-06-06USD</t>
  </si>
  <si>
    <t>2026-06-06UYU</t>
  </si>
  <si>
    <t>2026-06-06UZS</t>
  </si>
  <si>
    <t>2026-06-06VES</t>
  </si>
  <si>
    <t>2026-06-06VND</t>
  </si>
  <si>
    <t>2026-06-06VUV</t>
  </si>
  <si>
    <t>2026-06-06WST</t>
  </si>
  <si>
    <t>2026-06-06XAF</t>
  </si>
  <si>
    <t>2026-06-06XCD</t>
  </si>
  <si>
    <t>2026-06-06XCG</t>
  </si>
  <si>
    <t>2026-06-06XDR</t>
  </si>
  <si>
    <t>2026-06-06XOF</t>
  </si>
  <si>
    <t>2026-06-06XPF</t>
  </si>
  <si>
    <t>2026-06-06YER</t>
  </si>
  <si>
    <t>2026-06-06ZAR</t>
  </si>
  <si>
    <t>2026-06-06ZMW</t>
  </si>
  <si>
    <t>2026-06-06ZWG</t>
  </si>
  <si>
    <t>2026-06-06ZWL</t>
  </si>
  <si>
    <t>2026-06-07EUR</t>
  </si>
  <si>
    <t>2026-06-07AED</t>
  </si>
  <si>
    <t>2026-06-07AFN</t>
  </si>
  <si>
    <t>2026-06-07ALL</t>
  </si>
  <si>
    <t>2026-06-07AMD</t>
  </si>
  <si>
    <t>2026-06-07ANG</t>
  </si>
  <si>
    <t>2026-06-07AOA</t>
  </si>
  <si>
    <t>2026-06-07ARS</t>
  </si>
  <si>
    <t>2026-06-07AUD</t>
  </si>
  <si>
    <t>2026-06-07AWG</t>
  </si>
  <si>
    <t>2026-06-07AZN</t>
  </si>
  <si>
    <t>2026-06-07BAM</t>
  </si>
  <si>
    <t>2026-06-07BBD</t>
  </si>
  <si>
    <t>2026-06-07BDT</t>
  </si>
  <si>
    <t>2026-06-07BGN</t>
  </si>
  <si>
    <t>2026-06-07BHD</t>
  </si>
  <si>
    <t>2026-06-07BIF</t>
  </si>
  <si>
    <t>2026-06-07BMD</t>
  </si>
  <si>
    <t>2026-06-07BND</t>
  </si>
  <si>
    <t>2026-06-07BOB</t>
  </si>
  <si>
    <t>2026-06-07BRL</t>
  </si>
  <si>
    <t>2026-06-07BSD</t>
  </si>
  <si>
    <t>2026-06-07BTN</t>
  </si>
  <si>
    <t>2026-06-07BWP</t>
  </si>
  <si>
    <t>2026-06-07BYN</t>
  </si>
  <si>
    <t>2026-06-07BZD</t>
  </si>
  <si>
    <t>2026-06-07CAD</t>
  </si>
  <si>
    <t>2026-06-07CDF</t>
  </si>
  <si>
    <t>2026-06-07CHF</t>
  </si>
  <si>
    <t>2026-06-07CLF</t>
  </si>
  <si>
    <t>2026-06-07CLP</t>
  </si>
  <si>
    <t>2026-06-07CNH</t>
  </si>
  <si>
    <t>2026-06-07CNY</t>
  </si>
  <si>
    <t>2026-06-07COP</t>
  </si>
  <si>
    <t>2026-06-07CRC</t>
  </si>
  <si>
    <t>2026-06-07CUP</t>
  </si>
  <si>
    <t>2026-06-07CVE</t>
  </si>
  <si>
    <t>2026-06-07CZK</t>
  </si>
  <si>
    <t>2026-06-07DJF</t>
  </si>
  <si>
    <t>2026-06-07DKK</t>
  </si>
  <si>
    <t>2026-06-07DOP</t>
  </si>
  <si>
    <t>2026-06-07DZD</t>
  </si>
  <si>
    <t>2026-06-07EGP</t>
  </si>
  <si>
    <t>2026-06-07ERN</t>
  </si>
  <si>
    <t>2026-06-07ETB</t>
  </si>
  <si>
    <t>2026-06-07FJD</t>
  </si>
  <si>
    <t>2026-06-07FKP</t>
  </si>
  <si>
    <t>2026-06-07FOK</t>
  </si>
  <si>
    <t>2026-06-07GBP</t>
  </si>
  <si>
    <t>2026-06-07GEL</t>
  </si>
  <si>
    <t>2026-06-07GGP</t>
  </si>
  <si>
    <t>2026-06-07GHS</t>
  </si>
  <si>
    <t>2026-06-07GIP</t>
  </si>
  <si>
    <t>2026-06-07GMD</t>
  </si>
  <si>
    <t>2026-06-07GNF</t>
  </si>
  <si>
    <t>2026-06-07GTQ</t>
  </si>
  <si>
    <t>2026-06-07GYD</t>
  </si>
  <si>
    <t>2026-06-07HKD</t>
  </si>
  <si>
    <t>2026-06-07HNL</t>
  </si>
  <si>
    <t>2026-06-07HRK</t>
  </si>
  <si>
    <t>2026-06-07HTG</t>
  </si>
  <si>
    <t>2026-06-07IDR</t>
  </si>
  <si>
    <t>2026-06-07ILS</t>
  </si>
  <si>
    <t>2026-06-07IMP</t>
  </si>
  <si>
    <t>2026-06-07INR</t>
  </si>
  <si>
    <t>2026-06-07IQD</t>
  </si>
  <si>
    <t>2026-06-07IRR</t>
  </si>
  <si>
    <t>2026-06-07ISK</t>
  </si>
  <si>
    <t>2026-06-07JEP</t>
  </si>
  <si>
    <t>2026-06-07JMD</t>
  </si>
  <si>
    <t>2026-06-07JOD</t>
  </si>
  <si>
    <t>2026-06-07JPY</t>
  </si>
  <si>
    <t>2026-06-07KES</t>
  </si>
  <si>
    <t>2026-06-07KGS</t>
  </si>
  <si>
    <t>2026-06-07KHR</t>
  </si>
  <si>
    <t>2026-06-07KID</t>
  </si>
  <si>
    <t>2026-06-07KMF</t>
  </si>
  <si>
    <t>2026-06-07KRW</t>
  </si>
  <si>
    <t>2026-06-07KWD</t>
  </si>
  <si>
    <t>2026-06-07KYD</t>
  </si>
  <si>
    <t>2026-06-07KZT</t>
  </si>
  <si>
    <t>2026-06-07LAK</t>
  </si>
  <si>
    <t>2026-06-07LBP</t>
  </si>
  <si>
    <t>2026-06-07LKR</t>
  </si>
  <si>
    <t>2026-06-07LRD</t>
  </si>
  <si>
    <t>2026-06-07LSL</t>
  </si>
  <si>
    <t>2026-06-07LYD</t>
  </si>
  <si>
    <t>2026-06-07MAD</t>
  </si>
  <si>
    <t>2026-06-07MDL</t>
  </si>
  <si>
    <t>2026-06-07MGA</t>
  </si>
  <si>
    <t>2026-06-07MKD</t>
  </si>
  <si>
    <t>2026-06-07MMK</t>
  </si>
  <si>
    <t>2026-06-07MNT</t>
  </si>
  <si>
    <t>2026-06-07MOP</t>
  </si>
  <si>
    <t>2026-06-07MRU</t>
  </si>
  <si>
    <t>2026-06-07MUR</t>
  </si>
  <si>
    <t>2026-06-07MVR</t>
  </si>
  <si>
    <t>2026-06-07MWK</t>
  </si>
  <si>
    <t>2026-06-07MXN</t>
  </si>
  <si>
    <t>2026-06-07MYR</t>
  </si>
  <si>
    <t>2026-06-07MZN</t>
  </si>
  <si>
    <t>2026-06-07NAD</t>
  </si>
  <si>
    <t>2026-06-07NGN</t>
  </si>
  <si>
    <t>2026-06-07NIO</t>
  </si>
  <si>
    <t>2026-06-07NOK</t>
  </si>
  <si>
    <t>2026-06-07NPR</t>
  </si>
  <si>
    <t>2026-06-07NZD</t>
  </si>
  <si>
    <t>2026-06-07OMR</t>
  </si>
  <si>
    <t>2026-06-07PAB</t>
  </si>
  <si>
    <t>2026-06-07PEN</t>
  </si>
  <si>
    <t>2026-06-07PGK</t>
  </si>
  <si>
    <t>2026-06-07PHP</t>
  </si>
  <si>
    <t>2026-06-07PKR</t>
  </si>
  <si>
    <t>2026-06-07PLN</t>
  </si>
  <si>
    <t>2026-06-07PYG</t>
  </si>
  <si>
    <t>2026-06-07QAR</t>
  </si>
  <si>
    <t>2026-06-07RON</t>
  </si>
  <si>
    <t>2026-06-07RSD</t>
  </si>
  <si>
    <t>2026-06-07RUB</t>
  </si>
  <si>
    <t>2026-06-07RWF</t>
  </si>
  <si>
    <t>2026-06-07SAR</t>
  </si>
  <si>
    <t>2026-06-07SBD</t>
  </si>
  <si>
    <t>2026-06-07SCR</t>
  </si>
  <si>
    <t>2026-06-07SDG</t>
  </si>
  <si>
    <t>2026-06-07SEK</t>
  </si>
  <si>
    <t>2026-06-07SGD</t>
  </si>
  <si>
    <t>2026-06-07SHP</t>
  </si>
  <si>
    <t>2026-06-07SLE</t>
  </si>
  <si>
    <t>2026-06-07SLL</t>
  </si>
  <si>
    <t>2026-06-07SOS</t>
  </si>
  <si>
    <t>2026-06-07SRD</t>
  </si>
  <si>
    <t>2026-06-07SSP</t>
  </si>
  <si>
    <t>2026-06-07STN</t>
  </si>
  <si>
    <t>2026-06-07SYP</t>
  </si>
  <si>
    <t>2026-06-07SZL</t>
  </si>
  <si>
    <t>2026-06-07THB</t>
  </si>
  <si>
    <t>2026-06-07TJS</t>
  </si>
  <si>
    <t>2026-06-07TMT</t>
  </si>
  <si>
    <t>2026-06-07TND</t>
  </si>
  <si>
    <t>2026-06-07TOP</t>
  </si>
  <si>
    <t>2026-06-07TRY</t>
  </si>
  <si>
    <t>2026-06-07TTD</t>
  </si>
  <si>
    <t>2026-06-07TVD</t>
  </si>
  <si>
    <t>2026-06-07TWD</t>
  </si>
  <si>
    <t>2026-06-07TZS</t>
  </si>
  <si>
    <t>2026-06-07UAH</t>
  </si>
  <si>
    <t>2026-06-07UGX</t>
  </si>
  <si>
    <t>2026-06-07USD</t>
  </si>
  <si>
    <t>2026-06-07UYU</t>
  </si>
  <si>
    <t>2026-06-07UZS</t>
  </si>
  <si>
    <t>2026-06-07VES</t>
  </si>
  <si>
    <t>2026-06-07VND</t>
  </si>
  <si>
    <t>2026-06-07VUV</t>
  </si>
  <si>
    <t>2026-06-07WST</t>
  </si>
  <si>
    <t>2026-06-07XAF</t>
  </si>
  <si>
    <t>2026-06-07XCD</t>
  </si>
  <si>
    <t>2026-06-07XCG</t>
  </si>
  <si>
    <t>2026-06-07XDR</t>
  </si>
  <si>
    <t>2026-06-07XOF</t>
  </si>
  <si>
    <t>2026-06-07XPF</t>
  </si>
  <si>
    <t>2026-06-07YER</t>
  </si>
  <si>
    <t>2026-06-07ZAR</t>
  </si>
  <si>
    <t>2026-06-07ZMW</t>
  </si>
  <si>
    <t>2026-06-07ZWG</t>
  </si>
  <si>
    <t>2026-06-07ZWL</t>
  </si>
  <si>
    <t>2026-06-09EUR</t>
  </si>
  <si>
    <t>2026-06-09AED</t>
  </si>
  <si>
    <t>2026-06-09AFN</t>
  </si>
  <si>
    <t>2026-06-09ALL</t>
  </si>
  <si>
    <t>2026-06-09AMD</t>
  </si>
  <si>
    <t>2026-06-09ANG</t>
  </si>
  <si>
    <t>2026-06-09AOA</t>
  </si>
  <si>
    <t>2026-06-09ARS</t>
  </si>
  <si>
    <t>2026-06-09AUD</t>
  </si>
  <si>
    <t>2026-06-09AWG</t>
  </si>
  <si>
    <t>2026-06-09AZN</t>
  </si>
  <si>
    <t>2026-06-09BAM</t>
  </si>
  <si>
    <t>2026-06-09BBD</t>
  </si>
  <si>
    <t>2026-06-09BDT</t>
  </si>
  <si>
    <t>2026-06-09BGN</t>
  </si>
  <si>
    <t>2026-06-09BHD</t>
  </si>
  <si>
    <t>2026-06-09BIF</t>
  </si>
  <si>
    <t>2026-06-09BMD</t>
  </si>
  <si>
    <t>2026-06-09BND</t>
  </si>
  <si>
    <t>2026-06-09BOB</t>
  </si>
  <si>
    <t>2026-06-09BRL</t>
  </si>
  <si>
    <t>2026-06-09BSD</t>
  </si>
  <si>
    <t>2026-06-09BTN</t>
  </si>
  <si>
    <t>2026-06-09BWP</t>
  </si>
  <si>
    <t>2026-06-09BYN</t>
  </si>
  <si>
    <t>2026-06-09BZD</t>
  </si>
  <si>
    <t>2026-06-09CAD</t>
  </si>
  <si>
    <t>2026-06-09CDF</t>
  </si>
  <si>
    <t>2026-06-09CHF</t>
  </si>
  <si>
    <t>2026-06-09CLF</t>
  </si>
  <si>
    <t>2026-06-09CLP</t>
  </si>
  <si>
    <t>2026-06-09CNH</t>
  </si>
  <si>
    <t>2026-06-09CNY</t>
  </si>
  <si>
    <t>2026-06-09COP</t>
  </si>
  <si>
    <t>2026-06-09CRC</t>
  </si>
  <si>
    <t>2026-06-09CUP</t>
  </si>
  <si>
    <t>2026-06-09CVE</t>
  </si>
  <si>
    <t>2026-06-09CZK</t>
  </si>
  <si>
    <t>2026-06-09DJF</t>
  </si>
  <si>
    <t>2026-06-09DKK</t>
  </si>
  <si>
    <t>2026-06-09DOP</t>
  </si>
  <si>
    <t>2026-06-09DZD</t>
  </si>
  <si>
    <t>2026-06-09EGP</t>
  </si>
  <si>
    <t>2026-06-09ERN</t>
  </si>
  <si>
    <t>2026-06-09ETB</t>
  </si>
  <si>
    <t>2026-06-09FJD</t>
  </si>
  <si>
    <t>2026-06-09FKP</t>
  </si>
  <si>
    <t>2026-06-09FOK</t>
  </si>
  <si>
    <t>2026-06-09GBP</t>
  </si>
  <si>
    <t>2026-06-09GEL</t>
  </si>
  <si>
    <t>2026-06-09GGP</t>
  </si>
  <si>
    <t>2026-06-09GHS</t>
  </si>
  <si>
    <t>2026-06-09GIP</t>
  </si>
  <si>
    <t>2026-06-09GMD</t>
  </si>
  <si>
    <t>2026-06-09GNF</t>
  </si>
  <si>
    <t>2026-06-09GTQ</t>
  </si>
  <si>
    <t>2026-06-09GYD</t>
  </si>
  <si>
    <t>2026-06-09HKD</t>
  </si>
  <si>
    <t>2026-06-09HNL</t>
  </si>
  <si>
    <t>2026-06-09HRK</t>
  </si>
  <si>
    <t>2026-06-09HTG</t>
  </si>
  <si>
    <t>2026-06-09IDR</t>
  </si>
  <si>
    <t>2026-06-09ILS</t>
  </si>
  <si>
    <t>2026-06-09IMP</t>
  </si>
  <si>
    <t>2026-06-09INR</t>
  </si>
  <si>
    <t>2026-06-09IQD</t>
  </si>
  <si>
    <t>2026-06-09IRR</t>
  </si>
  <si>
    <t>2026-06-09ISK</t>
  </si>
  <si>
    <t>2026-06-09JEP</t>
  </si>
  <si>
    <t>2026-06-09JMD</t>
  </si>
  <si>
    <t>2026-06-09JOD</t>
  </si>
  <si>
    <t>2026-06-09JPY</t>
  </si>
  <si>
    <t>2026-06-09KES</t>
  </si>
  <si>
    <t>2026-06-09KGS</t>
  </si>
  <si>
    <t>2026-06-09KHR</t>
  </si>
  <si>
    <t>2026-06-09KID</t>
  </si>
  <si>
    <t>2026-06-09KMF</t>
  </si>
  <si>
    <t>2026-06-09KRW</t>
  </si>
  <si>
    <t>2026-06-09KWD</t>
  </si>
  <si>
    <t>2026-06-09KYD</t>
  </si>
  <si>
    <t>2026-06-09KZT</t>
  </si>
  <si>
    <t>2026-06-09LAK</t>
  </si>
  <si>
    <t>2026-06-09LBP</t>
  </si>
  <si>
    <t>2026-06-09LKR</t>
  </si>
  <si>
    <t>2026-06-09LRD</t>
  </si>
  <si>
    <t>2026-06-09LSL</t>
  </si>
  <si>
    <t>2026-06-09LYD</t>
  </si>
  <si>
    <t>2026-06-09MAD</t>
  </si>
  <si>
    <t>2026-06-09MDL</t>
  </si>
  <si>
    <t>2026-06-09MGA</t>
  </si>
  <si>
    <t>2026-06-09MKD</t>
  </si>
  <si>
    <t>2026-06-09MMK</t>
  </si>
  <si>
    <t>2026-06-09MNT</t>
  </si>
  <si>
    <t>2026-06-09MOP</t>
  </si>
  <si>
    <t>2026-06-09MRU</t>
  </si>
  <si>
    <t>2026-06-09MUR</t>
  </si>
  <si>
    <t>2026-06-09MVR</t>
  </si>
  <si>
    <t>2026-06-09MWK</t>
  </si>
  <si>
    <t>2026-06-09MXN</t>
  </si>
  <si>
    <t>2026-06-09MYR</t>
  </si>
  <si>
    <t>2026-06-09MZN</t>
  </si>
  <si>
    <t>2026-06-09NAD</t>
  </si>
  <si>
    <t>2026-06-09NGN</t>
  </si>
  <si>
    <t>2026-06-09NIO</t>
  </si>
  <si>
    <t>2026-06-09NOK</t>
  </si>
  <si>
    <t>2026-06-09NPR</t>
  </si>
  <si>
    <t>2026-06-09NZD</t>
  </si>
  <si>
    <t>2026-06-09OMR</t>
  </si>
  <si>
    <t>2026-06-09PAB</t>
  </si>
  <si>
    <t>2026-06-09PEN</t>
  </si>
  <si>
    <t>2026-06-09PGK</t>
  </si>
  <si>
    <t>2026-06-09PHP</t>
  </si>
  <si>
    <t>2026-06-09PKR</t>
  </si>
  <si>
    <t>2026-06-09PLN</t>
  </si>
  <si>
    <t>2026-06-09PYG</t>
  </si>
  <si>
    <t>2026-06-09QAR</t>
  </si>
  <si>
    <t>2026-06-09RON</t>
  </si>
  <si>
    <t>2026-06-09RSD</t>
  </si>
  <si>
    <t>2026-06-09RUB</t>
  </si>
  <si>
    <t>2026-06-09RWF</t>
  </si>
  <si>
    <t>2026-06-09SAR</t>
  </si>
  <si>
    <t>2026-06-09SBD</t>
  </si>
  <si>
    <t>2026-06-09SCR</t>
  </si>
  <si>
    <t>2026-06-09SDG</t>
  </si>
  <si>
    <t>2026-06-09SEK</t>
  </si>
  <si>
    <t>2026-06-09SGD</t>
  </si>
  <si>
    <t>2026-06-09SHP</t>
  </si>
  <si>
    <t>2026-06-09SLE</t>
  </si>
  <si>
    <t>2026-06-09SLL</t>
  </si>
  <si>
    <t>2026-06-09SOS</t>
  </si>
  <si>
    <t>2026-06-09SRD</t>
  </si>
  <si>
    <t>2026-06-09SSP</t>
  </si>
  <si>
    <t>2026-06-09STN</t>
  </si>
  <si>
    <t>2026-06-09SYP</t>
  </si>
  <si>
    <t>2026-06-09SZL</t>
  </si>
  <si>
    <t>2026-06-09THB</t>
  </si>
  <si>
    <t>2026-06-09TJS</t>
  </si>
  <si>
    <t>2026-06-09TMT</t>
  </si>
  <si>
    <t>2026-06-09TND</t>
  </si>
  <si>
    <t>2026-06-09TOP</t>
  </si>
  <si>
    <t>2026-06-09TRY</t>
  </si>
  <si>
    <t>2026-06-09TTD</t>
  </si>
  <si>
    <t>2026-06-09TVD</t>
  </si>
  <si>
    <t>2026-06-09TWD</t>
  </si>
  <si>
    <t>2026-06-09TZS</t>
  </si>
  <si>
    <t>2026-06-09UAH</t>
  </si>
  <si>
    <t>2026-06-09UGX</t>
  </si>
  <si>
    <t>2026-06-09USD</t>
  </si>
  <si>
    <t>2026-06-09UYU</t>
  </si>
  <si>
    <t>2026-06-09UZS</t>
  </si>
  <si>
    <t>2026-06-09VES</t>
  </si>
  <si>
    <t>2026-06-09VND</t>
  </si>
  <si>
    <t>2026-06-09VUV</t>
  </si>
  <si>
    <t>2026-06-09WST</t>
  </si>
  <si>
    <t>2026-06-09XAF</t>
  </si>
  <si>
    <t>2026-06-09XCD</t>
  </si>
  <si>
    <t>2026-06-09XCG</t>
  </si>
  <si>
    <t>2026-06-09XDR</t>
  </si>
  <si>
    <t>2026-06-09XOF</t>
  </si>
  <si>
    <t>2026-06-09XPF</t>
  </si>
  <si>
    <t>2026-06-09YER</t>
  </si>
  <si>
    <t>2026-06-09ZAR</t>
  </si>
  <si>
    <t>2026-06-09ZMW</t>
  </si>
  <si>
    <t>2026-06-09ZWG</t>
  </si>
  <si>
    <t>2026-06-09ZWL</t>
  </si>
  <si>
    <t>2026-06-10EUR</t>
  </si>
  <si>
    <t>2026-06-10AED</t>
  </si>
  <si>
    <t>2026-06-10AFN</t>
  </si>
  <si>
    <t>2026-06-10ALL</t>
  </si>
  <si>
    <t>2026-06-10AMD</t>
  </si>
  <si>
    <t>2026-06-10ANG</t>
  </si>
  <si>
    <t>2026-06-10AOA</t>
  </si>
  <si>
    <t>2026-06-10ARS</t>
  </si>
  <si>
    <t>2026-06-10AUD</t>
  </si>
  <si>
    <t>2026-06-10AWG</t>
  </si>
  <si>
    <t>2026-06-10AZN</t>
  </si>
  <si>
    <t>2026-06-10BAM</t>
  </si>
  <si>
    <t>2026-06-10BBD</t>
  </si>
  <si>
    <t>2026-06-10BDT</t>
  </si>
  <si>
    <t>2026-06-10BGN</t>
  </si>
  <si>
    <t>2026-06-10BHD</t>
  </si>
  <si>
    <t>2026-06-10BIF</t>
  </si>
  <si>
    <t>2026-06-10BMD</t>
  </si>
  <si>
    <t>2026-06-10BND</t>
  </si>
  <si>
    <t>2026-06-10BOB</t>
  </si>
  <si>
    <t>2026-06-10BRL</t>
  </si>
  <si>
    <t>2026-06-10BSD</t>
  </si>
  <si>
    <t>2026-06-10BTN</t>
  </si>
  <si>
    <t>2026-06-10BWP</t>
  </si>
  <si>
    <t>2026-06-10BYN</t>
  </si>
  <si>
    <t>2026-06-10BZD</t>
  </si>
  <si>
    <t>2026-06-10CAD</t>
  </si>
  <si>
    <t>2026-06-10CDF</t>
  </si>
  <si>
    <t>2026-06-10CHF</t>
  </si>
  <si>
    <t>2026-06-10CLF</t>
  </si>
  <si>
    <t>2026-06-10CLP</t>
  </si>
  <si>
    <t>2026-06-10CNH</t>
  </si>
  <si>
    <t>2026-06-10CNY</t>
  </si>
  <si>
    <t>2026-06-10COP</t>
  </si>
  <si>
    <t>2026-06-10CRC</t>
  </si>
  <si>
    <t>2026-06-10CUP</t>
  </si>
  <si>
    <t>2026-06-10CVE</t>
  </si>
  <si>
    <t>2026-06-10CZK</t>
  </si>
  <si>
    <t>2026-06-10DJF</t>
  </si>
  <si>
    <t>2026-06-10DKK</t>
  </si>
  <si>
    <t>2026-06-10DOP</t>
  </si>
  <si>
    <t>2026-06-10DZD</t>
  </si>
  <si>
    <t>2026-06-10EGP</t>
  </si>
  <si>
    <t>2026-06-10ERN</t>
  </si>
  <si>
    <t>2026-06-10ETB</t>
  </si>
  <si>
    <t>2026-06-10FJD</t>
  </si>
  <si>
    <t>2026-06-10FKP</t>
  </si>
  <si>
    <t>2026-06-10FOK</t>
  </si>
  <si>
    <t>2026-06-10GBP</t>
  </si>
  <si>
    <t>2026-06-10GEL</t>
  </si>
  <si>
    <t>2026-06-10GGP</t>
  </si>
  <si>
    <t>2026-06-10GHS</t>
  </si>
  <si>
    <t>2026-06-10GIP</t>
  </si>
  <si>
    <t>2026-06-10GMD</t>
  </si>
  <si>
    <t>2026-06-10GNF</t>
  </si>
  <si>
    <t>2026-06-10GTQ</t>
  </si>
  <si>
    <t>2026-06-10GYD</t>
  </si>
  <si>
    <t>2026-06-10HKD</t>
  </si>
  <si>
    <t>2026-06-10HNL</t>
  </si>
  <si>
    <t>2026-06-10HRK</t>
  </si>
  <si>
    <t>2026-06-10HTG</t>
  </si>
  <si>
    <t>2026-06-10IDR</t>
  </si>
  <si>
    <t>2026-06-10ILS</t>
  </si>
  <si>
    <t>2026-06-10IMP</t>
  </si>
  <si>
    <t>2026-06-10INR</t>
  </si>
  <si>
    <t>2026-06-10IQD</t>
  </si>
  <si>
    <t>2026-06-10IRR</t>
  </si>
  <si>
    <t>2026-06-10ISK</t>
  </si>
  <si>
    <t>2026-06-10JEP</t>
  </si>
  <si>
    <t>2026-06-10JMD</t>
  </si>
  <si>
    <t>2026-06-10JOD</t>
  </si>
  <si>
    <t>2026-06-10JPY</t>
  </si>
  <si>
    <t>2026-06-10KES</t>
  </si>
  <si>
    <t>2026-06-10KGS</t>
  </si>
  <si>
    <t>2026-06-10KHR</t>
  </si>
  <si>
    <t>2026-06-10KID</t>
  </si>
  <si>
    <t>2026-06-10KMF</t>
  </si>
  <si>
    <t>2026-06-10KRW</t>
  </si>
  <si>
    <t>2026-06-10KWD</t>
  </si>
  <si>
    <t>2026-06-10KYD</t>
  </si>
  <si>
    <t>2026-06-10KZT</t>
  </si>
  <si>
    <t>2026-06-10LAK</t>
  </si>
  <si>
    <t>2026-06-10LBP</t>
  </si>
  <si>
    <t>2026-06-10LKR</t>
  </si>
  <si>
    <t>2026-06-10LRD</t>
  </si>
  <si>
    <t>2026-06-10LSL</t>
  </si>
  <si>
    <t>2026-06-10LYD</t>
  </si>
  <si>
    <t>2026-06-10MAD</t>
  </si>
  <si>
    <t>2026-06-10MDL</t>
  </si>
  <si>
    <t>2026-06-10MGA</t>
  </si>
  <si>
    <t>2026-06-10MKD</t>
  </si>
  <si>
    <t>2026-06-10MMK</t>
  </si>
  <si>
    <t>2026-06-10MNT</t>
  </si>
  <si>
    <t>2026-06-10MOP</t>
  </si>
  <si>
    <t>2026-06-10MRU</t>
  </si>
  <si>
    <t>2026-06-10MUR</t>
  </si>
  <si>
    <t>2026-06-10MVR</t>
  </si>
  <si>
    <t>2026-06-10MWK</t>
  </si>
  <si>
    <t>2026-06-10MXN</t>
  </si>
  <si>
    <t>2026-06-10MYR</t>
  </si>
  <si>
    <t>2026-06-10MZN</t>
  </si>
  <si>
    <t>2026-06-10NAD</t>
  </si>
  <si>
    <t>2026-06-10NGN</t>
  </si>
  <si>
    <t>2026-06-10NIO</t>
  </si>
  <si>
    <t>2026-06-10NOK</t>
  </si>
  <si>
    <t>2026-06-10NPR</t>
  </si>
  <si>
    <t>2026-06-10NZD</t>
  </si>
  <si>
    <t>2026-06-10OMR</t>
  </si>
  <si>
    <t>2026-06-10PAB</t>
  </si>
  <si>
    <t>2026-06-10PEN</t>
  </si>
  <si>
    <t>2026-06-10PGK</t>
  </si>
  <si>
    <t>2026-06-10PHP</t>
  </si>
  <si>
    <t>2026-06-10PKR</t>
  </si>
  <si>
    <t>2026-06-10PLN</t>
  </si>
  <si>
    <t>2026-06-10PYG</t>
  </si>
  <si>
    <t>2026-06-10QAR</t>
  </si>
  <si>
    <t>2026-06-10RON</t>
  </si>
  <si>
    <t>2026-06-10RSD</t>
  </si>
  <si>
    <t>2026-06-10RUB</t>
  </si>
  <si>
    <t>2026-06-10RWF</t>
  </si>
  <si>
    <t>2026-06-10SAR</t>
  </si>
  <si>
    <t>2026-06-10SBD</t>
  </si>
  <si>
    <t>2026-06-10SCR</t>
  </si>
  <si>
    <t>2026-06-10SDG</t>
  </si>
  <si>
    <t>2026-06-10SEK</t>
  </si>
  <si>
    <t>2026-06-10SGD</t>
  </si>
  <si>
    <t>2026-06-10SHP</t>
  </si>
  <si>
    <t>2026-06-10SLE</t>
  </si>
  <si>
    <t>2026-06-10SLL</t>
  </si>
  <si>
    <t>2026-06-10SOS</t>
  </si>
  <si>
    <t>2026-06-10SRD</t>
  </si>
  <si>
    <t>2026-06-10SSP</t>
  </si>
  <si>
    <t>2026-06-10STN</t>
  </si>
  <si>
    <t>2026-06-10SYP</t>
  </si>
  <si>
    <t>2026-06-10SZL</t>
  </si>
  <si>
    <t>2026-06-10THB</t>
  </si>
  <si>
    <t>2026-06-10TJS</t>
  </si>
  <si>
    <t>2026-06-10TMT</t>
  </si>
  <si>
    <t>2026-06-10TND</t>
  </si>
  <si>
    <t>2026-06-10TOP</t>
  </si>
  <si>
    <t>2026-06-10TRY</t>
  </si>
  <si>
    <t>2026-06-10TTD</t>
  </si>
  <si>
    <t>2026-06-10TVD</t>
  </si>
  <si>
    <t>2026-06-10TWD</t>
  </si>
  <si>
    <t>2026-06-10TZS</t>
  </si>
  <si>
    <t>2026-06-10UAH</t>
  </si>
  <si>
    <t>2026-06-10UGX</t>
  </si>
  <si>
    <t>2026-06-10USD</t>
  </si>
  <si>
    <t>2026-06-10UYU</t>
  </si>
  <si>
    <t>2026-06-10UZS</t>
  </si>
  <si>
    <t>2026-06-10VES</t>
  </si>
  <si>
    <t>2026-06-10VND</t>
  </si>
  <si>
    <t>2026-06-10VUV</t>
  </si>
  <si>
    <t>2026-06-10WST</t>
  </si>
  <si>
    <t>2026-06-10XAF</t>
  </si>
  <si>
    <t>2026-06-10XCD</t>
  </si>
  <si>
    <t>2026-06-10XCG</t>
  </si>
  <si>
    <t>2026-06-10XDR</t>
  </si>
  <si>
    <t>2026-06-10XOF</t>
  </si>
  <si>
    <t>2026-06-10XPF</t>
  </si>
  <si>
    <t>2026-06-10YER</t>
  </si>
  <si>
    <t>2026-06-10ZAR</t>
  </si>
  <si>
    <t>2026-06-10ZMW</t>
  </si>
  <si>
    <t>2026-06-10ZWG</t>
  </si>
  <si>
    <t>2026-06-10ZWL</t>
  </si>
  <si>
    <t>2026-06-11EUR</t>
  </si>
  <si>
    <t>2026-06-11AED</t>
  </si>
  <si>
    <t>2026-06-11AFN</t>
  </si>
  <si>
    <t>2026-06-11ALL</t>
  </si>
  <si>
    <t>2026-06-11AMD</t>
  </si>
  <si>
    <t>2026-06-11ANG</t>
  </si>
  <si>
    <t>2026-06-11AOA</t>
  </si>
  <si>
    <t>2026-06-11ARS</t>
  </si>
  <si>
    <t>2026-06-11AUD</t>
  </si>
  <si>
    <t>2026-06-11AWG</t>
  </si>
  <si>
    <t>2026-06-11AZN</t>
  </si>
  <si>
    <t>2026-06-11BAM</t>
  </si>
  <si>
    <t>2026-06-11BBD</t>
  </si>
  <si>
    <t>2026-06-11BDT</t>
  </si>
  <si>
    <t>2026-06-11BGN</t>
  </si>
  <si>
    <t>2026-06-11BHD</t>
  </si>
  <si>
    <t>2026-06-11BIF</t>
  </si>
  <si>
    <t>2026-06-11BMD</t>
  </si>
  <si>
    <t>2026-06-11BND</t>
  </si>
  <si>
    <t>2026-06-11BOB</t>
  </si>
  <si>
    <t>2026-06-11BRL</t>
  </si>
  <si>
    <t>2026-06-11BSD</t>
  </si>
  <si>
    <t>2026-06-11BTN</t>
  </si>
  <si>
    <t>2026-06-11BWP</t>
  </si>
  <si>
    <t>2026-06-11BYN</t>
  </si>
  <si>
    <t>2026-06-11BZD</t>
  </si>
  <si>
    <t>2026-06-11CAD</t>
  </si>
  <si>
    <t>2026-06-11CDF</t>
  </si>
  <si>
    <t>2026-06-11CHF</t>
  </si>
  <si>
    <t>2026-06-11CLF</t>
  </si>
  <si>
    <t>2026-06-11CLP</t>
  </si>
  <si>
    <t>2026-06-11CNH</t>
  </si>
  <si>
    <t>2026-06-11CNY</t>
  </si>
  <si>
    <t>2026-06-11COP</t>
  </si>
  <si>
    <t>2026-06-11CRC</t>
  </si>
  <si>
    <t>2026-06-11CUP</t>
  </si>
  <si>
    <t>2026-06-11CVE</t>
  </si>
  <si>
    <t>2026-06-11CZK</t>
  </si>
  <si>
    <t>2026-06-11DJF</t>
  </si>
  <si>
    <t>2026-06-11DKK</t>
  </si>
  <si>
    <t>2026-06-11DOP</t>
  </si>
  <si>
    <t>2026-06-11DZD</t>
  </si>
  <si>
    <t>2026-06-11EGP</t>
  </si>
  <si>
    <t>2026-06-11ERN</t>
  </si>
  <si>
    <t>2026-06-11ETB</t>
  </si>
  <si>
    <t>2026-06-11FJD</t>
  </si>
  <si>
    <t>2026-06-11FKP</t>
  </si>
  <si>
    <t>2026-06-11FOK</t>
  </si>
  <si>
    <t>2026-06-11GBP</t>
  </si>
  <si>
    <t>2026-06-11GEL</t>
  </si>
  <si>
    <t>2026-06-11GGP</t>
  </si>
  <si>
    <t>2026-06-11GHS</t>
  </si>
  <si>
    <t>2026-06-11GIP</t>
  </si>
  <si>
    <t>2026-06-11GMD</t>
  </si>
  <si>
    <t>2026-06-11GNF</t>
  </si>
  <si>
    <t>2026-06-11GTQ</t>
  </si>
  <si>
    <t>2026-06-11GYD</t>
  </si>
  <si>
    <t>2026-06-11HKD</t>
  </si>
  <si>
    <t>2026-06-11HNL</t>
  </si>
  <si>
    <t>2026-06-11HRK</t>
  </si>
  <si>
    <t>2026-06-11HTG</t>
  </si>
  <si>
    <t>2026-06-11IDR</t>
  </si>
  <si>
    <t>2026-06-11ILS</t>
  </si>
  <si>
    <t>2026-06-11IMP</t>
  </si>
  <si>
    <t>2026-06-11INR</t>
  </si>
  <si>
    <t>2026-06-11IQD</t>
  </si>
  <si>
    <t>2026-06-11IRR</t>
  </si>
  <si>
    <t>2026-06-11ISK</t>
  </si>
  <si>
    <t>2026-06-11JEP</t>
  </si>
  <si>
    <t>2026-06-11JMD</t>
  </si>
  <si>
    <t>2026-06-11JOD</t>
  </si>
  <si>
    <t>2026-06-11JPY</t>
  </si>
  <si>
    <t>2026-06-11KES</t>
  </si>
  <si>
    <t>2026-06-11KGS</t>
  </si>
  <si>
    <t>2026-06-11KHR</t>
  </si>
  <si>
    <t>2026-06-11KID</t>
  </si>
  <si>
    <t>2026-06-11KMF</t>
  </si>
  <si>
    <t>2026-06-11KRW</t>
  </si>
  <si>
    <t>2026-06-11KWD</t>
  </si>
  <si>
    <t>2026-06-11KYD</t>
  </si>
  <si>
    <t>2026-06-11KZT</t>
  </si>
  <si>
    <t>2026-06-11LAK</t>
  </si>
  <si>
    <t>2026-06-11LBP</t>
  </si>
  <si>
    <t>2026-06-11LKR</t>
  </si>
  <si>
    <t>2026-06-11LRD</t>
  </si>
  <si>
    <t>2026-06-11LSL</t>
  </si>
  <si>
    <t>2026-06-11LYD</t>
  </si>
  <si>
    <t>2026-06-11MAD</t>
  </si>
  <si>
    <t>2026-06-11MDL</t>
  </si>
  <si>
    <t>2026-06-11MGA</t>
  </si>
  <si>
    <t>2026-06-11MKD</t>
  </si>
  <si>
    <t>2026-06-11MMK</t>
  </si>
  <si>
    <t>2026-06-11MNT</t>
  </si>
  <si>
    <t>2026-06-11MOP</t>
  </si>
  <si>
    <t>2026-06-11MRU</t>
  </si>
  <si>
    <t>2026-06-11MUR</t>
  </si>
  <si>
    <t>2026-06-11MVR</t>
  </si>
  <si>
    <t>2026-06-11MWK</t>
  </si>
  <si>
    <t>2026-06-11MXN</t>
  </si>
  <si>
    <t>2026-06-11MYR</t>
  </si>
  <si>
    <t>2026-06-11MZN</t>
  </si>
  <si>
    <t>2026-06-11NAD</t>
  </si>
  <si>
    <t>2026-06-11NGN</t>
  </si>
  <si>
    <t>2026-06-11NIO</t>
  </si>
  <si>
    <t>2026-06-11NOK</t>
  </si>
  <si>
    <t>2026-06-11NPR</t>
  </si>
  <si>
    <t>2026-06-11NZD</t>
  </si>
  <si>
    <t>2026-06-11OMR</t>
  </si>
  <si>
    <t>2026-06-11PAB</t>
  </si>
  <si>
    <t>2026-06-11PEN</t>
  </si>
  <si>
    <t>2026-06-11PGK</t>
  </si>
  <si>
    <t>2026-06-11PHP</t>
  </si>
  <si>
    <t>2026-06-11PKR</t>
  </si>
  <si>
    <t>2026-06-11PLN</t>
  </si>
  <si>
    <t>2026-06-11PYG</t>
  </si>
  <si>
    <t>2026-06-11QAR</t>
  </si>
  <si>
    <t>2026-06-11RON</t>
  </si>
  <si>
    <t>2026-06-11RSD</t>
  </si>
  <si>
    <t>2026-06-11RUB</t>
  </si>
  <si>
    <t>2026-06-11RWF</t>
  </si>
  <si>
    <t>2026-06-11SAR</t>
  </si>
  <si>
    <t>2026-06-11SBD</t>
  </si>
  <si>
    <t>2026-06-11SCR</t>
  </si>
  <si>
    <t>2026-06-11SDG</t>
  </si>
  <si>
    <t>2026-06-11SEK</t>
  </si>
  <si>
    <t>2026-06-11SGD</t>
  </si>
  <si>
    <t>2026-06-11SHP</t>
  </si>
  <si>
    <t>2026-06-11SLE</t>
  </si>
  <si>
    <t>2026-06-11SLL</t>
  </si>
  <si>
    <t>2026-06-11SOS</t>
  </si>
  <si>
    <t>2026-06-11SRD</t>
  </si>
  <si>
    <t>2026-06-11SSP</t>
  </si>
  <si>
    <t>2026-06-11STN</t>
  </si>
  <si>
    <t>2026-06-11SYP</t>
  </si>
  <si>
    <t>2026-06-11SZL</t>
  </si>
  <si>
    <t>2026-06-11THB</t>
  </si>
  <si>
    <t>2026-06-11TJS</t>
  </si>
  <si>
    <t>2026-06-11TMT</t>
  </si>
  <si>
    <t>2026-06-11TND</t>
  </si>
  <si>
    <t>2026-06-11TOP</t>
  </si>
  <si>
    <t>2026-06-11TRY</t>
  </si>
  <si>
    <t>2026-06-11TTD</t>
  </si>
  <si>
    <t>2026-06-11TVD</t>
  </si>
  <si>
    <t>2026-06-11TWD</t>
  </si>
  <si>
    <t>2026-06-11TZS</t>
  </si>
  <si>
    <t>2026-06-11UAH</t>
  </si>
  <si>
    <t>2026-06-11UGX</t>
  </si>
  <si>
    <t>2026-06-11USD</t>
  </si>
  <si>
    <t>2026-06-11UYU</t>
  </si>
  <si>
    <t>2026-06-11UZS</t>
  </si>
  <si>
    <t>2026-06-11VES</t>
  </si>
  <si>
    <t>2026-06-11VND</t>
  </si>
  <si>
    <t>2026-06-11VUV</t>
  </si>
  <si>
    <t>2026-06-11WST</t>
  </si>
  <si>
    <t>2026-06-11XAF</t>
  </si>
  <si>
    <t>2026-06-11XCD</t>
  </si>
  <si>
    <t>2026-06-11XCG</t>
  </si>
  <si>
    <t>2026-06-11XDR</t>
  </si>
  <si>
    <t>2026-06-11XOF</t>
  </si>
  <si>
    <t>2026-06-11XPF</t>
  </si>
  <si>
    <t>2026-06-11YER</t>
  </si>
  <si>
    <t>2026-06-11ZAR</t>
  </si>
  <si>
    <t>2026-06-11ZMW</t>
  </si>
  <si>
    <t>2026-06-11ZWG</t>
  </si>
  <si>
    <t>2026-06-11ZWL</t>
  </si>
  <si>
    <t>2026-06-19EUR</t>
  </si>
  <si>
    <t>2026-06-19AED</t>
  </si>
  <si>
    <t>2026-06-19AFN</t>
  </si>
  <si>
    <t>2026-06-19ALL</t>
  </si>
  <si>
    <t>2026-06-19AMD</t>
  </si>
  <si>
    <t>2026-06-19ANG</t>
  </si>
  <si>
    <t>2026-06-19AOA</t>
  </si>
  <si>
    <t>2026-06-19ARS</t>
  </si>
  <si>
    <t>2026-06-19AUD</t>
  </si>
  <si>
    <t>2026-06-19AWG</t>
  </si>
  <si>
    <t>2026-06-19AZN</t>
  </si>
  <si>
    <t>2026-06-19BAM</t>
  </si>
  <si>
    <t>2026-06-19BBD</t>
  </si>
  <si>
    <t>2026-06-19BDT</t>
  </si>
  <si>
    <t>2026-06-19BGN</t>
  </si>
  <si>
    <t>2026-06-19BHD</t>
  </si>
  <si>
    <t>2026-06-19BIF</t>
  </si>
  <si>
    <t>2026-06-19BMD</t>
  </si>
  <si>
    <t>2026-06-19BND</t>
  </si>
  <si>
    <t>2026-06-19BOB</t>
  </si>
  <si>
    <t>2026-06-19BRL</t>
  </si>
  <si>
    <t>2026-06-19BSD</t>
  </si>
  <si>
    <t>2026-06-19BTN</t>
  </si>
  <si>
    <t>2026-06-19BWP</t>
  </si>
  <si>
    <t>2026-06-19BYN</t>
  </si>
  <si>
    <t>2026-06-19BZD</t>
  </si>
  <si>
    <t>2026-06-19CAD</t>
  </si>
  <si>
    <t>2026-06-19CDF</t>
  </si>
  <si>
    <t>2026-06-19CHF</t>
  </si>
  <si>
    <t>2026-06-19CLF</t>
  </si>
  <si>
    <t>2026-06-19CLP</t>
  </si>
  <si>
    <t>2026-06-19CNH</t>
  </si>
  <si>
    <t>2026-06-19CNY</t>
  </si>
  <si>
    <t>2026-06-19COP</t>
  </si>
  <si>
    <t>2026-06-19CRC</t>
  </si>
  <si>
    <t>2026-06-19CUP</t>
  </si>
  <si>
    <t>2026-06-19CVE</t>
  </si>
  <si>
    <t>2026-06-19CZK</t>
  </si>
  <si>
    <t>2026-06-19DJF</t>
  </si>
  <si>
    <t>2026-06-19DKK</t>
  </si>
  <si>
    <t>2026-06-19DOP</t>
  </si>
  <si>
    <t>2026-06-19DZD</t>
  </si>
  <si>
    <t>2026-06-19EGP</t>
  </si>
  <si>
    <t>2026-06-19ERN</t>
  </si>
  <si>
    <t>2026-06-19ETB</t>
  </si>
  <si>
    <t>2026-06-19FJD</t>
  </si>
  <si>
    <t>2026-06-19FKP</t>
  </si>
  <si>
    <t>2026-06-19FOK</t>
  </si>
  <si>
    <t>2026-06-19GBP</t>
  </si>
  <si>
    <t>2026-06-19GEL</t>
  </si>
  <si>
    <t>2026-06-19GGP</t>
  </si>
  <si>
    <t>2026-06-19GHS</t>
  </si>
  <si>
    <t>2026-06-19GIP</t>
  </si>
  <si>
    <t>2026-06-19GMD</t>
  </si>
  <si>
    <t>2026-06-19GNF</t>
  </si>
  <si>
    <t>2026-06-19GTQ</t>
  </si>
  <si>
    <t>2026-06-19GYD</t>
  </si>
  <si>
    <t>2026-06-19HKD</t>
  </si>
  <si>
    <t>2026-06-19HNL</t>
  </si>
  <si>
    <t>2026-06-19HRK</t>
  </si>
  <si>
    <t>2026-06-19HTG</t>
  </si>
  <si>
    <t>2026-06-19IDR</t>
  </si>
  <si>
    <t>2026-06-19ILS</t>
  </si>
  <si>
    <t>2026-06-19IMP</t>
  </si>
  <si>
    <t>2026-06-19INR</t>
  </si>
  <si>
    <t>2026-06-19IQD</t>
  </si>
  <si>
    <t>2026-06-19IRR</t>
  </si>
  <si>
    <t>2026-06-19ISK</t>
  </si>
  <si>
    <t>2026-06-19JEP</t>
  </si>
  <si>
    <t>2026-06-19JMD</t>
  </si>
  <si>
    <t>2026-06-19JOD</t>
  </si>
  <si>
    <t>2026-06-19JPY</t>
  </si>
  <si>
    <t>2026-06-19KES</t>
  </si>
  <si>
    <t>2026-06-19KGS</t>
  </si>
  <si>
    <t>2026-06-19KHR</t>
  </si>
  <si>
    <t>2026-06-19KID</t>
  </si>
  <si>
    <t>2026-06-19KMF</t>
  </si>
  <si>
    <t>2026-06-19KRW</t>
  </si>
  <si>
    <t>2026-06-19KWD</t>
  </si>
  <si>
    <t>2026-06-19KYD</t>
  </si>
  <si>
    <t>2026-06-19KZT</t>
  </si>
  <si>
    <t>2026-06-19LAK</t>
  </si>
  <si>
    <t>2026-06-19LBP</t>
  </si>
  <si>
    <t>2026-06-19LKR</t>
  </si>
  <si>
    <t>2026-06-19LRD</t>
  </si>
  <si>
    <t>2026-06-19LSL</t>
  </si>
  <si>
    <t>2026-06-19LYD</t>
  </si>
  <si>
    <t>2026-06-19MAD</t>
  </si>
  <si>
    <t>2026-06-19MDL</t>
  </si>
  <si>
    <t>2026-06-19MGA</t>
  </si>
  <si>
    <t>2026-06-19MKD</t>
  </si>
  <si>
    <t>2026-06-19MMK</t>
  </si>
  <si>
    <t>2026-06-19MNT</t>
  </si>
  <si>
    <t>2026-06-19MOP</t>
  </si>
  <si>
    <t>2026-06-19MRU</t>
  </si>
  <si>
    <t>2026-06-19MUR</t>
  </si>
  <si>
    <t>2026-06-19MVR</t>
  </si>
  <si>
    <t>2026-06-19MWK</t>
  </si>
  <si>
    <t>2026-06-19MXN</t>
  </si>
  <si>
    <t>2026-06-19MYR</t>
  </si>
  <si>
    <t>2026-06-19MZN</t>
  </si>
  <si>
    <t>2026-06-19NAD</t>
  </si>
  <si>
    <t>2026-06-19NGN</t>
  </si>
  <si>
    <t>2026-06-19NIO</t>
  </si>
  <si>
    <t>2026-06-19NOK</t>
  </si>
  <si>
    <t>2026-06-19NPR</t>
  </si>
  <si>
    <t>2026-06-19NZD</t>
  </si>
  <si>
    <t>2026-06-19OMR</t>
  </si>
  <si>
    <t>2026-06-19PAB</t>
  </si>
  <si>
    <t>2026-06-19PEN</t>
  </si>
  <si>
    <t>2026-06-19PGK</t>
  </si>
  <si>
    <t>2026-06-19PHP</t>
  </si>
  <si>
    <t>2026-06-19PKR</t>
  </si>
  <si>
    <t>2026-06-19PLN</t>
  </si>
  <si>
    <t>2026-06-19PYG</t>
  </si>
  <si>
    <t>2026-06-19QAR</t>
  </si>
  <si>
    <t>2026-06-19RON</t>
  </si>
  <si>
    <t>2026-06-19RSD</t>
  </si>
  <si>
    <t>2026-06-19RUB</t>
  </si>
  <si>
    <t>2026-06-19RWF</t>
  </si>
  <si>
    <t>2026-06-19SAR</t>
  </si>
  <si>
    <t>2026-06-19SBD</t>
  </si>
  <si>
    <t>2026-06-19SCR</t>
  </si>
  <si>
    <t>2026-06-19SDG</t>
  </si>
  <si>
    <t>2026-06-19SEK</t>
  </si>
  <si>
    <t>2026-06-19SGD</t>
  </si>
  <si>
    <t>2026-06-19SHP</t>
  </si>
  <si>
    <t>2026-06-19SLE</t>
  </si>
  <si>
    <t>2026-06-19SLL</t>
  </si>
  <si>
    <t>2026-06-19SOS</t>
  </si>
  <si>
    <t>2026-06-19SRD</t>
  </si>
  <si>
    <t>2026-06-19SSP</t>
  </si>
  <si>
    <t>2026-06-19STN</t>
  </si>
  <si>
    <t>2026-06-19SYP</t>
  </si>
  <si>
    <t>2026-06-19SZL</t>
  </si>
  <si>
    <t>2026-06-19THB</t>
  </si>
  <si>
    <t>2026-06-19TJS</t>
  </si>
  <si>
    <t>2026-06-19TMT</t>
  </si>
  <si>
    <t>2026-06-19TND</t>
  </si>
  <si>
    <t>2026-06-19TOP</t>
  </si>
  <si>
    <t>2026-06-19TRY</t>
  </si>
  <si>
    <t>2026-06-19TTD</t>
  </si>
  <si>
    <t>2026-06-19TVD</t>
  </si>
  <si>
    <t>2026-06-19TWD</t>
  </si>
  <si>
    <t>2026-06-19TZS</t>
  </si>
  <si>
    <t>2026-06-19UAH</t>
  </si>
  <si>
    <t>2026-06-19UGX</t>
  </si>
  <si>
    <t>2026-06-19USD</t>
  </si>
  <si>
    <t>2026-06-19UYU</t>
  </si>
  <si>
    <t>2026-06-19UZS</t>
  </si>
  <si>
    <t>2026-06-19VES</t>
  </si>
  <si>
    <t>2026-06-19VND</t>
  </si>
  <si>
    <t>2026-06-19VUV</t>
  </si>
  <si>
    <t>2026-06-19WST</t>
  </si>
  <si>
    <t>2026-06-19XAF</t>
  </si>
  <si>
    <t>2026-06-19XCD</t>
  </si>
  <si>
    <t>2026-06-19XCG</t>
  </si>
  <si>
    <t>2026-06-19XDR</t>
  </si>
  <si>
    <t>2026-06-19XOF</t>
  </si>
  <si>
    <t>2026-06-19XPF</t>
  </si>
  <si>
    <t>2026-06-19YER</t>
  </si>
  <si>
    <t>2026-06-19ZAR</t>
  </si>
  <si>
    <t>2026-06-19ZMW</t>
  </si>
  <si>
    <t>2026-06-19ZWG</t>
  </si>
  <si>
    <t>2026-06-19ZWL</t>
  </si>
  <si>
    <t>2026-06-20EUR</t>
  </si>
  <si>
    <t>2026-06-20AED</t>
  </si>
  <si>
    <t>2026-06-20AFN</t>
  </si>
  <si>
    <t>2026-06-20ALL</t>
  </si>
  <si>
    <t>2026-06-20AMD</t>
  </si>
  <si>
    <t>2026-06-20ANG</t>
  </si>
  <si>
    <t>2026-06-20AOA</t>
  </si>
  <si>
    <t>2026-06-20ARS</t>
  </si>
  <si>
    <t>2026-06-20AUD</t>
  </si>
  <si>
    <t>2026-06-20AWG</t>
  </si>
  <si>
    <t>2026-06-20AZN</t>
  </si>
  <si>
    <t>2026-06-20BAM</t>
  </si>
  <si>
    <t>2026-06-20BBD</t>
  </si>
  <si>
    <t>2026-06-20BDT</t>
  </si>
  <si>
    <t>2026-06-20BGN</t>
  </si>
  <si>
    <t>2026-06-20BHD</t>
  </si>
  <si>
    <t>2026-06-20BIF</t>
  </si>
  <si>
    <t>2026-06-20BMD</t>
  </si>
  <si>
    <t>2026-06-20BND</t>
  </si>
  <si>
    <t>2026-06-20BOB</t>
  </si>
  <si>
    <t>2026-06-20BRL</t>
  </si>
  <si>
    <t>2026-06-20BSD</t>
  </si>
  <si>
    <t>2026-06-20BTN</t>
  </si>
  <si>
    <t>2026-06-20BWP</t>
  </si>
  <si>
    <t>2026-06-20BYN</t>
  </si>
  <si>
    <t>2026-06-20BZD</t>
  </si>
  <si>
    <t>2026-06-20CAD</t>
  </si>
  <si>
    <t>2026-06-20CDF</t>
  </si>
  <si>
    <t>2026-06-20CHF</t>
  </si>
  <si>
    <t>2026-06-20CLF</t>
  </si>
  <si>
    <t>2026-06-20CLP</t>
  </si>
  <si>
    <t>2026-06-20CNH</t>
  </si>
  <si>
    <t>2026-06-20CNY</t>
  </si>
  <si>
    <t>2026-06-20COP</t>
  </si>
  <si>
    <t>2026-06-20CRC</t>
  </si>
  <si>
    <t>2026-06-20CUP</t>
  </si>
  <si>
    <t>2026-06-20CVE</t>
  </si>
  <si>
    <t>2026-06-20CZK</t>
  </si>
  <si>
    <t>2026-06-20DJF</t>
  </si>
  <si>
    <t>2026-06-20DKK</t>
  </si>
  <si>
    <t>2026-06-20DOP</t>
  </si>
  <si>
    <t>2026-06-20DZD</t>
  </si>
  <si>
    <t>2026-06-20EGP</t>
  </si>
  <si>
    <t>2026-06-20ERN</t>
  </si>
  <si>
    <t>2026-06-20ETB</t>
  </si>
  <si>
    <t>2026-06-20FJD</t>
  </si>
  <si>
    <t>2026-06-20FKP</t>
  </si>
  <si>
    <t>2026-06-20FOK</t>
  </si>
  <si>
    <t>2026-06-20GBP</t>
  </si>
  <si>
    <t>2026-06-20GEL</t>
  </si>
  <si>
    <t>2026-06-20GGP</t>
  </si>
  <si>
    <t>2026-06-20GHS</t>
  </si>
  <si>
    <t>2026-06-20GIP</t>
  </si>
  <si>
    <t>2026-06-20GMD</t>
  </si>
  <si>
    <t>2026-06-20GNF</t>
  </si>
  <si>
    <t>2026-06-20GTQ</t>
  </si>
  <si>
    <t>2026-06-20GYD</t>
  </si>
  <si>
    <t>2026-06-20HKD</t>
  </si>
  <si>
    <t>2026-06-20HNL</t>
  </si>
  <si>
    <t>2026-06-20HRK</t>
  </si>
  <si>
    <t>2026-06-20HTG</t>
  </si>
  <si>
    <t>2026-06-20IDR</t>
  </si>
  <si>
    <t>2026-06-20ILS</t>
  </si>
  <si>
    <t>2026-06-20IMP</t>
  </si>
  <si>
    <t>2026-06-20INR</t>
  </si>
  <si>
    <t>2026-06-20IQD</t>
  </si>
  <si>
    <t>2026-06-20IRR</t>
  </si>
  <si>
    <t>2026-06-20ISK</t>
  </si>
  <si>
    <t>2026-06-20JEP</t>
  </si>
  <si>
    <t>2026-06-20JMD</t>
  </si>
  <si>
    <t>2026-06-20JOD</t>
  </si>
  <si>
    <t>2026-06-20JPY</t>
  </si>
  <si>
    <t>2026-06-20KES</t>
  </si>
  <si>
    <t>2026-06-20KGS</t>
  </si>
  <si>
    <t>2026-06-20KHR</t>
  </si>
  <si>
    <t>2026-06-20KID</t>
  </si>
  <si>
    <t>2026-06-20KMF</t>
  </si>
  <si>
    <t>2026-06-20KRW</t>
  </si>
  <si>
    <t>2026-06-20KWD</t>
  </si>
  <si>
    <t>2026-06-20KYD</t>
  </si>
  <si>
    <t>2026-06-20KZT</t>
  </si>
  <si>
    <t>2026-06-20LAK</t>
  </si>
  <si>
    <t>2026-06-20LBP</t>
  </si>
  <si>
    <t>2026-06-20LKR</t>
  </si>
  <si>
    <t>2026-06-20LRD</t>
  </si>
  <si>
    <t>2026-06-20LSL</t>
  </si>
  <si>
    <t>2026-06-20LYD</t>
  </si>
  <si>
    <t>2026-06-20MAD</t>
  </si>
  <si>
    <t>2026-06-20MDL</t>
  </si>
  <si>
    <t>2026-06-20MGA</t>
  </si>
  <si>
    <t>2026-06-20MKD</t>
  </si>
  <si>
    <t>2026-06-20MMK</t>
  </si>
  <si>
    <t>2026-06-20MNT</t>
  </si>
  <si>
    <t>2026-06-20MOP</t>
  </si>
  <si>
    <t>2026-06-20MRU</t>
  </si>
  <si>
    <t>2026-06-20MUR</t>
  </si>
  <si>
    <t>2026-06-20MVR</t>
  </si>
  <si>
    <t>2026-06-20MWK</t>
  </si>
  <si>
    <t>2026-06-20MXN</t>
  </si>
  <si>
    <t>2026-06-20MYR</t>
  </si>
  <si>
    <t>2026-06-20MZN</t>
  </si>
  <si>
    <t>2026-06-20NAD</t>
  </si>
  <si>
    <t>2026-06-20NGN</t>
  </si>
  <si>
    <t>2026-06-20NIO</t>
  </si>
  <si>
    <t>2026-06-20NOK</t>
  </si>
  <si>
    <t>2026-06-20NPR</t>
  </si>
  <si>
    <t>2026-06-20NZD</t>
  </si>
  <si>
    <t>2026-06-20OMR</t>
  </si>
  <si>
    <t>2026-06-20PAB</t>
  </si>
  <si>
    <t>2026-06-20PEN</t>
  </si>
  <si>
    <t>2026-06-20PGK</t>
  </si>
  <si>
    <t>2026-06-20PHP</t>
  </si>
  <si>
    <t>2026-06-20PKR</t>
  </si>
  <si>
    <t>2026-06-20PLN</t>
  </si>
  <si>
    <t>2026-06-20PYG</t>
  </si>
  <si>
    <t>2026-06-20QAR</t>
  </si>
  <si>
    <t>2026-06-20RON</t>
  </si>
  <si>
    <t>2026-06-20RSD</t>
  </si>
  <si>
    <t>2026-06-20RUB</t>
  </si>
  <si>
    <t>2026-06-20RWF</t>
  </si>
  <si>
    <t>2026-06-20SAR</t>
  </si>
  <si>
    <t>2026-06-20SBD</t>
  </si>
  <si>
    <t>2026-06-20SCR</t>
  </si>
  <si>
    <t>2026-06-20SDG</t>
  </si>
  <si>
    <t>2026-06-20SEK</t>
  </si>
  <si>
    <t>2026-06-20SGD</t>
  </si>
  <si>
    <t>2026-06-20SHP</t>
  </si>
  <si>
    <t>2026-06-20SLE</t>
  </si>
  <si>
    <t>2026-06-20SLL</t>
  </si>
  <si>
    <t>2026-06-20SOS</t>
  </si>
  <si>
    <t>2026-06-20SRD</t>
  </si>
  <si>
    <t>2026-06-20SSP</t>
  </si>
  <si>
    <t>2026-06-20STN</t>
  </si>
  <si>
    <t>2026-06-20SYP</t>
  </si>
  <si>
    <t>2026-06-20SZL</t>
  </si>
  <si>
    <t>2026-06-20THB</t>
  </si>
  <si>
    <t>2026-06-20TJS</t>
  </si>
  <si>
    <t>2026-06-20TMT</t>
  </si>
  <si>
    <t>2026-06-20TND</t>
  </si>
  <si>
    <t>2026-06-20TOP</t>
  </si>
  <si>
    <t>2026-06-20TRY</t>
  </si>
  <si>
    <t>2026-06-20TTD</t>
  </si>
  <si>
    <t>2026-06-20TVD</t>
  </si>
  <si>
    <t>2026-06-20TWD</t>
  </si>
  <si>
    <t>2026-06-20TZS</t>
  </si>
  <si>
    <t>2026-06-20UAH</t>
  </si>
  <si>
    <t>2026-06-20UGX</t>
  </si>
  <si>
    <t>2026-06-20USD</t>
  </si>
  <si>
    <t>2026-06-20UYU</t>
  </si>
  <si>
    <t>2026-06-20UZS</t>
  </si>
  <si>
    <t>2026-06-20VES</t>
  </si>
  <si>
    <t>2026-06-20VND</t>
  </si>
  <si>
    <t>2026-06-20VUV</t>
  </si>
  <si>
    <t>2026-06-20WST</t>
  </si>
  <si>
    <t>2026-06-20XAF</t>
  </si>
  <si>
    <t>2026-06-20XCD</t>
  </si>
  <si>
    <t>2026-06-20XCG</t>
  </si>
  <si>
    <t>2026-06-20XDR</t>
  </si>
  <si>
    <t>2026-06-20XOF</t>
  </si>
  <si>
    <t>2026-06-20XPF</t>
  </si>
  <si>
    <t>2026-06-20YER</t>
  </si>
  <si>
    <t>2026-06-20ZAR</t>
  </si>
  <si>
    <t>2026-06-20ZMW</t>
  </si>
  <si>
    <t>2026-06-20ZWG</t>
  </si>
  <si>
    <t>2026-06-20ZWL</t>
  </si>
  <si>
    <t>2026-06-23EUR</t>
  </si>
  <si>
    <t>2026-06-23AED</t>
  </si>
  <si>
    <t>2026-06-23AFN</t>
  </si>
  <si>
    <t>2026-06-23ALL</t>
  </si>
  <si>
    <t>2026-06-23AMD</t>
  </si>
  <si>
    <t>2026-06-23ANG</t>
  </si>
  <si>
    <t>2026-06-23AOA</t>
  </si>
  <si>
    <t>2026-06-23ARS</t>
  </si>
  <si>
    <t>2026-06-23AUD</t>
  </si>
  <si>
    <t>2026-06-23AWG</t>
  </si>
  <si>
    <t>2026-06-23AZN</t>
  </si>
  <si>
    <t>2026-06-23BAM</t>
  </si>
  <si>
    <t>2026-06-23BBD</t>
  </si>
  <si>
    <t>2026-06-23BDT</t>
  </si>
  <si>
    <t>2026-06-23BGN</t>
  </si>
  <si>
    <t>2026-06-23BHD</t>
  </si>
  <si>
    <t>2026-06-23BIF</t>
  </si>
  <si>
    <t>2026-06-23BMD</t>
  </si>
  <si>
    <t>2026-06-23BND</t>
  </si>
  <si>
    <t>2026-06-23BOB</t>
  </si>
  <si>
    <t>2026-06-23BRL</t>
  </si>
  <si>
    <t>2026-06-23BSD</t>
  </si>
  <si>
    <t>2026-06-23BTN</t>
  </si>
  <si>
    <t>2026-06-23BWP</t>
  </si>
  <si>
    <t>2026-06-23BYN</t>
  </si>
  <si>
    <t>2026-06-23BZD</t>
  </si>
  <si>
    <t>2026-06-23CAD</t>
  </si>
  <si>
    <t>2026-06-23CDF</t>
  </si>
  <si>
    <t>2026-06-23CHF</t>
  </si>
  <si>
    <t>2026-06-23CLF</t>
  </si>
  <si>
    <t>2026-06-23CLP</t>
  </si>
  <si>
    <t>2026-06-23CNH</t>
  </si>
  <si>
    <t>2026-06-23CNY</t>
  </si>
  <si>
    <t>2026-06-23COP</t>
  </si>
  <si>
    <t>2026-06-23CRC</t>
  </si>
  <si>
    <t>2026-06-23CUP</t>
  </si>
  <si>
    <t>2026-06-23CVE</t>
  </si>
  <si>
    <t>2026-06-23CZK</t>
  </si>
  <si>
    <t>2026-06-23DJF</t>
  </si>
  <si>
    <t>2026-06-23DKK</t>
  </si>
  <si>
    <t>2026-06-23DOP</t>
  </si>
  <si>
    <t>2026-06-23DZD</t>
  </si>
  <si>
    <t>2026-06-23EGP</t>
  </si>
  <si>
    <t>2026-06-23ERN</t>
  </si>
  <si>
    <t>2026-06-23ETB</t>
  </si>
  <si>
    <t>2026-06-23FJD</t>
  </si>
  <si>
    <t>2026-06-23FKP</t>
  </si>
  <si>
    <t>2026-06-23FOK</t>
  </si>
  <si>
    <t>2026-06-23GBP</t>
  </si>
  <si>
    <t>2026-06-23GEL</t>
  </si>
  <si>
    <t>2026-06-23GGP</t>
  </si>
  <si>
    <t>2026-06-23GHS</t>
  </si>
  <si>
    <t>2026-06-23GIP</t>
  </si>
  <si>
    <t>2026-06-23GMD</t>
  </si>
  <si>
    <t>2026-06-23GNF</t>
  </si>
  <si>
    <t>2026-06-23GTQ</t>
  </si>
  <si>
    <t>2026-06-23GYD</t>
  </si>
  <si>
    <t>2026-06-23HKD</t>
  </si>
  <si>
    <t>2026-06-23HNL</t>
  </si>
  <si>
    <t>2026-06-23HRK</t>
  </si>
  <si>
    <t>2026-06-23HTG</t>
  </si>
  <si>
    <t>2026-06-23IDR</t>
  </si>
  <si>
    <t>2026-06-23ILS</t>
  </si>
  <si>
    <t>2026-06-23IMP</t>
  </si>
  <si>
    <t>2026-06-23INR</t>
  </si>
  <si>
    <t>2026-06-23IQD</t>
  </si>
  <si>
    <t>2026-06-23IRR</t>
  </si>
  <si>
    <t>2026-06-23ISK</t>
  </si>
  <si>
    <t>2026-06-23JEP</t>
  </si>
  <si>
    <t>2026-06-23JMD</t>
  </si>
  <si>
    <t>2026-06-23JOD</t>
  </si>
  <si>
    <t>2026-06-23JPY</t>
  </si>
  <si>
    <t>2026-06-23KES</t>
  </si>
  <si>
    <t>2026-06-23KGS</t>
  </si>
  <si>
    <t>2026-06-23KHR</t>
  </si>
  <si>
    <t>2026-06-23KID</t>
  </si>
  <si>
    <t>2026-06-23KMF</t>
  </si>
  <si>
    <t>2026-06-23KRW</t>
  </si>
  <si>
    <t>2026-06-23KWD</t>
  </si>
  <si>
    <t>2026-06-23KYD</t>
  </si>
  <si>
    <t>2026-06-23KZT</t>
  </si>
  <si>
    <t>2026-06-23LAK</t>
  </si>
  <si>
    <t>2026-06-23LBP</t>
  </si>
  <si>
    <t>2026-06-23LKR</t>
  </si>
  <si>
    <t>2026-06-23LRD</t>
  </si>
  <si>
    <t>2026-06-23LSL</t>
  </si>
  <si>
    <t>2026-06-23LYD</t>
  </si>
  <si>
    <t>2026-06-23MAD</t>
  </si>
  <si>
    <t>2026-06-23MDL</t>
  </si>
  <si>
    <t>2026-06-23MGA</t>
  </si>
  <si>
    <t>2026-06-23MKD</t>
  </si>
  <si>
    <t>2026-06-23MMK</t>
  </si>
  <si>
    <t>2026-06-23MNT</t>
  </si>
  <si>
    <t>2026-06-23MOP</t>
  </si>
  <si>
    <t>2026-06-23MRU</t>
  </si>
  <si>
    <t>2026-06-23MUR</t>
  </si>
  <si>
    <t>2026-06-23MVR</t>
  </si>
  <si>
    <t>2026-06-23MWK</t>
  </si>
  <si>
    <t>2026-06-23MXN</t>
  </si>
  <si>
    <t>2026-06-23MYR</t>
  </si>
  <si>
    <t>2026-06-23MZN</t>
  </si>
  <si>
    <t>2026-06-23NAD</t>
  </si>
  <si>
    <t>2026-06-23NGN</t>
  </si>
  <si>
    <t>2026-06-23NIO</t>
  </si>
  <si>
    <t>2026-06-23NOK</t>
  </si>
  <si>
    <t>2026-06-23NPR</t>
  </si>
  <si>
    <t>2026-06-23NZD</t>
  </si>
  <si>
    <t>2026-06-23OMR</t>
  </si>
  <si>
    <t>2026-06-23PAB</t>
  </si>
  <si>
    <t>2026-06-23PEN</t>
  </si>
  <si>
    <t>2026-06-23PGK</t>
  </si>
  <si>
    <t>2026-06-23PHP</t>
  </si>
  <si>
    <t>2026-06-23PKR</t>
  </si>
  <si>
    <t>2026-06-23PLN</t>
  </si>
  <si>
    <t>2026-06-23PYG</t>
  </si>
  <si>
    <t>2026-06-23QAR</t>
  </si>
  <si>
    <t>2026-06-23RON</t>
  </si>
  <si>
    <t>2026-06-23RSD</t>
  </si>
  <si>
    <t>2026-06-23RUB</t>
  </si>
  <si>
    <t>2026-06-23RWF</t>
  </si>
  <si>
    <t>2026-06-23SAR</t>
  </si>
  <si>
    <t>2026-06-23SBD</t>
  </si>
  <si>
    <t>2026-06-23SCR</t>
  </si>
  <si>
    <t>2026-06-23SDG</t>
  </si>
  <si>
    <t>2026-06-23SEK</t>
  </si>
  <si>
    <t>2026-06-23SGD</t>
  </si>
  <si>
    <t>2026-06-23SHP</t>
  </si>
  <si>
    <t>2026-06-23SLE</t>
  </si>
  <si>
    <t>2026-06-23SLL</t>
  </si>
  <si>
    <t>2026-06-23SOS</t>
  </si>
  <si>
    <t>2026-06-23SRD</t>
  </si>
  <si>
    <t>2026-06-23SSP</t>
  </si>
  <si>
    <t>2026-06-23STN</t>
  </si>
  <si>
    <t>2026-06-23SYP</t>
  </si>
  <si>
    <t>2026-06-23SZL</t>
  </si>
  <si>
    <t>2026-06-23THB</t>
  </si>
  <si>
    <t>2026-06-23TJS</t>
  </si>
  <si>
    <t>2026-06-23TMT</t>
  </si>
  <si>
    <t>2026-06-23TND</t>
  </si>
  <si>
    <t>2026-06-23TOP</t>
  </si>
  <si>
    <t>2026-06-23TRY</t>
  </si>
  <si>
    <t>2026-06-23TTD</t>
  </si>
  <si>
    <t>2026-06-23TVD</t>
  </si>
  <si>
    <t>2026-06-23TWD</t>
  </si>
  <si>
    <t>2026-06-23TZS</t>
  </si>
  <si>
    <t>2026-06-23UAH</t>
  </si>
  <si>
    <t>2026-06-23UGX</t>
  </si>
  <si>
    <t>2026-06-23USD</t>
  </si>
  <si>
    <t>2026-06-23UYU</t>
  </si>
  <si>
    <t>2026-06-23UZS</t>
  </si>
  <si>
    <t>2026-06-23VES</t>
  </si>
  <si>
    <t>2026-06-23VND</t>
  </si>
  <si>
    <t>2026-06-23VUV</t>
  </si>
  <si>
    <t>2026-06-23WST</t>
  </si>
  <si>
    <t>2026-06-23XAF</t>
  </si>
  <si>
    <t>2026-06-23XCD</t>
  </si>
  <si>
    <t>2026-06-23XCG</t>
  </si>
  <si>
    <t>2026-06-23XDR</t>
  </si>
  <si>
    <t>2026-06-23XOF</t>
  </si>
  <si>
    <t>2026-06-23XPF</t>
  </si>
  <si>
    <t>2026-06-23YER</t>
  </si>
  <si>
    <t>2026-06-23ZAR</t>
  </si>
  <si>
    <t>2026-06-23ZMW</t>
  </si>
  <si>
    <t>2026-06-23ZWG</t>
  </si>
  <si>
    <t>2026-06-23ZWL</t>
  </si>
  <si>
    <t>2026-06-24EUR</t>
  </si>
  <si>
    <t>2026-06-24AED</t>
  </si>
  <si>
    <t>2026-06-24AFN</t>
  </si>
  <si>
    <t>2026-06-24ALL</t>
  </si>
  <si>
    <t>2026-06-24AMD</t>
  </si>
  <si>
    <t>2026-06-24ANG</t>
  </si>
  <si>
    <t>2026-06-24AOA</t>
  </si>
  <si>
    <t>2026-06-24ARS</t>
  </si>
  <si>
    <t>2026-06-24AUD</t>
  </si>
  <si>
    <t>2026-06-24AWG</t>
  </si>
  <si>
    <t>2026-06-24AZN</t>
  </si>
  <si>
    <t>2026-06-24BAM</t>
  </si>
  <si>
    <t>2026-06-24BBD</t>
  </si>
  <si>
    <t>2026-06-24BDT</t>
  </si>
  <si>
    <t>2026-06-24BGN</t>
  </si>
  <si>
    <t>2026-06-24BHD</t>
  </si>
  <si>
    <t>2026-06-24BIF</t>
  </si>
  <si>
    <t>2026-06-24BMD</t>
  </si>
  <si>
    <t>2026-06-24BND</t>
  </si>
  <si>
    <t>2026-06-24BOB</t>
  </si>
  <si>
    <t>2026-06-24BRL</t>
  </si>
  <si>
    <t>2026-06-24BSD</t>
  </si>
  <si>
    <t>2026-06-24BTN</t>
  </si>
  <si>
    <t>2026-06-24BWP</t>
  </si>
  <si>
    <t>2026-06-24BYN</t>
  </si>
  <si>
    <t>2026-06-24BZD</t>
  </si>
  <si>
    <t>2026-06-24CAD</t>
  </si>
  <si>
    <t>2026-06-24CDF</t>
  </si>
  <si>
    <t>2026-06-24CHF</t>
  </si>
  <si>
    <t>2026-06-24CLF</t>
  </si>
  <si>
    <t>2026-06-24CLP</t>
  </si>
  <si>
    <t>2026-06-24CNH</t>
  </si>
  <si>
    <t>2026-06-24CNY</t>
  </si>
  <si>
    <t>2026-06-24COP</t>
  </si>
  <si>
    <t>2026-06-24CRC</t>
  </si>
  <si>
    <t>2026-06-24CUP</t>
  </si>
  <si>
    <t>2026-06-24CVE</t>
  </si>
  <si>
    <t>2026-06-24CZK</t>
  </si>
  <si>
    <t>2026-06-24DJF</t>
  </si>
  <si>
    <t>2026-06-24DKK</t>
  </si>
  <si>
    <t>2026-06-24DOP</t>
  </si>
  <si>
    <t>2026-06-24DZD</t>
  </si>
  <si>
    <t>2026-06-24EGP</t>
  </si>
  <si>
    <t>2026-06-24ERN</t>
  </si>
  <si>
    <t>2026-06-24ETB</t>
  </si>
  <si>
    <t>2026-06-24FJD</t>
  </si>
  <si>
    <t>2026-06-24FKP</t>
  </si>
  <si>
    <t>2026-06-24FOK</t>
  </si>
  <si>
    <t>2026-06-24GBP</t>
  </si>
  <si>
    <t>2026-06-24GEL</t>
  </si>
  <si>
    <t>2026-06-24GGP</t>
  </si>
  <si>
    <t>2026-06-24GHS</t>
  </si>
  <si>
    <t>2026-06-24GIP</t>
  </si>
  <si>
    <t>2026-06-24GMD</t>
  </si>
  <si>
    <t>2026-06-24GNF</t>
  </si>
  <si>
    <t>2026-06-24GTQ</t>
  </si>
  <si>
    <t>2026-06-24GYD</t>
  </si>
  <si>
    <t>2026-06-24HKD</t>
  </si>
  <si>
    <t>2026-06-24HNL</t>
  </si>
  <si>
    <t>2026-06-24HRK</t>
  </si>
  <si>
    <t>2026-06-24HTG</t>
  </si>
  <si>
    <t>2026-06-24IDR</t>
  </si>
  <si>
    <t>2026-06-24ILS</t>
  </si>
  <si>
    <t>2026-06-24IMP</t>
  </si>
  <si>
    <t>2026-06-24INR</t>
  </si>
  <si>
    <t>2026-06-24IQD</t>
  </si>
  <si>
    <t>2026-06-24IRR</t>
  </si>
  <si>
    <t>2026-06-24ISK</t>
  </si>
  <si>
    <t>2026-06-24JEP</t>
  </si>
  <si>
    <t>2026-06-24JMD</t>
  </si>
  <si>
    <t>2026-06-24JOD</t>
  </si>
  <si>
    <t>2026-06-24JPY</t>
  </si>
  <si>
    <t>2026-06-24KES</t>
  </si>
  <si>
    <t>2026-06-24KGS</t>
  </si>
  <si>
    <t>2026-06-24KHR</t>
  </si>
  <si>
    <t>2026-06-24KID</t>
  </si>
  <si>
    <t>2026-06-24KMF</t>
  </si>
  <si>
    <t>2026-06-24KRW</t>
  </si>
  <si>
    <t>2026-06-24KWD</t>
  </si>
  <si>
    <t>2026-06-24KYD</t>
  </si>
  <si>
    <t>2026-06-24KZT</t>
  </si>
  <si>
    <t>2026-06-24LAK</t>
  </si>
  <si>
    <t>2026-06-24LBP</t>
  </si>
  <si>
    <t>2026-06-24LKR</t>
  </si>
  <si>
    <t>2026-06-24LRD</t>
  </si>
  <si>
    <t>2026-06-24LSL</t>
  </si>
  <si>
    <t>2026-06-24LYD</t>
  </si>
  <si>
    <t>2026-06-24MAD</t>
  </si>
  <si>
    <t>2026-06-24MDL</t>
  </si>
  <si>
    <t>2026-06-24MGA</t>
  </si>
  <si>
    <t>2026-06-24MKD</t>
  </si>
  <si>
    <t>2026-06-24MMK</t>
  </si>
  <si>
    <t>2026-06-24MNT</t>
  </si>
  <si>
    <t>2026-06-24MOP</t>
  </si>
  <si>
    <t>2026-06-24MRU</t>
  </si>
  <si>
    <t>2026-06-24MUR</t>
  </si>
  <si>
    <t>2026-06-24MVR</t>
  </si>
  <si>
    <t>2026-06-24MWK</t>
  </si>
  <si>
    <t>2026-06-24MXN</t>
  </si>
  <si>
    <t>2026-06-24MYR</t>
  </si>
  <si>
    <t>2026-06-24MZN</t>
  </si>
  <si>
    <t>2026-06-24NAD</t>
  </si>
  <si>
    <t>2026-06-24NGN</t>
  </si>
  <si>
    <t>2026-06-24NIO</t>
  </si>
  <si>
    <t>2026-06-24NOK</t>
  </si>
  <si>
    <t>2026-06-24NPR</t>
  </si>
  <si>
    <t>2026-06-24NZD</t>
  </si>
  <si>
    <t>2026-06-24OMR</t>
  </si>
  <si>
    <t>2026-06-24PAB</t>
  </si>
  <si>
    <t>2026-06-24PEN</t>
  </si>
  <si>
    <t>2026-06-24PGK</t>
  </si>
  <si>
    <t>2026-06-24PHP</t>
  </si>
  <si>
    <t>2026-06-24PKR</t>
  </si>
  <si>
    <t>2026-06-24PLN</t>
  </si>
  <si>
    <t>2026-06-24PYG</t>
  </si>
  <si>
    <t>2026-06-24QAR</t>
  </si>
  <si>
    <t>2026-06-24RON</t>
  </si>
  <si>
    <t>2026-06-24RSD</t>
  </si>
  <si>
    <t>2026-06-24RUB</t>
  </si>
  <si>
    <t>2026-06-24RWF</t>
  </si>
  <si>
    <t>2026-06-24SAR</t>
  </si>
  <si>
    <t>2026-06-24SBD</t>
  </si>
  <si>
    <t>2026-06-24SCR</t>
  </si>
  <si>
    <t>2026-06-24SDG</t>
  </si>
  <si>
    <t>2026-06-24SEK</t>
  </si>
  <si>
    <t>2026-06-24SGD</t>
  </si>
  <si>
    <t>2026-06-24SHP</t>
  </si>
  <si>
    <t>2026-06-24SLE</t>
  </si>
  <si>
    <t>2026-06-24SLL</t>
  </si>
  <si>
    <t>2026-06-24SOS</t>
  </si>
  <si>
    <t>2026-06-24SRD</t>
  </si>
  <si>
    <t>2026-06-24SSP</t>
  </si>
  <si>
    <t>2026-06-24STN</t>
  </si>
  <si>
    <t>2026-06-24SYP</t>
  </si>
  <si>
    <t>2026-06-24SZL</t>
  </si>
  <si>
    <t>2026-06-24THB</t>
  </si>
  <si>
    <t>2026-06-24TJS</t>
  </si>
  <si>
    <t>2026-06-24TMT</t>
  </si>
  <si>
    <t>2026-06-24TND</t>
  </si>
  <si>
    <t>2026-06-24TOP</t>
  </si>
  <si>
    <t>2026-06-24TRY</t>
  </si>
  <si>
    <t>2026-06-24TTD</t>
  </si>
  <si>
    <t>2026-06-24TVD</t>
  </si>
  <si>
    <t>2026-06-24TWD</t>
  </si>
  <si>
    <t>2026-06-24TZS</t>
  </si>
  <si>
    <t>2026-06-24UAH</t>
  </si>
  <si>
    <t>2026-06-24UGX</t>
  </si>
  <si>
    <t>2026-06-24USD</t>
  </si>
  <si>
    <t>2026-06-24UYU</t>
  </si>
  <si>
    <t>2026-06-24UZS</t>
  </si>
  <si>
    <t>2026-06-24VES</t>
  </si>
  <si>
    <t>2026-06-24VND</t>
  </si>
  <si>
    <t>2026-06-24VUV</t>
  </si>
  <si>
    <t>2026-06-24WST</t>
  </si>
  <si>
    <t>2026-06-24XAF</t>
  </si>
  <si>
    <t>2026-06-24XCD</t>
  </si>
  <si>
    <t>2026-06-24XCG</t>
  </si>
  <si>
    <t>2026-06-24XDR</t>
  </si>
  <si>
    <t>2026-06-24XOF</t>
  </si>
  <si>
    <t>2026-06-24XPF</t>
  </si>
  <si>
    <t>2026-06-24YER</t>
  </si>
  <si>
    <t>2026-06-24ZAR</t>
  </si>
  <si>
    <t>2026-06-24ZMW</t>
  </si>
  <si>
    <t>2026-06-24ZWG</t>
  </si>
  <si>
    <t>2026-06-24ZWL</t>
  </si>
  <si>
    <t>2026-06-25EUR</t>
  </si>
  <si>
    <t>2026-06-25AED</t>
  </si>
  <si>
    <t>2026-06-25AFN</t>
  </si>
  <si>
    <t>2026-06-25ALL</t>
  </si>
  <si>
    <t>2026-06-25AMD</t>
  </si>
  <si>
    <t>2026-06-25ANG</t>
  </si>
  <si>
    <t>2026-06-25AOA</t>
  </si>
  <si>
    <t>2026-06-25ARS</t>
  </si>
  <si>
    <t>2026-06-25AUD</t>
  </si>
  <si>
    <t>2026-06-25AWG</t>
  </si>
  <si>
    <t>2026-06-25AZN</t>
  </si>
  <si>
    <t>2026-06-25BAM</t>
  </si>
  <si>
    <t>2026-06-25BBD</t>
  </si>
  <si>
    <t>2026-06-25BDT</t>
  </si>
  <si>
    <t>2026-06-25BGN</t>
  </si>
  <si>
    <t>2026-06-25BHD</t>
  </si>
  <si>
    <t>2026-06-25BIF</t>
  </si>
  <si>
    <t>2026-06-25BMD</t>
  </si>
  <si>
    <t>2026-06-25BND</t>
  </si>
  <si>
    <t>2026-06-25BOB</t>
  </si>
  <si>
    <t>2026-06-25BRL</t>
  </si>
  <si>
    <t>2026-06-25BSD</t>
  </si>
  <si>
    <t>2026-06-25BTN</t>
  </si>
  <si>
    <t>2026-06-25BWP</t>
  </si>
  <si>
    <t>2026-06-25BYN</t>
  </si>
  <si>
    <t>2026-06-25BZD</t>
  </si>
  <si>
    <t>2026-06-25CAD</t>
  </si>
  <si>
    <t>2026-06-25CDF</t>
  </si>
  <si>
    <t>2026-06-25CHF</t>
  </si>
  <si>
    <t>2026-06-25CLF</t>
  </si>
  <si>
    <t>2026-06-25CLP</t>
  </si>
  <si>
    <t>2026-06-25CNH</t>
  </si>
  <si>
    <t>2026-06-25CNY</t>
  </si>
  <si>
    <t>2026-06-25COP</t>
  </si>
  <si>
    <t>2026-06-25CRC</t>
  </si>
  <si>
    <t>2026-06-25CUP</t>
  </si>
  <si>
    <t>2026-06-25CVE</t>
  </si>
  <si>
    <t>2026-06-25CZK</t>
  </si>
  <si>
    <t>2026-06-25DJF</t>
  </si>
  <si>
    <t>2026-06-25DKK</t>
  </si>
  <si>
    <t>2026-06-25DOP</t>
  </si>
  <si>
    <t>2026-06-25DZD</t>
  </si>
  <si>
    <t>2026-06-25EGP</t>
  </si>
  <si>
    <t>2026-06-25ERN</t>
  </si>
  <si>
    <t>2026-06-25ETB</t>
  </si>
  <si>
    <t>2026-06-25FJD</t>
  </si>
  <si>
    <t>2026-06-25FKP</t>
  </si>
  <si>
    <t>2026-06-25FOK</t>
  </si>
  <si>
    <t>2026-06-25GBP</t>
  </si>
  <si>
    <t>2026-06-25GEL</t>
  </si>
  <si>
    <t>2026-06-25GGP</t>
  </si>
  <si>
    <t>2026-06-25GHS</t>
  </si>
  <si>
    <t>2026-06-25GIP</t>
  </si>
  <si>
    <t>2026-06-25GMD</t>
  </si>
  <si>
    <t>2026-06-25GNF</t>
  </si>
  <si>
    <t>2026-06-25GTQ</t>
  </si>
  <si>
    <t>2026-06-25GYD</t>
  </si>
  <si>
    <t>2026-06-25HKD</t>
  </si>
  <si>
    <t>2026-06-25HNL</t>
  </si>
  <si>
    <t>2026-06-25HRK</t>
  </si>
  <si>
    <t>2026-06-25HTG</t>
  </si>
  <si>
    <t>2026-06-25IDR</t>
  </si>
  <si>
    <t>2026-06-25ILS</t>
  </si>
  <si>
    <t>2026-06-25IMP</t>
  </si>
  <si>
    <t>2026-06-25INR</t>
  </si>
  <si>
    <t>2026-06-25IQD</t>
  </si>
  <si>
    <t>2026-06-25IRR</t>
  </si>
  <si>
    <t>2026-06-25ISK</t>
  </si>
  <si>
    <t>2026-06-25JEP</t>
  </si>
  <si>
    <t>2026-06-25JMD</t>
  </si>
  <si>
    <t>2026-06-25JOD</t>
  </si>
  <si>
    <t>2026-06-25JPY</t>
  </si>
  <si>
    <t>2026-06-25KES</t>
  </si>
  <si>
    <t>2026-06-25KGS</t>
  </si>
  <si>
    <t>2026-06-25KHR</t>
  </si>
  <si>
    <t>2026-06-25KID</t>
  </si>
  <si>
    <t>2026-06-25KMF</t>
  </si>
  <si>
    <t>2026-06-25KRW</t>
  </si>
  <si>
    <t>2026-06-25KWD</t>
  </si>
  <si>
    <t>2026-06-25KYD</t>
  </si>
  <si>
    <t>2026-06-25KZT</t>
  </si>
  <si>
    <t>2026-06-25LAK</t>
  </si>
  <si>
    <t>2026-06-25LBP</t>
  </si>
  <si>
    <t>2026-06-25LKR</t>
  </si>
  <si>
    <t>2026-06-25LRD</t>
  </si>
  <si>
    <t>2026-06-25LSL</t>
  </si>
  <si>
    <t>2026-06-25LYD</t>
  </si>
  <si>
    <t>2026-06-25MAD</t>
  </si>
  <si>
    <t>2026-06-25MDL</t>
  </si>
  <si>
    <t>2026-06-25MGA</t>
  </si>
  <si>
    <t>2026-06-25MKD</t>
  </si>
  <si>
    <t>2026-06-25MMK</t>
  </si>
  <si>
    <t>2026-06-25MNT</t>
  </si>
  <si>
    <t>2026-06-25MOP</t>
  </si>
  <si>
    <t>2026-06-25MRU</t>
  </si>
  <si>
    <t>2026-06-25MUR</t>
  </si>
  <si>
    <t>2026-06-25MVR</t>
  </si>
  <si>
    <t>2026-06-25MWK</t>
  </si>
  <si>
    <t>2026-06-25MXN</t>
  </si>
  <si>
    <t>2026-06-25MYR</t>
  </si>
  <si>
    <t>2026-06-25MZN</t>
  </si>
  <si>
    <t>2026-06-25NAD</t>
  </si>
  <si>
    <t>2026-06-25NGN</t>
  </si>
  <si>
    <t>2026-06-25NIO</t>
  </si>
  <si>
    <t>2026-06-25NOK</t>
  </si>
  <si>
    <t>2026-06-25NPR</t>
  </si>
  <si>
    <t>2026-06-25NZD</t>
  </si>
  <si>
    <t>2026-06-25OMR</t>
  </si>
  <si>
    <t>2026-06-25PAB</t>
  </si>
  <si>
    <t>2026-06-25PEN</t>
  </si>
  <si>
    <t>2026-06-25PGK</t>
  </si>
  <si>
    <t>2026-06-25PHP</t>
  </si>
  <si>
    <t>2026-06-25PKR</t>
  </si>
  <si>
    <t>2026-06-25PLN</t>
  </si>
  <si>
    <t>2026-06-25PYG</t>
  </si>
  <si>
    <t>2026-06-25QAR</t>
  </si>
  <si>
    <t>2026-06-25RON</t>
  </si>
  <si>
    <t>2026-06-25RSD</t>
  </si>
  <si>
    <t>2026-06-25RUB</t>
  </si>
  <si>
    <t>2026-06-25RWF</t>
  </si>
  <si>
    <t>2026-06-25SAR</t>
  </si>
  <si>
    <t>2026-06-25SBD</t>
  </si>
  <si>
    <t>2026-06-25SCR</t>
  </si>
  <si>
    <t>2026-06-25SDG</t>
  </si>
  <si>
    <t>2026-06-25SEK</t>
  </si>
  <si>
    <t>2026-06-25SGD</t>
  </si>
  <si>
    <t>2026-06-25SHP</t>
  </si>
  <si>
    <t>2026-06-25SLE</t>
  </si>
  <si>
    <t>2026-06-25SLL</t>
  </si>
  <si>
    <t>2026-06-25SOS</t>
  </si>
  <si>
    <t>2026-06-25SRD</t>
  </si>
  <si>
    <t>2026-06-25SSP</t>
  </si>
  <si>
    <t>2026-06-25STN</t>
  </si>
  <si>
    <t>2026-06-25SYP</t>
  </si>
  <si>
    <t>2026-06-25SZL</t>
  </si>
  <si>
    <t>2026-06-25THB</t>
  </si>
  <si>
    <t>2026-06-25TJS</t>
  </si>
  <si>
    <t>2026-06-25TMT</t>
  </si>
  <si>
    <t>2026-06-25TND</t>
  </si>
  <si>
    <t>2026-06-25TOP</t>
  </si>
  <si>
    <t>2026-06-25TRY</t>
  </si>
  <si>
    <t>2026-06-25TTD</t>
  </si>
  <si>
    <t>2026-06-25TVD</t>
  </si>
  <si>
    <t>2026-06-25TWD</t>
  </si>
  <si>
    <t>2026-06-25TZS</t>
  </si>
  <si>
    <t>2026-06-25UAH</t>
  </si>
  <si>
    <t>2026-06-25UGX</t>
  </si>
  <si>
    <t>2026-06-25USD</t>
  </si>
  <si>
    <t>2026-06-25UYU</t>
  </si>
  <si>
    <t>2026-06-25UZS</t>
  </si>
  <si>
    <t>2026-06-25VES</t>
  </si>
  <si>
    <t>2026-06-25VND</t>
  </si>
  <si>
    <t>2026-06-25VUV</t>
  </si>
  <si>
    <t>2026-06-25WST</t>
  </si>
  <si>
    <t>2026-06-25XAF</t>
  </si>
  <si>
    <t>2026-06-25XCD</t>
  </si>
  <si>
    <t>2026-06-25XCG</t>
  </si>
  <si>
    <t>2026-06-25XDR</t>
  </si>
  <si>
    <t>2026-06-25XOF</t>
  </si>
  <si>
    <t>2026-06-25XPF</t>
  </si>
  <si>
    <t>2026-06-25YER</t>
  </si>
  <si>
    <t>2026-06-25ZAR</t>
  </si>
  <si>
    <t>2026-06-25ZMW</t>
  </si>
  <si>
    <t>2026-06-25ZWG</t>
  </si>
  <si>
    <t>2026-06-25ZWL</t>
  </si>
  <si>
    <t>2026-06-28EUR</t>
  </si>
  <si>
    <t>2026-06-28AED</t>
  </si>
  <si>
    <t>2026-06-28AFN</t>
  </si>
  <si>
    <t>2026-06-28ALL</t>
  </si>
  <si>
    <t>2026-06-28AMD</t>
  </si>
  <si>
    <t>2026-06-28ANG</t>
  </si>
  <si>
    <t>2026-06-28AOA</t>
  </si>
  <si>
    <t>2026-06-28ARS</t>
  </si>
  <si>
    <t>2026-06-28AUD</t>
  </si>
  <si>
    <t>2026-06-28AWG</t>
  </si>
  <si>
    <t>2026-06-28AZN</t>
  </si>
  <si>
    <t>2026-06-28BAM</t>
  </si>
  <si>
    <t>2026-06-28BBD</t>
  </si>
  <si>
    <t>2026-06-28BDT</t>
  </si>
  <si>
    <t>2026-06-28BGN</t>
  </si>
  <si>
    <t>2026-06-28BHD</t>
  </si>
  <si>
    <t>2026-06-28BIF</t>
  </si>
  <si>
    <t>2026-06-28BMD</t>
  </si>
  <si>
    <t>2026-06-28BND</t>
  </si>
  <si>
    <t>2026-06-28BOB</t>
  </si>
  <si>
    <t>2026-06-28BRL</t>
  </si>
  <si>
    <t>2026-06-28BSD</t>
  </si>
  <si>
    <t>2026-06-28BTN</t>
  </si>
  <si>
    <t>2026-06-28BWP</t>
  </si>
  <si>
    <t>2026-06-28BYN</t>
  </si>
  <si>
    <t>2026-06-28BZD</t>
  </si>
  <si>
    <t>2026-06-28CAD</t>
  </si>
  <si>
    <t>2026-06-28CDF</t>
  </si>
  <si>
    <t>2026-06-28CHF</t>
  </si>
  <si>
    <t>2026-06-28CLF</t>
  </si>
  <si>
    <t>2026-06-28CLP</t>
  </si>
  <si>
    <t>2026-06-28CNH</t>
  </si>
  <si>
    <t>2026-06-28CNY</t>
  </si>
  <si>
    <t>2026-06-28COP</t>
  </si>
  <si>
    <t>2026-06-28CRC</t>
  </si>
  <si>
    <t>2026-06-28CUP</t>
  </si>
  <si>
    <t>2026-06-28CVE</t>
  </si>
  <si>
    <t>2026-06-28CZK</t>
  </si>
  <si>
    <t>2026-06-28DJF</t>
  </si>
  <si>
    <t>2026-06-28DKK</t>
  </si>
  <si>
    <t>2026-06-28DOP</t>
  </si>
  <si>
    <t>2026-06-28DZD</t>
  </si>
  <si>
    <t>2026-06-28EGP</t>
  </si>
  <si>
    <t>2026-06-28ERN</t>
  </si>
  <si>
    <t>2026-06-28ETB</t>
  </si>
  <si>
    <t>2026-06-28FJD</t>
  </si>
  <si>
    <t>2026-06-28FKP</t>
  </si>
  <si>
    <t>2026-06-28FOK</t>
  </si>
  <si>
    <t>2026-06-28GBP</t>
  </si>
  <si>
    <t>2026-06-28GEL</t>
  </si>
  <si>
    <t>2026-06-28GGP</t>
  </si>
  <si>
    <t>2026-06-28GHS</t>
  </si>
  <si>
    <t>2026-06-28GIP</t>
  </si>
  <si>
    <t>2026-06-28GMD</t>
  </si>
  <si>
    <t>2026-06-28GNF</t>
  </si>
  <si>
    <t>2026-06-28GTQ</t>
  </si>
  <si>
    <t>2026-06-28GYD</t>
  </si>
  <si>
    <t>2026-06-28HKD</t>
  </si>
  <si>
    <t>2026-06-28HNL</t>
  </si>
  <si>
    <t>2026-06-28HRK</t>
  </si>
  <si>
    <t>2026-06-28HTG</t>
  </si>
  <si>
    <t>2026-06-28IDR</t>
  </si>
  <si>
    <t>2026-06-28ILS</t>
  </si>
  <si>
    <t>2026-06-28IMP</t>
  </si>
  <si>
    <t>2026-06-28INR</t>
  </si>
  <si>
    <t>2026-06-28IQD</t>
  </si>
  <si>
    <t>2026-06-28IRR</t>
  </si>
  <si>
    <t>2026-06-28ISK</t>
  </si>
  <si>
    <t>2026-06-28JEP</t>
  </si>
  <si>
    <t>2026-06-28JMD</t>
  </si>
  <si>
    <t>2026-06-28JOD</t>
  </si>
  <si>
    <t>2026-06-28JPY</t>
  </si>
  <si>
    <t>2026-06-28KES</t>
  </si>
  <si>
    <t>2026-06-28KGS</t>
  </si>
  <si>
    <t>2026-06-28KHR</t>
  </si>
  <si>
    <t>2026-06-28KID</t>
  </si>
  <si>
    <t>2026-06-28KMF</t>
  </si>
  <si>
    <t>2026-06-28KRW</t>
  </si>
  <si>
    <t>2026-06-28KWD</t>
  </si>
  <si>
    <t>2026-06-28KYD</t>
  </si>
  <si>
    <t>2026-06-28KZT</t>
  </si>
  <si>
    <t>2026-06-28LAK</t>
  </si>
  <si>
    <t>2026-06-28LBP</t>
  </si>
  <si>
    <t>2026-06-28LKR</t>
  </si>
  <si>
    <t>2026-06-28LRD</t>
  </si>
  <si>
    <t>2026-06-28LSL</t>
  </si>
  <si>
    <t>2026-06-28LYD</t>
  </si>
  <si>
    <t>2026-06-28MAD</t>
  </si>
  <si>
    <t>2026-06-28MDL</t>
  </si>
  <si>
    <t>2026-06-28MGA</t>
  </si>
  <si>
    <t>2026-06-28MKD</t>
  </si>
  <si>
    <t>2026-06-28MMK</t>
  </si>
  <si>
    <t>2026-06-28MNT</t>
  </si>
  <si>
    <t>2026-06-28MOP</t>
  </si>
  <si>
    <t>2026-06-28MRU</t>
  </si>
  <si>
    <t>2026-06-28MUR</t>
  </si>
  <si>
    <t>2026-06-28MVR</t>
  </si>
  <si>
    <t>2026-06-28MWK</t>
  </si>
  <si>
    <t>2026-06-28MXN</t>
  </si>
  <si>
    <t>2026-06-28MYR</t>
  </si>
  <si>
    <t>2026-06-28MZN</t>
  </si>
  <si>
    <t>2026-06-28NAD</t>
  </si>
  <si>
    <t>2026-06-28NGN</t>
  </si>
  <si>
    <t>2026-06-28NIO</t>
  </si>
  <si>
    <t>2026-06-28NOK</t>
  </si>
  <si>
    <t>2026-06-28NPR</t>
  </si>
  <si>
    <t>2026-06-28NZD</t>
  </si>
  <si>
    <t>2026-06-28OMR</t>
  </si>
  <si>
    <t>2026-06-28PAB</t>
  </si>
  <si>
    <t>2026-06-28PEN</t>
  </si>
  <si>
    <t>2026-06-28PGK</t>
  </si>
  <si>
    <t>2026-06-28PHP</t>
  </si>
  <si>
    <t>2026-06-28PKR</t>
  </si>
  <si>
    <t>2026-06-28PLN</t>
  </si>
  <si>
    <t>2026-06-28PYG</t>
  </si>
  <si>
    <t>2026-06-28QAR</t>
  </si>
  <si>
    <t>2026-06-28RON</t>
  </si>
  <si>
    <t>2026-06-28RSD</t>
  </si>
  <si>
    <t>2026-06-28RUB</t>
  </si>
  <si>
    <t>2026-06-28RWF</t>
  </si>
  <si>
    <t>2026-06-28SAR</t>
  </si>
  <si>
    <t>2026-06-28SBD</t>
  </si>
  <si>
    <t>2026-06-28SCR</t>
  </si>
  <si>
    <t>2026-06-28SDG</t>
  </si>
  <si>
    <t>2026-06-28SEK</t>
  </si>
  <si>
    <t>2026-06-28SGD</t>
  </si>
  <si>
    <t>2026-06-28SHP</t>
  </si>
  <si>
    <t>2026-06-28SLE</t>
  </si>
  <si>
    <t>2026-06-28SLL</t>
  </si>
  <si>
    <t>2026-06-28SOS</t>
  </si>
  <si>
    <t>2026-06-28SRD</t>
  </si>
  <si>
    <t>2026-06-28SSP</t>
  </si>
  <si>
    <t>2026-06-28STN</t>
  </si>
  <si>
    <t>2026-06-28SYP</t>
  </si>
  <si>
    <t>2026-06-28SZL</t>
  </si>
  <si>
    <t>2026-06-28THB</t>
  </si>
  <si>
    <t>2026-06-28TJS</t>
  </si>
  <si>
    <t>2026-06-28TMT</t>
  </si>
  <si>
    <t>2026-06-28TND</t>
  </si>
  <si>
    <t>2026-06-28TOP</t>
  </si>
  <si>
    <t>2026-06-28TRY</t>
  </si>
  <si>
    <t>2026-06-28TTD</t>
  </si>
  <si>
    <t>2026-06-28TVD</t>
  </si>
  <si>
    <t>2026-06-28TWD</t>
  </si>
  <si>
    <t>2026-06-28TZS</t>
  </si>
  <si>
    <t>2026-06-28UAH</t>
  </si>
  <si>
    <t>2026-06-28UGX</t>
  </si>
  <si>
    <t>2026-06-28USD</t>
  </si>
  <si>
    <t>2026-06-28UYU</t>
  </si>
  <si>
    <t>2026-06-28UZS</t>
  </si>
  <si>
    <t>2026-06-28VES</t>
  </si>
  <si>
    <t>2026-06-28VND</t>
  </si>
  <si>
    <t>2026-06-28VUV</t>
  </si>
  <si>
    <t>2026-06-28WST</t>
  </si>
  <si>
    <t>2026-06-28XAF</t>
  </si>
  <si>
    <t>2026-06-28XCD</t>
  </si>
  <si>
    <t>2026-06-28XCG</t>
  </si>
  <si>
    <t>2026-06-28XDR</t>
  </si>
  <si>
    <t>2026-06-28XOF</t>
  </si>
  <si>
    <t>2026-06-28XPF</t>
  </si>
  <si>
    <t>2026-06-28YER</t>
  </si>
  <si>
    <t>2026-06-28ZAR</t>
  </si>
  <si>
    <t>2026-06-28ZMW</t>
  </si>
  <si>
    <t>2026-06-28ZWG</t>
  </si>
  <si>
    <t>2026-06-28ZWL</t>
  </si>
  <si>
    <t>2026-06-30EUR</t>
  </si>
  <si>
    <t>2026-06-30AED</t>
  </si>
  <si>
    <t>2026-06-30AFN</t>
  </si>
  <si>
    <t>2026-06-30ALL</t>
  </si>
  <si>
    <t>2026-06-30AMD</t>
  </si>
  <si>
    <t>2026-06-30ANG</t>
  </si>
  <si>
    <t>2026-06-30AOA</t>
  </si>
  <si>
    <t>2026-06-30ARS</t>
  </si>
  <si>
    <t>2026-06-30AUD</t>
  </si>
  <si>
    <t>2026-06-30AWG</t>
  </si>
  <si>
    <t>2026-06-30AZN</t>
  </si>
  <si>
    <t>2026-06-30BAM</t>
  </si>
  <si>
    <t>2026-06-30BBD</t>
  </si>
  <si>
    <t>2026-06-30BDT</t>
  </si>
  <si>
    <t>2026-06-30BGN</t>
  </si>
  <si>
    <t>2026-06-30BHD</t>
  </si>
  <si>
    <t>2026-06-30BIF</t>
  </si>
  <si>
    <t>2026-06-30BMD</t>
  </si>
  <si>
    <t>2026-06-30BND</t>
  </si>
  <si>
    <t>2026-06-30BOB</t>
  </si>
  <si>
    <t>2026-06-30BRL</t>
  </si>
  <si>
    <t>2026-06-30BSD</t>
  </si>
  <si>
    <t>2026-06-30BTN</t>
  </si>
  <si>
    <t>2026-06-30BWP</t>
  </si>
  <si>
    <t>2026-06-30BYN</t>
  </si>
  <si>
    <t>2026-06-30BZD</t>
  </si>
  <si>
    <t>2026-06-30CAD</t>
  </si>
  <si>
    <t>2026-06-30CDF</t>
  </si>
  <si>
    <t>2026-06-30CHF</t>
  </si>
  <si>
    <t>2026-06-30CLF</t>
  </si>
  <si>
    <t>2026-06-30CLP</t>
  </si>
  <si>
    <t>2026-06-30CNH</t>
  </si>
  <si>
    <t>2026-06-30CNY</t>
  </si>
  <si>
    <t>2026-06-30COP</t>
  </si>
  <si>
    <t>2026-06-30CRC</t>
  </si>
  <si>
    <t>2026-06-30CUP</t>
  </si>
  <si>
    <t>2026-06-30CVE</t>
  </si>
  <si>
    <t>2026-06-30CZK</t>
  </si>
  <si>
    <t>2026-06-30DJF</t>
  </si>
  <si>
    <t>2026-06-30DKK</t>
  </si>
  <si>
    <t>2026-06-30DOP</t>
  </si>
  <si>
    <t>2026-06-30DZD</t>
  </si>
  <si>
    <t>2026-06-30EGP</t>
  </si>
  <si>
    <t>2026-06-30ERN</t>
  </si>
  <si>
    <t>2026-06-30ETB</t>
  </si>
  <si>
    <t>2026-06-30FJD</t>
  </si>
  <si>
    <t>2026-06-30FKP</t>
  </si>
  <si>
    <t>2026-06-30FOK</t>
  </si>
  <si>
    <t>2026-06-30GBP</t>
  </si>
  <si>
    <t>2026-06-30GEL</t>
  </si>
  <si>
    <t>2026-06-30GGP</t>
  </si>
  <si>
    <t>2026-06-30GHS</t>
  </si>
  <si>
    <t>2026-06-30GIP</t>
  </si>
  <si>
    <t>2026-06-30GMD</t>
  </si>
  <si>
    <t>2026-06-30GNF</t>
  </si>
  <si>
    <t>2026-06-30GTQ</t>
  </si>
  <si>
    <t>2026-06-30GYD</t>
  </si>
  <si>
    <t>2026-06-30HKD</t>
  </si>
  <si>
    <t>2026-06-30HNL</t>
  </si>
  <si>
    <t>2026-06-30HRK</t>
  </si>
  <si>
    <t>2026-06-30HTG</t>
  </si>
  <si>
    <t>2026-06-30IDR</t>
  </si>
  <si>
    <t>2026-06-30ILS</t>
  </si>
  <si>
    <t>2026-06-30IMP</t>
  </si>
  <si>
    <t>2026-06-30INR</t>
  </si>
  <si>
    <t>2026-06-30IQD</t>
  </si>
  <si>
    <t>2026-06-30IRR</t>
  </si>
  <si>
    <t>2026-06-30ISK</t>
  </si>
  <si>
    <t>2026-06-30JEP</t>
  </si>
  <si>
    <t>2026-06-30JMD</t>
  </si>
  <si>
    <t>2026-06-30JOD</t>
  </si>
  <si>
    <t>2026-06-30JPY</t>
  </si>
  <si>
    <t>2026-06-30KES</t>
  </si>
  <si>
    <t>2026-06-30KGS</t>
  </si>
  <si>
    <t>2026-06-30KHR</t>
  </si>
  <si>
    <t>2026-06-30KID</t>
  </si>
  <si>
    <t>2026-06-30KMF</t>
  </si>
  <si>
    <t>2026-06-30KRW</t>
  </si>
  <si>
    <t>2026-06-30KWD</t>
  </si>
  <si>
    <t>2026-06-30KYD</t>
  </si>
  <si>
    <t>2026-06-30KZT</t>
  </si>
  <si>
    <t>2026-06-30LAK</t>
  </si>
  <si>
    <t>2026-06-30LBP</t>
  </si>
  <si>
    <t>2026-06-30LKR</t>
  </si>
  <si>
    <t>2026-06-30LRD</t>
  </si>
  <si>
    <t>2026-06-30LSL</t>
  </si>
  <si>
    <t>2026-06-30LYD</t>
  </si>
  <si>
    <t>2026-06-30MAD</t>
  </si>
  <si>
    <t>2026-06-30MDL</t>
  </si>
  <si>
    <t>2026-06-30MGA</t>
  </si>
  <si>
    <t>2026-06-30MKD</t>
  </si>
  <si>
    <t>2026-06-30MMK</t>
  </si>
  <si>
    <t>2026-06-30MNT</t>
  </si>
  <si>
    <t>2026-06-30MOP</t>
  </si>
  <si>
    <t>2026-06-30MRU</t>
  </si>
  <si>
    <t>2026-06-30MUR</t>
  </si>
  <si>
    <t>2026-06-30MVR</t>
  </si>
  <si>
    <t>2026-06-30MWK</t>
  </si>
  <si>
    <t>2026-06-30MXN</t>
  </si>
  <si>
    <t>2026-06-30MYR</t>
  </si>
  <si>
    <t>2026-06-30MZN</t>
  </si>
  <si>
    <t>2026-06-30NAD</t>
  </si>
  <si>
    <t>2026-06-30NGN</t>
  </si>
  <si>
    <t>2026-06-30NIO</t>
  </si>
  <si>
    <t>2026-06-30NOK</t>
  </si>
  <si>
    <t>2026-06-30NPR</t>
  </si>
  <si>
    <t>2026-06-30NZD</t>
  </si>
  <si>
    <t>2026-06-30OMR</t>
  </si>
  <si>
    <t>2026-06-30PAB</t>
  </si>
  <si>
    <t>2026-06-30PEN</t>
  </si>
  <si>
    <t>2026-06-30PGK</t>
  </si>
  <si>
    <t>2026-06-30PHP</t>
  </si>
  <si>
    <t>2026-06-30PKR</t>
  </si>
  <si>
    <t>2026-06-30PLN</t>
  </si>
  <si>
    <t>2026-06-30PYG</t>
  </si>
  <si>
    <t>2026-06-30QAR</t>
  </si>
  <si>
    <t>2026-06-30RON</t>
  </si>
  <si>
    <t>2026-06-30RSD</t>
  </si>
  <si>
    <t>2026-06-30RUB</t>
  </si>
  <si>
    <t>2026-06-30RWF</t>
  </si>
  <si>
    <t>2026-06-30SAR</t>
  </si>
  <si>
    <t>2026-06-30SBD</t>
  </si>
  <si>
    <t>2026-06-30SCR</t>
  </si>
  <si>
    <t>2026-06-30SDG</t>
  </si>
  <si>
    <t>2026-06-30SEK</t>
  </si>
  <si>
    <t>2026-06-30SGD</t>
  </si>
  <si>
    <t>2026-06-30SHP</t>
  </si>
  <si>
    <t>2026-06-30SLE</t>
  </si>
  <si>
    <t>2026-06-30SLL</t>
  </si>
  <si>
    <t>2026-06-30SOS</t>
  </si>
  <si>
    <t>2026-06-30SRD</t>
  </si>
  <si>
    <t>2026-06-30SSP</t>
  </si>
  <si>
    <t>2026-06-30STN</t>
  </si>
  <si>
    <t>2026-06-30SYP</t>
  </si>
  <si>
    <t>2026-06-30SZL</t>
  </si>
  <si>
    <t>2026-06-30THB</t>
  </si>
  <si>
    <t>2026-06-30TJS</t>
  </si>
  <si>
    <t>2026-06-30TMT</t>
  </si>
  <si>
    <t>2026-06-30TND</t>
  </si>
  <si>
    <t>2026-06-30TOP</t>
  </si>
  <si>
    <t>2026-06-30TRY</t>
  </si>
  <si>
    <t>2026-06-30TTD</t>
  </si>
  <si>
    <t>2026-06-30TVD</t>
  </si>
  <si>
    <t>2026-06-30TWD</t>
  </si>
  <si>
    <t>2026-06-30TZS</t>
  </si>
  <si>
    <t>2026-06-30UAH</t>
  </si>
  <si>
    <t>2026-06-30UGX</t>
  </si>
  <si>
    <t>2026-06-30USD</t>
  </si>
  <si>
    <t>2026-06-30UYU</t>
  </si>
  <si>
    <t>2026-06-30UZS</t>
  </si>
  <si>
    <t>2026-06-30VES</t>
  </si>
  <si>
    <t>2026-06-30VND</t>
  </si>
  <si>
    <t>2026-06-30VUV</t>
  </si>
  <si>
    <t>2026-06-30WST</t>
  </si>
  <si>
    <t>2026-06-30XAF</t>
  </si>
  <si>
    <t>2026-06-30XCD</t>
  </si>
  <si>
    <t>2026-06-30XCG</t>
  </si>
  <si>
    <t>2026-06-30XDR</t>
  </si>
  <si>
    <t>2026-06-30XOF</t>
  </si>
  <si>
    <t>2026-06-30XPF</t>
  </si>
  <si>
    <t>2026-06-30YER</t>
  </si>
  <si>
    <t>2026-06-30ZAR</t>
  </si>
  <si>
    <t>2026-06-30ZMW</t>
  </si>
  <si>
    <t>2026-06-30ZWG</t>
  </si>
  <si>
    <t>2026-06-30ZWL</t>
  </si>
  <si>
    <t>2026-07-01EUR</t>
  </si>
  <si>
    <t>2026-07-01AED</t>
  </si>
  <si>
    <t>2026-07-01AFN</t>
  </si>
  <si>
    <t>2026-07-01ALL</t>
  </si>
  <si>
    <t>2026-07-01AMD</t>
  </si>
  <si>
    <t>2026-07-01ANG</t>
  </si>
  <si>
    <t>2026-07-01AOA</t>
  </si>
  <si>
    <t>2026-07-01ARS</t>
  </si>
  <si>
    <t>2026-07-01AUD</t>
  </si>
  <si>
    <t>2026-07-01AWG</t>
  </si>
  <si>
    <t>2026-07-01AZN</t>
  </si>
  <si>
    <t>2026-07-01BAM</t>
  </si>
  <si>
    <t>2026-07-01BBD</t>
  </si>
  <si>
    <t>2026-07-01BDT</t>
  </si>
  <si>
    <t>2026-07-01BGN</t>
  </si>
  <si>
    <t>2026-07-01BHD</t>
  </si>
  <si>
    <t>2026-07-01BIF</t>
  </si>
  <si>
    <t>2026-07-01BMD</t>
  </si>
  <si>
    <t>2026-07-01BND</t>
  </si>
  <si>
    <t>2026-07-01BOB</t>
  </si>
  <si>
    <t>2026-07-01BRL</t>
  </si>
  <si>
    <t>2026-07-01BSD</t>
  </si>
  <si>
    <t>2026-07-01BTN</t>
  </si>
  <si>
    <t>2026-07-01BWP</t>
  </si>
  <si>
    <t>2026-07-01BYN</t>
  </si>
  <si>
    <t>2026-07-01BZD</t>
  </si>
  <si>
    <t>2026-07-01CAD</t>
  </si>
  <si>
    <t>2026-07-01CDF</t>
  </si>
  <si>
    <t>2026-07-01CHF</t>
  </si>
  <si>
    <t>2026-07-01CLF</t>
  </si>
  <si>
    <t>2026-07-01CLP</t>
  </si>
  <si>
    <t>2026-07-01CNH</t>
  </si>
  <si>
    <t>2026-07-01CNY</t>
  </si>
  <si>
    <t>2026-07-01COP</t>
  </si>
  <si>
    <t>2026-07-01CRC</t>
  </si>
  <si>
    <t>2026-07-01CUP</t>
  </si>
  <si>
    <t>2026-07-01CVE</t>
  </si>
  <si>
    <t>2026-07-01CZK</t>
  </si>
  <si>
    <t>2026-07-01DJF</t>
  </si>
  <si>
    <t>2026-07-01DKK</t>
  </si>
  <si>
    <t>2026-07-01DOP</t>
  </si>
  <si>
    <t>2026-07-01DZD</t>
  </si>
  <si>
    <t>2026-07-01EGP</t>
  </si>
  <si>
    <t>2026-07-01ERN</t>
  </si>
  <si>
    <t>2026-07-01ETB</t>
  </si>
  <si>
    <t>2026-07-01FJD</t>
  </si>
  <si>
    <t>2026-07-01FKP</t>
  </si>
  <si>
    <t>2026-07-01FOK</t>
  </si>
  <si>
    <t>2026-07-01GBP</t>
  </si>
  <si>
    <t>2026-07-01GEL</t>
  </si>
  <si>
    <t>2026-07-01GGP</t>
  </si>
  <si>
    <t>2026-07-01GHS</t>
  </si>
  <si>
    <t>2026-07-01GIP</t>
  </si>
  <si>
    <t>2026-07-01GMD</t>
  </si>
  <si>
    <t>2026-07-01GNF</t>
  </si>
  <si>
    <t>2026-07-01GTQ</t>
  </si>
  <si>
    <t>2026-07-01GYD</t>
  </si>
  <si>
    <t>2026-07-01HKD</t>
  </si>
  <si>
    <t>2026-07-01HNL</t>
  </si>
  <si>
    <t>2026-07-01HRK</t>
  </si>
  <si>
    <t>2026-07-01HTG</t>
  </si>
  <si>
    <t>2026-07-01IDR</t>
  </si>
  <si>
    <t>2026-07-01ILS</t>
  </si>
  <si>
    <t>2026-07-01IMP</t>
  </si>
  <si>
    <t>2026-07-01INR</t>
  </si>
  <si>
    <t>2026-07-01IQD</t>
  </si>
  <si>
    <t>2026-07-01IRR</t>
  </si>
  <si>
    <t>2026-07-01ISK</t>
  </si>
  <si>
    <t>2026-07-01JEP</t>
  </si>
  <si>
    <t>2026-07-01JMD</t>
  </si>
  <si>
    <t>2026-07-01JOD</t>
  </si>
  <si>
    <t>2026-07-01JPY</t>
  </si>
  <si>
    <t>2026-07-01KES</t>
  </si>
  <si>
    <t>2026-07-01KGS</t>
  </si>
  <si>
    <t>2026-07-01KHR</t>
  </si>
  <si>
    <t>2026-07-01KID</t>
  </si>
  <si>
    <t>2026-07-01KMF</t>
  </si>
  <si>
    <t>2026-07-01KRW</t>
  </si>
  <si>
    <t>2026-07-01KWD</t>
  </si>
  <si>
    <t>2026-07-01KYD</t>
  </si>
  <si>
    <t>2026-07-01KZT</t>
  </si>
  <si>
    <t>2026-07-01LAK</t>
  </si>
  <si>
    <t>2026-07-01LBP</t>
  </si>
  <si>
    <t>2026-07-01LKR</t>
  </si>
  <si>
    <t>2026-07-01LRD</t>
  </si>
  <si>
    <t>2026-07-01LSL</t>
  </si>
  <si>
    <t>2026-07-01LYD</t>
  </si>
  <si>
    <t>2026-07-01MAD</t>
  </si>
  <si>
    <t>2026-07-01MDL</t>
  </si>
  <si>
    <t>2026-07-01MGA</t>
  </si>
  <si>
    <t>2026-07-01MKD</t>
  </si>
  <si>
    <t>2026-07-01MMK</t>
  </si>
  <si>
    <t>2026-07-01MNT</t>
  </si>
  <si>
    <t>2026-07-01MOP</t>
  </si>
  <si>
    <t>2026-07-01MRU</t>
  </si>
  <si>
    <t>2026-07-01MUR</t>
  </si>
  <si>
    <t>2026-07-01MVR</t>
  </si>
  <si>
    <t>2026-07-01MWK</t>
  </si>
  <si>
    <t>2026-07-01MXN</t>
  </si>
  <si>
    <t>2026-07-01MYR</t>
  </si>
  <si>
    <t>2026-07-01MZN</t>
  </si>
  <si>
    <t>2026-07-01NAD</t>
  </si>
  <si>
    <t>2026-07-01NGN</t>
  </si>
  <si>
    <t>2026-07-01NIO</t>
  </si>
  <si>
    <t>2026-07-01NOK</t>
  </si>
  <si>
    <t>2026-07-01NPR</t>
  </si>
  <si>
    <t>2026-07-01NZD</t>
  </si>
  <si>
    <t>2026-07-01OMR</t>
  </si>
  <si>
    <t>2026-07-01PAB</t>
  </si>
  <si>
    <t>2026-07-01PEN</t>
  </si>
  <si>
    <t>2026-07-01PGK</t>
  </si>
  <si>
    <t>2026-07-01PHP</t>
  </si>
  <si>
    <t>2026-07-01PKR</t>
  </si>
  <si>
    <t>2026-07-01PLN</t>
  </si>
  <si>
    <t>2026-07-01PYG</t>
  </si>
  <si>
    <t>2026-07-01QAR</t>
  </si>
  <si>
    <t>2026-07-01RON</t>
  </si>
  <si>
    <t>2026-07-01RSD</t>
  </si>
  <si>
    <t>2026-07-01RUB</t>
  </si>
  <si>
    <t>2026-07-01RWF</t>
  </si>
  <si>
    <t>2026-07-01SAR</t>
  </si>
  <si>
    <t>2026-07-01SBD</t>
  </si>
  <si>
    <t>2026-07-01SCR</t>
  </si>
  <si>
    <t>2026-07-01SDG</t>
  </si>
  <si>
    <t>2026-07-01SEK</t>
  </si>
  <si>
    <t>2026-07-01SGD</t>
  </si>
  <si>
    <t>2026-07-01SHP</t>
  </si>
  <si>
    <t>2026-07-01SLE</t>
  </si>
  <si>
    <t>2026-07-01SLL</t>
  </si>
  <si>
    <t>2026-07-01SOS</t>
  </si>
  <si>
    <t>2026-07-01SRD</t>
  </si>
  <si>
    <t>2026-07-01SSP</t>
  </si>
  <si>
    <t>2026-07-01STN</t>
  </si>
  <si>
    <t>2026-07-01SYP</t>
  </si>
  <si>
    <t>2026-07-01SZL</t>
  </si>
  <si>
    <t>2026-07-01THB</t>
  </si>
  <si>
    <t>2026-07-01TJS</t>
  </si>
  <si>
    <t>2026-07-01TMT</t>
  </si>
  <si>
    <t>2026-07-01TND</t>
  </si>
  <si>
    <t>2026-07-01TOP</t>
  </si>
  <si>
    <t>2026-07-01TRY</t>
  </si>
  <si>
    <t>2026-07-01TTD</t>
  </si>
  <si>
    <t>2026-07-01TVD</t>
  </si>
  <si>
    <t>2026-07-01TWD</t>
  </si>
  <si>
    <t>2026-07-01TZS</t>
  </si>
  <si>
    <t>2026-07-01UAH</t>
  </si>
  <si>
    <t>2026-07-01UGX</t>
  </si>
  <si>
    <t>2026-07-01USD</t>
  </si>
  <si>
    <t>2026-07-01UYU</t>
  </si>
  <si>
    <t>2026-07-01UZS</t>
  </si>
  <si>
    <t>2026-07-01VES</t>
  </si>
  <si>
    <t>2026-07-01VND</t>
  </si>
  <si>
    <t>2026-07-01VUV</t>
  </si>
  <si>
    <t>2026-07-01WST</t>
  </si>
  <si>
    <t>2026-07-01XAF</t>
  </si>
  <si>
    <t>2026-07-01XCD</t>
  </si>
  <si>
    <t>2026-07-01XCG</t>
  </si>
  <si>
    <t>2026-07-01XDR</t>
  </si>
  <si>
    <t>2026-07-01XOF</t>
  </si>
  <si>
    <t>2026-07-01XPF</t>
  </si>
  <si>
    <t>2026-07-01YER</t>
  </si>
  <si>
    <t>2026-07-01ZAR</t>
  </si>
  <si>
    <t>2026-07-01ZMW</t>
  </si>
  <si>
    <t>2026-07-01ZWG</t>
  </si>
  <si>
    <t>2026-07-01ZWL</t>
  </si>
  <si>
    <t>2026-07-02EUR</t>
  </si>
  <si>
    <t>2026-07-02AED</t>
  </si>
  <si>
    <t>2026-07-02AFN</t>
  </si>
  <si>
    <t>2026-07-02ALL</t>
  </si>
  <si>
    <t>2026-07-02AMD</t>
  </si>
  <si>
    <t>2026-07-02ANG</t>
  </si>
  <si>
    <t>2026-07-02AOA</t>
  </si>
  <si>
    <t>2026-07-02ARS</t>
  </si>
  <si>
    <t>2026-07-02AUD</t>
  </si>
  <si>
    <t>2026-07-02AWG</t>
  </si>
  <si>
    <t>2026-07-02AZN</t>
  </si>
  <si>
    <t>2026-07-02BAM</t>
  </si>
  <si>
    <t>2026-07-02BBD</t>
  </si>
  <si>
    <t>2026-07-02BDT</t>
  </si>
  <si>
    <t>2026-07-02BGN</t>
  </si>
  <si>
    <t>2026-07-02BHD</t>
  </si>
  <si>
    <t>2026-07-02BIF</t>
  </si>
  <si>
    <t>2026-07-02BMD</t>
  </si>
  <si>
    <t>2026-07-02BND</t>
  </si>
  <si>
    <t>2026-07-02BOB</t>
  </si>
  <si>
    <t>2026-07-02BRL</t>
  </si>
  <si>
    <t>2026-07-02BSD</t>
  </si>
  <si>
    <t>2026-07-02BTN</t>
  </si>
  <si>
    <t>2026-07-02BWP</t>
  </si>
  <si>
    <t>2026-07-02BYN</t>
  </si>
  <si>
    <t>2026-07-02BZD</t>
  </si>
  <si>
    <t>2026-07-02CAD</t>
  </si>
  <si>
    <t>2026-07-02CDF</t>
  </si>
  <si>
    <t>2026-07-02CHF</t>
  </si>
  <si>
    <t>2026-07-02CLF</t>
  </si>
  <si>
    <t>2026-07-02CLP</t>
  </si>
  <si>
    <t>2026-07-02CNH</t>
  </si>
  <si>
    <t>2026-07-02CNY</t>
  </si>
  <si>
    <t>2026-07-02COP</t>
  </si>
  <si>
    <t>2026-07-02CRC</t>
  </si>
  <si>
    <t>2026-07-02CUP</t>
  </si>
  <si>
    <t>2026-07-02CVE</t>
  </si>
  <si>
    <t>2026-07-02CZK</t>
  </si>
  <si>
    <t>2026-07-02DJF</t>
  </si>
  <si>
    <t>2026-07-02DKK</t>
  </si>
  <si>
    <t>2026-07-02DOP</t>
  </si>
  <si>
    <t>2026-07-02DZD</t>
  </si>
  <si>
    <t>2026-07-02EGP</t>
  </si>
  <si>
    <t>2026-07-02ERN</t>
  </si>
  <si>
    <t>2026-07-02ETB</t>
  </si>
  <si>
    <t>2026-07-02FJD</t>
  </si>
  <si>
    <t>2026-07-02FKP</t>
  </si>
  <si>
    <t>2026-07-02FOK</t>
  </si>
  <si>
    <t>2026-07-02GBP</t>
  </si>
  <si>
    <t>2026-07-02GEL</t>
  </si>
  <si>
    <t>2026-07-02GGP</t>
  </si>
  <si>
    <t>2026-07-02GHS</t>
  </si>
  <si>
    <t>2026-07-02GIP</t>
  </si>
  <si>
    <t>2026-07-02GMD</t>
  </si>
  <si>
    <t>2026-07-02GNF</t>
  </si>
  <si>
    <t>2026-07-02GTQ</t>
  </si>
  <si>
    <t>2026-07-02GYD</t>
  </si>
  <si>
    <t>2026-07-02HKD</t>
  </si>
  <si>
    <t>2026-07-02HNL</t>
  </si>
  <si>
    <t>2026-07-02HRK</t>
  </si>
  <si>
    <t>2026-07-02HTG</t>
  </si>
  <si>
    <t>2026-07-02IDR</t>
  </si>
  <si>
    <t>2026-07-02ILS</t>
  </si>
  <si>
    <t>2026-07-02IMP</t>
  </si>
  <si>
    <t>2026-07-02INR</t>
  </si>
  <si>
    <t>2026-07-02IQD</t>
  </si>
  <si>
    <t>2026-07-02IRR</t>
  </si>
  <si>
    <t>2026-07-02ISK</t>
  </si>
  <si>
    <t>2026-07-02JEP</t>
  </si>
  <si>
    <t>2026-07-02JMD</t>
  </si>
  <si>
    <t>2026-07-02JOD</t>
  </si>
  <si>
    <t>2026-07-02JPY</t>
  </si>
  <si>
    <t>2026-07-02KES</t>
  </si>
  <si>
    <t>2026-07-02KGS</t>
  </si>
  <si>
    <t>2026-07-02KHR</t>
  </si>
  <si>
    <t>2026-07-02KID</t>
  </si>
  <si>
    <t>2026-07-02KMF</t>
  </si>
  <si>
    <t>2026-07-02KRW</t>
  </si>
  <si>
    <t>2026-07-02KWD</t>
  </si>
  <si>
    <t>2026-07-02KYD</t>
  </si>
  <si>
    <t>2026-07-02KZT</t>
  </si>
  <si>
    <t>2026-07-02LAK</t>
  </si>
  <si>
    <t>2026-07-02LBP</t>
  </si>
  <si>
    <t>2026-07-02LKR</t>
  </si>
  <si>
    <t>2026-07-02LRD</t>
  </si>
  <si>
    <t>2026-07-02LSL</t>
  </si>
  <si>
    <t>2026-07-02LYD</t>
  </si>
  <si>
    <t>2026-07-02MAD</t>
  </si>
  <si>
    <t>2026-07-02MDL</t>
  </si>
  <si>
    <t>2026-07-02MGA</t>
  </si>
  <si>
    <t>2026-07-02MKD</t>
  </si>
  <si>
    <t>2026-07-02MMK</t>
  </si>
  <si>
    <t>2026-07-02MNT</t>
  </si>
  <si>
    <t>2026-07-02MOP</t>
  </si>
  <si>
    <t>2026-07-02MRU</t>
  </si>
  <si>
    <t>2026-07-02MUR</t>
  </si>
  <si>
    <t>2026-07-02MVR</t>
  </si>
  <si>
    <t>2026-07-02MWK</t>
  </si>
  <si>
    <t>2026-07-02MXN</t>
  </si>
  <si>
    <t>2026-07-02MYR</t>
  </si>
  <si>
    <t>2026-07-02MZN</t>
  </si>
  <si>
    <t>2026-07-02NAD</t>
  </si>
  <si>
    <t>2026-07-02NGN</t>
  </si>
  <si>
    <t>2026-07-02NIO</t>
  </si>
  <si>
    <t>2026-07-02NOK</t>
  </si>
  <si>
    <t>2026-07-02NPR</t>
  </si>
  <si>
    <t>2026-07-02NZD</t>
  </si>
  <si>
    <t>2026-07-02OMR</t>
  </si>
  <si>
    <t>2026-07-02PAB</t>
  </si>
  <si>
    <t>2026-07-02PEN</t>
  </si>
  <si>
    <t>2026-07-02PGK</t>
  </si>
  <si>
    <t>2026-07-02PHP</t>
  </si>
  <si>
    <t>2026-07-02PKR</t>
  </si>
  <si>
    <t>2026-07-02PLN</t>
  </si>
  <si>
    <t>2026-07-02PYG</t>
  </si>
  <si>
    <t>2026-07-02QAR</t>
  </si>
  <si>
    <t>2026-07-02RON</t>
  </si>
  <si>
    <t>2026-07-02RSD</t>
  </si>
  <si>
    <t>2026-07-02RUB</t>
  </si>
  <si>
    <t>2026-07-02RWF</t>
  </si>
  <si>
    <t>2026-07-02SAR</t>
  </si>
  <si>
    <t>2026-07-02SBD</t>
  </si>
  <si>
    <t>2026-07-02SCR</t>
  </si>
  <si>
    <t>2026-07-02SDG</t>
  </si>
  <si>
    <t>2026-07-02SEK</t>
  </si>
  <si>
    <t>2026-07-02SGD</t>
  </si>
  <si>
    <t>2026-07-02SHP</t>
  </si>
  <si>
    <t>2026-07-02SLE</t>
  </si>
  <si>
    <t>2026-07-02SLL</t>
  </si>
  <si>
    <t>2026-07-02SOS</t>
  </si>
  <si>
    <t>2026-07-02SRD</t>
  </si>
  <si>
    <t>2026-07-02SSP</t>
  </si>
  <si>
    <t>2026-07-02STN</t>
  </si>
  <si>
    <t>2026-07-02SYP</t>
  </si>
  <si>
    <t>2026-07-02SZL</t>
  </si>
  <si>
    <t>2026-07-02THB</t>
  </si>
  <si>
    <t>2026-07-02TJS</t>
  </si>
  <si>
    <t>2026-07-02TMT</t>
  </si>
  <si>
    <t>2026-07-02TND</t>
  </si>
  <si>
    <t>2026-07-02TOP</t>
  </si>
  <si>
    <t>2026-07-02TRY</t>
  </si>
  <si>
    <t>2026-07-02TTD</t>
  </si>
  <si>
    <t>2026-07-02TVD</t>
  </si>
  <si>
    <t>2026-07-02TWD</t>
  </si>
  <si>
    <t>2026-07-02TZS</t>
  </si>
  <si>
    <t>2026-07-02UAH</t>
  </si>
  <si>
    <t>2026-07-02UGX</t>
  </si>
  <si>
    <t>2026-07-02USD</t>
  </si>
  <si>
    <t>2026-07-02UYU</t>
  </si>
  <si>
    <t>2026-07-02UZS</t>
  </si>
  <si>
    <t>2026-07-02VES</t>
  </si>
  <si>
    <t>2026-07-02VND</t>
  </si>
  <si>
    <t>2026-07-02VUV</t>
  </si>
  <si>
    <t>2026-07-02WST</t>
  </si>
  <si>
    <t>2026-07-02XAF</t>
  </si>
  <si>
    <t>2026-07-02XCD</t>
  </si>
  <si>
    <t>2026-07-02XCG</t>
  </si>
  <si>
    <t>2026-07-02XDR</t>
  </si>
  <si>
    <t>2026-07-02XOF</t>
  </si>
  <si>
    <t>2026-07-02XPF</t>
  </si>
  <si>
    <t>2026-07-02YER</t>
  </si>
  <si>
    <t>2026-07-02ZAR</t>
  </si>
  <si>
    <t>2026-07-02ZMW</t>
  </si>
  <si>
    <t>2026-07-02ZWG</t>
  </si>
  <si>
    <t>2026-07-02ZWL</t>
  </si>
  <si>
    <t>2026-07-05EUR</t>
  </si>
  <si>
    <t>2026-07-05AED</t>
  </si>
  <si>
    <t>2026-07-05AFN</t>
  </si>
  <si>
    <t>2026-07-05ALL</t>
  </si>
  <si>
    <t>2026-07-05AMD</t>
  </si>
  <si>
    <t>2026-07-05ANG</t>
  </si>
  <si>
    <t>2026-07-05AOA</t>
  </si>
  <si>
    <t>2026-07-05ARS</t>
  </si>
  <si>
    <t>2026-07-05AUD</t>
  </si>
  <si>
    <t>2026-07-05AWG</t>
  </si>
  <si>
    <t>2026-07-05AZN</t>
  </si>
  <si>
    <t>2026-07-05BAM</t>
  </si>
  <si>
    <t>2026-07-05BBD</t>
  </si>
  <si>
    <t>2026-07-05BDT</t>
  </si>
  <si>
    <t>2026-07-05BGN</t>
  </si>
  <si>
    <t>2026-07-05BHD</t>
  </si>
  <si>
    <t>2026-07-05BIF</t>
  </si>
  <si>
    <t>2026-07-05BMD</t>
  </si>
  <si>
    <t>2026-07-05BND</t>
  </si>
  <si>
    <t>2026-07-05BOB</t>
  </si>
  <si>
    <t>2026-07-05BRL</t>
  </si>
  <si>
    <t>2026-07-05BSD</t>
  </si>
  <si>
    <t>2026-07-05BTN</t>
  </si>
  <si>
    <t>2026-07-05BWP</t>
  </si>
  <si>
    <t>2026-07-05BYN</t>
  </si>
  <si>
    <t>2026-07-05BZD</t>
  </si>
  <si>
    <t>2026-07-05CAD</t>
  </si>
  <si>
    <t>2026-07-05CDF</t>
  </si>
  <si>
    <t>2026-07-05CHF</t>
  </si>
  <si>
    <t>2026-07-05CLF</t>
  </si>
  <si>
    <t>2026-07-05CLP</t>
  </si>
  <si>
    <t>2026-07-05CNH</t>
  </si>
  <si>
    <t>2026-07-05CNY</t>
  </si>
  <si>
    <t>2026-07-05COP</t>
  </si>
  <si>
    <t>2026-07-05CRC</t>
  </si>
  <si>
    <t>2026-07-05CUP</t>
  </si>
  <si>
    <t>2026-07-05CVE</t>
  </si>
  <si>
    <t>2026-07-05CZK</t>
  </si>
  <si>
    <t>2026-07-05DJF</t>
  </si>
  <si>
    <t>2026-07-05DKK</t>
  </si>
  <si>
    <t>2026-07-05DOP</t>
  </si>
  <si>
    <t>2026-07-05DZD</t>
  </si>
  <si>
    <t>2026-07-05EGP</t>
  </si>
  <si>
    <t>2026-07-05ERN</t>
  </si>
  <si>
    <t>2026-07-05ETB</t>
  </si>
  <si>
    <t>2026-07-05FJD</t>
  </si>
  <si>
    <t>2026-07-05FKP</t>
  </si>
  <si>
    <t>2026-07-05FOK</t>
  </si>
  <si>
    <t>2026-07-05GBP</t>
  </si>
  <si>
    <t>2026-07-05GEL</t>
  </si>
  <si>
    <t>2026-07-05GGP</t>
  </si>
  <si>
    <t>2026-07-05GHS</t>
  </si>
  <si>
    <t>2026-07-05GIP</t>
  </si>
  <si>
    <t>2026-07-05GMD</t>
  </si>
  <si>
    <t>2026-07-05GNF</t>
  </si>
  <si>
    <t>2026-07-05GTQ</t>
  </si>
  <si>
    <t>2026-07-05GYD</t>
  </si>
  <si>
    <t>2026-07-05HKD</t>
  </si>
  <si>
    <t>2026-07-05HNL</t>
  </si>
  <si>
    <t>2026-07-05HRK</t>
  </si>
  <si>
    <t>2026-07-05HTG</t>
  </si>
  <si>
    <t>2026-07-05IDR</t>
  </si>
  <si>
    <t>2026-07-05ILS</t>
  </si>
  <si>
    <t>2026-07-05IMP</t>
  </si>
  <si>
    <t>2026-07-05INR</t>
  </si>
  <si>
    <t>2026-07-05IQD</t>
  </si>
  <si>
    <t>2026-07-05IRR</t>
  </si>
  <si>
    <t>2026-07-05ISK</t>
  </si>
  <si>
    <t>2026-07-05JEP</t>
  </si>
  <si>
    <t>2026-07-05JMD</t>
  </si>
  <si>
    <t>2026-07-05JOD</t>
  </si>
  <si>
    <t>2026-07-05JPY</t>
  </si>
  <si>
    <t>2026-07-05KES</t>
  </si>
  <si>
    <t>2026-07-05KGS</t>
  </si>
  <si>
    <t>2026-07-05KHR</t>
  </si>
  <si>
    <t>2026-07-05KID</t>
  </si>
  <si>
    <t>2026-07-05KMF</t>
  </si>
  <si>
    <t>2026-07-05KRW</t>
  </si>
  <si>
    <t>2026-07-05KWD</t>
  </si>
  <si>
    <t>2026-07-05KYD</t>
  </si>
  <si>
    <t>2026-07-05KZT</t>
  </si>
  <si>
    <t>2026-07-05LAK</t>
  </si>
  <si>
    <t>2026-07-05LBP</t>
  </si>
  <si>
    <t>2026-07-05LKR</t>
  </si>
  <si>
    <t>2026-07-05LRD</t>
  </si>
  <si>
    <t>2026-07-05LSL</t>
  </si>
  <si>
    <t>2026-07-05LYD</t>
  </si>
  <si>
    <t>2026-07-05MAD</t>
  </si>
  <si>
    <t>2026-07-05MDL</t>
  </si>
  <si>
    <t>2026-07-05MGA</t>
  </si>
  <si>
    <t>2026-07-05MKD</t>
  </si>
  <si>
    <t>2026-07-05MMK</t>
  </si>
  <si>
    <t>2026-07-05MNT</t>
  </si>
  <si>
    <t>2026-07-05MOP</t>
  </si>
  <si>
    <t>2026-07-05MRU</t>
  </si>
  <si>
    <t>2026-07-05MUR</t>
  </si>
  <si>
    <t>2026-07-05MVR</t>
  </si>
  <si>
    <t>2026-07-05MWK</t>
  </si>
  <si>
    <t>2026-07-05MXN</t>
  </si>
  <si>
    <t>2026-07-05MYR</t>
  </si>
  <si>
    <t>2026-07-05MZN</t>
  </si>
  <si>
    <t>2026-07-05NAD</t>
  </si>
  <si>
    <t>2026-07-05NGN</t>
  </si>
  <si>
    <t>2026-07-05NIO</t>
  </si>
  <si>
    <t>2026-07-05NOK</t>
  </si>
  <si>
    <t>2026-07-05NPR</t>
  </si>
  <si>
    <t>2026-07-05NZD</t>
  </si>
  <si>
    <t>2026-07-05OMR</t>
  </si>
  <si>
    <t>2026-07-05PAB</t>
  </si>
  <si>
    <t>2026-07-05PEN</t>
  </si>
  <si>
    <t>2026-07-05PGK</t>
  </si>
  <si>
    <t>2026-07-05PHP</t>
  </si>
  <si>
    <t>2026-07-05PKR</t>
  </si>
  <si>
    <t>2026-07-05PLN</t>
  </si>
  <si>
    <t>2026-07-05PYG</t>
  </si>
  <si>
    <t>2026-07-05QAR</t>
  </si>
  <si>
    <t>2026-07-05RON</t>
  </si>
  <si>
    <t>2026-07-05RSD</t>
  </si>
  <si>
    <t>2026-07-05RUB</t>
  </si>
  <si>
    <t>2026-07-05RWF</t>
  </si>
  <si>
    <t>2026-07-05SAR</t>
  </si>
  <si>
    <t>2026-07-05SBD</t>
  </si>
  <si>
    <t>2026-07-05SCR</t>
  </si>
  <si>
    <t>2026-07-05SDG</t>
  </si>
  <si>
    <t>2026-07-05SEK</t>
  </si>
  <si>
    <t>2026-07-05SGD</t>
  </si>
  <si>
    <t>2026-07-05SHP</t>
  </si>
  <si>
    <t>2026-07-05SLE</t>
  </si>
  <si>
    <t>2026-07-05SLL</t>
  </si>
  <si>
    <t>2026-07-05SOS</t>
  </si>
  <si>
    <t>2026-07-05SRD</t>
  </si>
  <si>
    <t>2026-07-05SSP</t>
  </si>
  <si>
    <t>2026-07-05STN</t>
  </si>
  <si>
    <t>2026-07-05SYP</t>
  </si>
  <si>
    <t>2026-07-05SZL</t>
  </si>
  <si>
    <t>2026-07-05THB</t>
  </si>
  <si>
    <t>2026-07-05TJS</t>
  </si>
  <si>
    <t>2026-07-05TMT</t>
  </si>
  <si>
    <t>2026-07-05TND</t>
  </si>
  <si>
    <t>2026-07-05TOP</t>
  </si>
  <si>
    <t>2026-07-05TRY</t>
  </si>
  <si>
    <t>2026-07-05TTD</t>
  </si>
  <si>
    <t>2026-07-05TVD</t>
  </si>
  <si>
    <t>2026-07-05TWD</t>
  </si>
  <si>
    <t>2026-07-05TZS</t>
  </si>
  <si>
    <t>2026-07-05UAH</t>
  </si>
  <si>
    <t>2026-07-05UGX</t>
  </si>
  <si>
    <t>2026-07-05USD</t>
  </si>
  <si>
    <t>2026-07-05UYU</t>
  </si>
  <si>
    <t>2026-07-05UZS</t>
  </si>
  <si>
    <t>2026-07-05VES</t>
  </si>
  <si>
    <t>2026-07-05VND</t>
  </si>
  <si>
    <t>2026-07-05VUV</t>
  </si>
  <si>
    <t>2026-07-05WST</t>
  </si>
  <si>
    <t>2026-07-05XAF</t>
  </si>
  <si>
    <t>2026-07-05XCD</t>
  </si>
  <si>
    <t>2026-07-05XCG</t>
  </si>
  <si>
    <t>2026-07-05XDR</t>
  </si>
  <si>
    <t>2026-07-05XOF</t>
  </si>
  <si>
    <t>2026-07-05XPF</t>
  </si>
  <si>
    <t>2026-07-05YER</t>
  </si>
  <si>
    <t>2026-07-05ZAR</t>
  </si>
  <si>
    <t>2026-07-05ZMW</t>
  </si>
  <si>
    <t>2026-07-05ZWG</t>
  </si>
  <si>
    <t>2026-07-05ZWL</t>
  </si>
  <si>
    <t>2026-07-06EUR</t>
  </si>
  <si>
    <t>2026-07-06AED</t>
  </si>
  <si>
    <t>2026-07-06AFN</t>
  </si>
  <si>
    <t>2026-07-06ALL</t>
  </si>
  <si>
    <t>2026-07-06AMD</t>
  </si>
  <si>
    <t>2026-07-06ANG</t>
  </si>
  <si>
    <t>2026-07-06AOA</t>
  </si>
  <si>
    <t>2026-07-06ARS</t>
  </si>
  <si>
    <t>2026-07-06AUD</t>
  </si>
  <si>
    <t>2026-07-06AWG</t>
  </si>
  <si>
    <t>2026-07-06AZN</t>
  </si>
  <si>
    <t>2026-07-06BAM</t>
  </si>
  <si>
    <t>2026-07-06BBD</t>
  </si>
  <si>
    <t>2026-07-06BDT</t>
  </si>
  <si>
    <t>2026-07-06BGN</t>
  </si>
  <si>
    <t>2026-07-06BHD</t>
  </si>
  <si>
    <t>2026-07-06BIF</t>
  </si>
  <si>
    <t>2026-07-06BMD</t>
  </si>
  <si>
    <t>2026-07-06BND</t>
  </si>
  <si>
    <t>2026-07-06BOB</t>
  </si>
  <si>
    <t>2026-07-06BRL</t>
  </si>
  <si>
    <t>2026-07-06BSD</t>
  </si>
  <si>
    <t>2026-07-06BTN</t>
  </si>
  <si>
    <t>2026-07-06BWP</t>
  </si>
  <si>
    <t>2026-07-06BYN</t>
  </si>
  <si>
    <t>2026-07-06BZD</t>
  </si>
  <si>
    <t>2026-07-06CAD</t>
  </si>
  <si>
    <t>2026-07-06CDF</t>
  </si>
  <si>
    <t>2026-07-06CHF</t>
  </si>
  <si>
    <t>2026-07-06CLF</t>
  </si>
  <si>
    <t>2026-07-06CLP</t>
  </si>
  <si>
    <t>2026-07-06CNH</t>
  </si>
  <si>
    <t>2026-07-06CNY</t>
  </si>
  <si>
    <t>2026-07-06COP</t>
  </si>
  <si>
    <t>2026-07-06CRC</t>
  </si>
  <si>
    <t>2026-07-06CUP</t>
  </si>
  <si>
    <t>2026-07-06CVE</t>
  </si>
  <si>
    <t>2026-07-06CZK</t>
  </si>
  <si>
    <t>2026-07-06DJF</t>
  </si>
  <si>
    <t>2026-07-06DKK</t>
  </si>
  <si>
    <t>2026-07-06DOP</t>
  </si>
  <si>
    <t>2026-07-06DZD</t>
  </si>
  <si>
    <t>2026-07-06EGP</t>
  </si>
  <si>
    <t>2026-07-06ERN</t>
  </si>
  <si>
    <t>2026-07-06ETB</t>
  </si>
  <si>
    <t>2026-07-06FJD</t>
  </si>
  <si>
    <t>2026-07-06FKP</t>
  </si>
  <si>
    <t>2026-07-06FOK</t>
  </si>
  <si>
    <t>2026-07-06GBP</t>
  </si>
  <si>
    <t>2026-07-06GEL</t>
  </si>
  <si>
    <t>2026-07-06GGP</t>
  </si>
  <si>
    <t>2026-07-06GHS</t>
  </si>
  <si>
    <t>2026-07-06GIP</t>
  </si>
  <si>
    <t>2026-07-06GMD</t>
  </si>
  <si>
    <t>2026-07-06GNF</t>
  </si>
  <si>
    <t>2026-07-06GTQ</t>
  </si>
  <si>
    <t>2026-07-06GYD</t>
  </si>
  <si>
    <t>2026-07-06HKD</t>
  </si>
  <si>
    <t>2026-07-06HNL</t>
  </si>
  <si>
    <t>2026-07-06HRK</t>
  </si>
  <si>
    <t>2026-07-06HTG</t>
  </si>
  <si>
    <t>2026-07-06IDR</t>
  </si>
  <si>
    <t>2026-07-06ILS</t>
  </si>
  <si>
    <t>2026-07-06IMP</t>
  </si>
  <si>
    <t>2026-07-06INR</t>
  </si>
  <si>
    <t>2026-07-06IQD</t>
  </si>
  <si>
    <t>2026-07-06IRR</t>
  </si>
  <si>
    <t>2026-07-06ISK</t>
  </si>
  <si>
    <t>2026-07-06JEP</t>
  </si>
  <si>
    <t>2026-07-06JMD</t>
  </si>
  <si>
    <t>2026-07-06JOD</t>
  </si>
  <si>
    <t>2026-07-06JPY</t>
  </si>
  <si>
    <t>2026-07-06KES</t>
  </si>
  <si>
    <t>2026-07-06KGS</t>
  </si>
  <si>
    <t>2026-07-06KHR</t>
  </si>
  <si>
    <t>2026-07-06KID</t>
  </si>
  <si>
    <t>2026-07-06KMF</t>
  </si>
  <si>
    <t>2026-07-06KRW</t>
  </si>
  <si>
    <t>2026-07-06KWD</t>
  </si>
  <si>
    <t>2026-07-06KYD</t>
  </si>
  <si>
    <t>2026-07-06KZT</t>
  </si>
  <si>
    <t>2026-07-06LAK</t>
  </si>
  <si>
    <t>2026-07-06LBP</t>
  </si>
  <si>
    <t>2026-07-06LKR</t>
  </si>
  <si>
    <t>2026-07-06LRD</t>
  </si>
  <si>
    <t>2026-07-06LSL</t>
  </si>
  <si>
    <t>2026-07-06LYD</t>
  </si>
  <si>
    <t>2026-07-06MAD</t>
  </si>
  <si>
    <t>2026-07-06MDL</t>
  </si>
  <si>
    <t>2026-07-06MGA</t>
  </si>
  <si>
    <t>2026-07-06MKD</t>
  </si>
  <si>
    <t>2026-07-06MMK</t>
  </si>
  <si>
    <t>2026-07-06MNT</t>
  </si>
  <si>
    <t>2026-07-06MOP</t>
  </si>
  <si>
    <t>2026-07-06MRU</t>
  </si>
  <si>
    <t>2026-07-06MUR</t>
  </si>
  <si>
    <t>2026-07-06MVR</t>
  </si>
  <si>
    <t>2026-07-06MWK</t>
  </si>
  <si>
    <t>2026-07-06MXN</t>
  </si>
  <si>
    <t>2026-07-06MYR</t>
  </si>
  <si>
    <t>2026-07-06MZN</t>
  </si>
  <si>
    <t>2026-07-06NAD</t>
  </si>
  <si>
    <t>2026-07-06NGN</t>
  </si>
  <si>
    <t>2026-07-06NIO</t>
  </si>
  <si>
    <t>2026-07-06NOK</t>
  </si>
  <si>
    <t>2026-07-06NPR</t>
  </si>
  <si>
    <t>2026-07-06NZD</t>
  </si>
  <si>
    <t>2026-07-06OMR</t>
  </si>
  <si>
    <t>2026-07-06PAB</t>
  </si>
  <si>
    <t>2026-07-06PEN</t>
  </si>
  <si>
    <t>2026-07-06PGK</t>
  </si>
  <si>
    <t>2026-07-06PHP</t>
  </si>
  <si>
    <t>2026-07-06PKR</t>
  </si>
  <si>
    <t>2026-07-06PLN</t>
  </si>
  <si>
    <t>2026-07-06PYG</t>
  </si>
  <si>
    <t>2026-07-06QAR</t>
  </si>
  <si>
    <t>2026-07-06RON</t>
  </si>
  <si>
    <t>2026-07-06RSD</t>
  </si>
  <si>
    <t>2026-07-06RUB</t>
  </si>
  <si>
    <t>2026-07-06RWF</t>
  </si>
  <si>
    <t>2026-07-06SAR</t>
  </si>
  <si>
    <t>2026-07-06SBD</t>
  </si>
  <si>
    <t>2026-07-06SCR</t>
  </si>
  <si>
    <t>2026-07-06SDG</t>
  </si>
  <si>
    <t>2026-07-06SEK</t>
  </si>
  <si>
    <t>2026-07-06SGD</t>
  </si>
  <si>
    <t>2026-07-06SHP</t>
  </si>
  <si>
    <t>2026-07-06SLE</t>
  </si>
  <si>
    <t>2026-07-06SLL</t>
  </si>
  <si>
    <t>2026-07-06SOS</t>
  </si>
  <si>
    <t>2026-07-06SRD</t>
  </si>
  <si>
    <t>2026-07-06SSP</t>
  </si>
  <si>
    <t>2026-07-06STN</t>
  </si>
  <si>
    <t>2026-07-06SYP</t>
  </si>
  <si>
    <t>2026-07-06SZL</t>
  </si>
  <si>
    <t>2026-07-06THB</t>
  </si>
  <si>
    <t>2026-07-06TJS</t>
  </si>
  <si>
    <t>2026-07-06TMT</t>
  </si>
  <si>
    <t>2026-07-06TND</t>
  </si>
  <si>
    <t>2026-07-06TOP</t>
  </si>
  <si>
    <t>2026-07-06TRY</t>
  </si>
  <si>
    <t>2026-07-06TTD</t>
  </si>
  <si>
    <t>2026-07-06TVD</t>
  </si>
  <si>
    <t>2026-07-06TWD</t>
  </si>
  <si>
    <t>2026-07-06TZS</t>
  </si>
  <si>
    <t>2026-07-06UAH</t>
  </si>
  <si>
    <t>2026-07-06UGX</t>
  </si>
  <si>
    <t>2026-07-06USD</t>
  </si>
  <si>
    <t>2026-07-06UYU</t>
  </si>
  <si>
    <t>2026-07-06UZS</t>
  </si>
  <si>
    <t>2026-07-06VES</t>
  </si>
  <si>
    <t>2026-07-06VND</t>
  </si>
  <si>
    <t>2026-07-06VUV</t>
  </si>
  <si>
    <t>2026-07-06WST</t>
  </si>
  <si>
    <t>2026-07-06XAF</t>
  </si>
  <si>
    <t>2026-07-06XCD</t>
  </si>
  <si>
    <t>2026-07-06XCG</t>
  </si>
  <si>
    <t>2026-07-06XDR</t>
  </si>
  <si>
    <t>2026-07-06XOF</t>
  </si>
  <si>
    <t>2026-07-06XPF</t>
  </si>
  <si>
    <t>2026-07-06YER</t>
  </si>
  <si>
    <t>2026-07-06ZAR</t>
  </si>
  <si>
    <t>2026-07-06ZMW</t>
  </si>
  <si>
    <t>2026-07-06ZWG</t>
  </si>
  <si>
    <t>2026-07-06ZWL</t>
  </si>
  <si>
    <t>2026-07-09EUR</t>
  </si>
  <si>
    <t>2026-07-09AED</t>
  </si>
  <si>
    <t>2026-07-09AFN</t>
  </si>
  <si>
    <t>2026-07-09ALL</t>
  </si>
  <si>
    <t>2026-07-09AMD</t>
  </si>
  <si>
    <t>2026-07-09ANG</t>
  </si>
  <si>
    <t>2026-07-09AOA</t>
  </si>
  <si>
    <t>2026-07-09ARS</t>
  </si>
  <si>
    <t>2026-07-09AUD</t>
  </si>
  <si>
    <t>2026-07-09AWG</t>
  </si>
  <si>
    <t>2026-07-09AZN</t>
  </si>
  <si>
    <t>2026-07-09BAM</t>
  </si>
  <si>
    <t>2026-07-09BBD</t>
  </si>
  <si>
    <t>2026-07-09BDT</t>
  </si>
  <si>
    <t>2026-07-09BGN</t>
  </si>
  <si>
    <t>2026-07-09BHD</t>
  </si>
  <si>
    <t>2026-07-09BIF</t>
  </si>
  <si>
    <t>2026-07-09BMD</t>
  </si>
  <si>
    <t>2026-07-09BND</t>
  </si>
  <si>
    <t>2026-07-09BOB</t>
  </si>
  <si>
    <t>2026-07-09BRL</t>
  </si>
  <si>
    <t>2026-07-09BSD</t>
  </si>
  <si>
    <t>2026-07-09BTN</t>
  </si>
  <si>
    <t>2026-07-09BWP</t>
  </si>
  <si>
    <t>2026-07-09BYN</t>
  </si>
  <si>
    <t>2026-07-09BZD</t>
  </si>
  <si>
    <t>2026-07-09CAD</t>
  </si>
  <si>
    <t>2026-07-09CDF</t>
  </si>
  <si>
    <t>2026-07-09CHF</t>
  </si>
  <si>
    <t>2026-07-09CLF</t>
  </si>
  <si>
    <t>2026-07-09CLP</t>
  </si>
  <si>
    <t>2026-07-09CNH</t>
  </si>
  <si>
    <t>2026-07-09CNY</t>
  </si>
  <si>
    <t>2026-07-09COP</t>
  </si>
  <si>
    <t>2026-07-09CRC</t>
  </si>
  <si>
    <t>2026-07-09CUP</t>
  </si>
  <si>
    <t>2026-07-09CVE</t>
  </si>
  <si>
    <t>2026-07-09CZK</t>
  </si>
  <si>
    <t>2026-07-09DJF</t>
  </si>
  <si>
    <t>2026-07-09DKK</t>
  </si>
  <si>
    <t>2026-07-09DOP</t>
  </si>
  <si>
    <t>2026-07-09DZD</t>
  </si>
  <si>
    <t>2026-07-09EGP</t>
  </si>
  <si>
    <t>2026-07-09ERN</t>
  </si>
  <si>
    <t>2026-07-09ETB</t>
  </si>
  <si>
    <t>2026-07-09FJD</t>
  </si>
  <si>
    <t>2026-07-09FKP</t>
  </si>
  <si>
    <t>2026-07-09FOK</t>
  </si>
  <si>
    <t>2026-07-09GBP</t>
  </si>
  <si>
    <t>2026-07-09GEL</t>
  </si>
  <si>
    <t>2026-07-09GGP</t>
  </si>
  <si>
    <t>2026-07-09GHS</t>
  </si>
  <si>
    <t>2026-07-09GIP</t>
  </si>
  <si>
    <t>2026-07-09GMD</t>
  </si>
  <si>
    <t>2026-07-09GNF</t>
  </si>
  <si>
    <t>2026-07-09GTQ</t>
  </si>
  <si>
    <t>2026-07-09GYD</t>
  </si>
  <si>
    <t>2026-07-09HKD</t>
  </si>
  <si>
    <t>2026-07-09HNL</t>
  </si>
  <si>
    <t>2026-07-09HRK</t>
  </si>
  <si>
    <t>2026-07-09HTG</t>
  </si>
  <si>
    <t>2026-07-09IDR</t>
  </si>
  <si>
    <t>2026-07-09ILS</t>
  </si>
  <si>
    <t>2026-07-09IMP</t>
  </si>
  <si>
    <t>2026-07-09INR</t>
  </si>
  <si>
    <t>2026-07-09IQD</t>
  </si>
  <si>
    <t>2026-07-09IRR</t>
  </si>
  <si>
    <t>2026-07-09ISK</t>
  </si>
  <si>
    <t>2026-07-09JEP</t>
  </si>
  <si>
    <t>2026-07-09JMD</t>
  </si>
  <si>
    <t>2026-07-09JOD</t>
  </si>
  <si>
    <t>2026-07-09JPY</t>
  </si>
  <si>
    <t>2026-07-09KES</t>
  </si>
  <si>
    <t>2026-07-09KGS</t>
  </si>
  <si>
    <t>2026-07-09KHR</t>
  </si>
  <si>
    <t>2026-07-09KID</t>
  </si>
  <si>
    <t>2026-07-09KMF</t>
  </si>
  <si>
    <t>2026-07-09KRW</t>
  </si>
  <si>
    <t>2026-07-09KWD</t>
  </si>
  <si>
    <t>2026-07-09KYD</t>
  </si>
  <si>
    <t>2026-07-09KZT</t>
  </si>
  <si>
    <t>2026-07-09LAK</t>
  </si>
  <si>
    <t>2026-07-09LBP</t>
  </si>
  <si>
    <t>2026-07-09LKR</t>
  </si>
  <si>
    <t>2026-07-09LRD</t>
  </si>
  <si>
    <t>2026-07-09LSL</t>
  </si>
  <si>
    <t>2026-07-09LYD</t>
  </si>
  <si>
    <t>2026-07-09MAD</t>
  </si>
  <si>
    <t>2026-07-09MDL</t>
  </si>
  <si>
    <t>2026-07-09MGA</t>
  </si>
  <si>
    <t>2026-07-09MKD</t>
  </si>
  <si>
    <t>2026-07-09MMK</t>
  </si>
  <si>
    <t>2026-07-09MNT</t>
  </si>
  <si>
    <t>2026-07-09MOP</t>
  </si>
  <si>
    <t>2026-07-09MRU</t>
  </si>
  <si>
    <t>2026-07-09MUR</t>
  </si>
  <si>
    <t>2026-07-09MVR</t>
  </si>
  <si>
    <t>2026-07-09MWK</t>
  </si>
  <si>
    <t>2026-07-09MXN</t>
  </si>
  <si>
    <t>2026-07-09MYR</t>
  </si>
  <si>
    <t>2026-07-09MZN</t>
  </si>
  <si>
    <t>2026-07-09NAD</t>
  </si>
  <si>
    <t>2026-07-09NGN</t>
  </si>
  <si>
    <t>2026-07-09NIO</t>
  </si>
  <si>
    <t>2026-07-09NOK</t>
  </si>
  <si>
    <t>2026-07-09NPR</t>
  </si>
  <si>
    <t>2026-07-09NZD</t>
  </si>
  <si>
    <t>2026-07-09OMR</t>
  </si>
  <si>
    <t>2026-07-09PAB</t>
  </si>
  <si>
    <t>2026-07-09PEN</t>
  </si>
  <si>
    <t>2026-07-09PGK</t>
  </si>
  <si>
    <t>2026-07-09PHP</t>
  </si>
  <si>
    <t>2026-07-09PKR</t>
  </si>
  <si>
    <t>2026-07-09PLN</t>
  </si>
  <si>
    <t>2026-07-09PYG</t>
  </si>
  <si>
    <t>2026-07-09QAR</t>
  </si>
  <si>
    <t>2026-07-09RON</t>
  </si>
  <si>
    <t>2026-07-09RSD</t>
  </si>
  <si>
    <t>2026-07-09RUB</t>
  </si>
  <si>
    <t>2026-07-09RWF</t>
  </si>
  <si>
    <t>2026-07-09SAR</t>
  </si>
  <si>
    <t>2026-07-09SBD</t>
  </si>
  <si>
    <t>2026-07-09SCR</t>
  </si>
  <si>
    <t>2026-07-09SDG</t>
  </si>
  <si>
    <t>2026-07-09SEK</t>
  </si>
  <si>
    <t>2026-07-09SGD</t>
  </si>
  <si>
    <t>2026-07-09SHP</t>
  </si>
  <si>
    <t>2026-07-09SLE</t>
  </si>
  <si>
    <t>2026-07-09SLL</t>
  </si>
  <si>
    <t>2026-07-09SOS</t>
  </si>
  <si>
    <t>2026-07-09SRD</t>
  </si>
  <si>
    <t>2026-07-09SSP</t>
  </si>
  <si>
    <t>2026-07-09STN</t>
  </si>
  <si>
    <t>2026-07-09SYP</t>
  </si>
  <si>
    <t>2026-07-09SZL</t>
  </si>
  <si>
    <t>2026-07-09THB</t>
  </si>
  <si>
    <t>2026-07-09TJS</t>
  </si>
  <si>
    <t>2026-07-09TMT</t>
  </si>
  <si>
    <t>2026-07-09TND</t>
  </si>
  <si>
    <t>2026-07-09TOP</t>
  </si>
  <si>
    <t>2026-07-09TRY</t>
  </si>
  <si>
    <t>2026-07-09TTD</t>
  </si>
  <si>
    <t>2026-07-09TVD</t>
  </si>
  <si>
    <t>2026-07-09TWD</t>
  </si>
  <si>
    <t>2026-07-09TZS</t>
  </si>
  <si>
    <t>2026-07-09UAH</t>
  </si>
  <si>
    <t>2026-07-09UGX</t>
  </si>
  <si>
    <t>2026-07-09USD</t>
  </si>
  <si>
    <t>2026-07-09UYU</t>
  </si>
  <si>
    <t>2026-07-09UZS</t>
  </si>
  <si>
    <t>2026-07-09VES</t>
  </si>
  <si>
    <t>2026-07-09VND</t>
  </si>
  <si>
    <t>2026-07-09VUV</t>
  </si>
  <si>
    <t>2026-07-09WST</t>
  </si>
  <si>
    <t>2026-07-09XAF</t>
  </si>
  <si>
    <t>2026-07-09XCD</t>
  </si>
  <si>
    <t>2026-07-09XCG</t>
  </si>
  <si>
    <t>2026-07-09XDR</t>
  </si>
  <si>
    <t>2026-07-09XOF</t>
  </si>
  <si>
    <t>2026-07-09XPF</t>
  </si>
  <si>
    <t>2026-07-09YER</t>
  </si>
  <si>
    <t>2026-07-09ZAR</t>
  </si>
  <si>
    <t>2026-07-09ZMW</t>
  </si>
  <si>
    <t>2026-07-09ZWG</t>
  </si>
  <si>
    <t>2026-07-09ZWL</t>
  </si>
  <si>
    <t>2026-07-13EUR</t>
  </si>
  <si>
    <t>2026-07-13AED</t>
  </si>
  <si>
    <t>2026-07-13AFN</t>
  </si>
  <si>
    <t>2026-07-13ALL</t>
  </si>
  <si>
    <t>2026-07-13AMD</t>
  </si>
  <si>
    <t>2026-07-13ANG</t>
  </si>
  <si>
    <t>2026-07-13AOA</t>
  </si>
  <si>
    <t>2026-07-13ARS</t>
  </si>
  <si>
    <t>2026-07-13AUD</t>
  </si>
  <si>
    <t>2026-07-13AWG</t>
  </si>
  <si>
    <t>2026-07-13AZN</t>
  </si>
  <si>
    <t>2026-07-13BAM</t>
  </si>
  <si>
    <t>2026-07-13BBD</t>
  </si>
  <si>
    <t>2026-07-13BDT</t>
  </si>
  <si>
    <t>2026-07-13BGN</t>
  </si>
  <si>
    <t>2026-07-13BHD</t>
  </si>
  <si>
    <t>2026-07-13BIF</t>
  </si>
  <si>
    <t>2026-07-13BMD</t>
  </si>
  <si>
    <t>2026-07-13BND</t>
  </si>
  <si>
    <t>2026-07-13BOB</t>
  </si>
  <si>
    <t>2026-07-13BRL</t>
  </si>
  <si>
    <t>2026-07-13BSD</t>
  </si>
  <si>
    <t>2026-07-13BTN</t>
  </si>
  <si>
    <t>2026-07-13BWP</t>
  </si>
  <si>
    <t>2026-07-13BYN</t>
  </si>
  <si>
    <t>2026-07-13BZD</t>
  </si>
  <si>
    <t>2026-07-13CAD</t>
  </si>
  <si>
    <t>2026-07-13CDF</t>
  </si>
  <si>
    <t>2026-07-13CHF</t>
  </si>
  <si>
    <t>2026-07-13CLF</t>
  </si>
  <si>
    <t>2026-07-13CLP</t>
  </si>
  <si>
    <t>2026-07-13CNH</t>
  </si>
  <si>
    <t>2026-07-13CNY</t>
  </si>
  <si>
    <t>2026-07-13COP</t>
  </si>
  <si>
    <t>2026-07-13CRC</t>
  </si>
  <si>
    <t>2026-07-13CUP</t>
  </si>
  <si>
    <t>2026-07-13CVE</t>
  </si>
  <si>
    <t>2026-07-13CZK</t>
  </si>
  <si>
    <t>2026-07-13DJF</t>
  </si>
  <si>
    <t>2026-07-13DKK</t>
  </si>
  <si>
    <t>2026-07-13DOP</t>
  </si>
  <si>
    <t>2026-07-13DZD</t>
  </si>
  <si>
    <t>2026-07-13EGP</t>
  </si>
  <si>
    <t>2026-07-13ERN</t>
  </si>
  <si>
    <t>2026-07-13ETB</t>
  </si>
  <si>
    <t>2026-07-13FJD</t>
  </si>
  <si>
    <t>2026-07-13FKP</t>
  </si>
  <si>
    <t>2026-07-13FOK</t>
  </si>
  <si>
    <t>2026-07-13GBP</t>
  </si>
  <si>
    <t>2026-07-13GEL</t>
  </si>
  <si>
    <t>2026-07-13GGP</t>
  </si>
  <si>
    <t>2026-07-13GHS</t>
  </si>
  <si>
    <t>2026-07-13GIP</t>
  </si>
  <si>
    <t>2026-07-13GMD</t>
  </si>
  <si>
    <t>2026-07-13GNF</t>
  </si>
  <si>
    <t>2026-07-13GTQ</t>
  </si>
  <si>
    <t>2026-07-13GYD</t>
  </si>
  <si>
    <t>2026-07-13HKD</t>
  </si>
  <si>
    <t>2026-07-13HNL</t>
  </si>
  <si>
    <t>2026-07-13HRK</t>
  </si>
  <si>
    <t>2026-07-13HTG</t>
  </si>
  <si>
    <t>2026-07-13IDR</t>
  </si>
  <si>
    <t>2026-07-13ILS</t>
  </si>
  <si>
    <t>2026-07-13IMP</t>
  </si>
  <si>
    <t>2026-07-13INR</t>
  </si>
  <si>
    <t>2026-07-13IQD</t>
  </si>
  <si>
    <t>2026-07-13IRR</t>
  </si>
  <si>
    <t>2026-07-13ISK</t>
  </si>
  <si>
    <t>2026-07-13JEP</t>
  </si>
  <si>
    <t>2026-07-13JMD</t>
  </si>
  <si>
    <t>2026-07-13JOD</t>
  </si>
  <si>
    <t>2026-07-13JPY</t>
  </si>
  <si>
    <t>2026-07-13KES</t>
  </si>
  <si>
    <t>2026-07-13KGS</t>
  </si>
  <si>
    <t>2026-07-13KHR</t>
  </si>
  <si>
    <t>2026-07-13KID</t>
  </si>
  <si>
    <t>2026-07-13KMF</t>
  </si>
  <si>
    <t>2026-07-13KRW</t>
  </si>
  <si>
    <t>2026-07-13KWD</t>
  </si>
  <si>
    <t>2026-07-13KYD</t>
  </si>
  <si>
    <t>2026-07-13KZT</t>
  </si>
  <si>
    <t>2026-07-13LAK</t>
  </si>
  <si>
    <t>2026-07-13LBP</t>
  </si>
  <si>
    <t>2026-07-13LKR</t>
  </si>
  <si>
    <t>2026-07-13LRD</t>
  </si>
  <si>
    <t>2026-07-13LSL</t>
  </si>
  <si>
    <t>2026-07-13LYD</t>
  </si>
  <si>
    <t>2026-07-13MAD</t>
  </si>
  <si>
    <t>2026-07-13MDL</t>
  </si>
  <si>
    <t>2026-07-13MGA</t>
  </si>
  <si>
    <t>2026-07-13MKD</t>
  </si>
  <si>
    <t>2026-07-13MMK</t>
  </si>
  <si>
    <t>2026-07-13MNT</t>
  </si>
  <si>
    <t>2026-07-13MOP</t>
  </si>
  <si>
    <t>2026-07-13MRU</t>
  </si>
  <si>
    <t>2026-07-13MUR</t>
  </si>
  <si>
    <t>2026-07-13MVR</t>
  </si>
  <si>
    <t>2026-07-13MWK</t>
  </si>
  <si>
    <t>2026-07-13MXN</t>
  </si>
  <si>
    <t>2026-07-13MYR</t>
  </si>
  <si>
    <t>2026-07-13MZN</t>
  </si>
  <si>
    <t>2026-07-13NAD</t>
  </si>
  <si>
    <t>2026-07-13NGN</t>
  </si>
  <si>
    <t>2026-07-13NIO</t>
  </si>
  <si>
    <t>2026-07-13NOK</t>
  </si>
  <si>
    <t>2026-07-13NPR</t>
  </si>
  <si>
    <t>2026-07-13NZD</t>
  </si>
  <si>
    <t>2026-07-13OMR</t>
  </si>
  <si>
    <t>2026-07-13PAB</t>
  </si>
  <si>
    <t>2026-07-13PEN</t>
  </si>
  <si>
    <t>2026-07-13PGK</t>
  </si>
  <si>
    <t>2026-07-13PHP</t>
  </si>
  <si>
    <t>2026-07-13PKR</t>
  </si>
  <si>
    <t>2026-07-13PLN</t>
  </si>
  <si>
    <t>2026-07-13PYG</t>
  </si>
  <si>
    <t>2026-07-13QAR</t>
  </si>
  <si>
    <t>2026-07-13RON</t>
  </si>
  <si>
    <t>2026-07-13RSD</t>
  </si>
  <si>
    <t>2026-07-13RUB</t>
  </si>
  <si>
    <t>2026-07-13RWF</t>
  </si>
  <si>
    <t>2026-07-13SAR</t>
  </si>
  <si>
    <t>2026-07-13SBD</t>
  </si>
  <si>
    <t>2026-07-13SCR</t>
  </si>
  <si>
    <t>2026-07-13SDG</t>
  </si>
  <si>
    <t>2026-07-13SEK</t>
  </si>
  <si>
    <t>2026-07-13SGD</t>
  </si>
  <si>
    <t>2026-07-13SHP</t>
  </si>
  <si>
    <t>2026-07-13SLE</t>
  </si>
  <si>
    <t>2026-07-13SLL</t>
  </si>
  <si>
    <t>2026-07-13SOS</t>
  </si>
  <si>
    <t>2026-07-13SRD</t>
  </si>
  <si>
    <t>2026-07-13SSP</t>
  </si>
  <si>
    <t>2026-07-13STN</t>
  </si>
  <si>
    <t>2026-07-13SYP</t>
  </si>
  <si>
    <t>2026-07-13SZL</t>
  </si>
  <si>
    <t>2026-07-13THB</t>
  </si>
  <si>
    <t>2026-07-13TJS</t>
  </si>
  <si>
    <t>2026-07-13TMT</t>
  </si>
  <si>
    <t>2026-07-13TND</t>
  </si>
  <si>
    <t>2026-07-13TOP</t>
  </si>
  <si>
    <t>2026-07-13TRY</t>
  </si>
  <si>
    <t>2026-07-13TTD</t>
  </si>
  <si>
    <t>2026-07-13TVD</t>
  </si>
  <si>
    <t>2026-07-13TWD</t>
  </si>
  <si>
    <t>2026-07-13TZS</t>
  </si>
  <si>
    <t>2026-07-13UAH</t>
  </si>
  <si>
    <t>2026-07-13UGX</t>
  </si>
  <si>
    <t>2026-07-13USD</t>
  </si>
  <si>
    <t>2026-07-13UYU</t>
  </si>
  <si>
    <t>2026-07-13UZS</t>
  </si>
  <si>
    <t>2026-07-13VES</t>
  </si>
  <si>
    <t>2026-07-13VND</t>
  </si>
  <si>
    <t>2026-07-13VUV</t>
  </si>
  <si>
    <t>2026-07-13WST</t>
  </si>
  <si>
    <t>2026-07-13XAF</t>
  </si>
  <si>
    <t>2026-07-13XCD</t>
  </si>
  <si>
    <t>2026-07-13XCG</t>
  </si>
  <si>
    <t>2026-07-13XDR</t>
  </si>
  <si>
    <t>2026-07-13XOF</t>
  </si>
  <si>
    <t>2026-07-13XPF</t>
  </si>
  <si>
    <t>2026-07-13YER</t>
  </si>
  <si>
    <t>2026-07-13ZAR</t>
  </si>
  <si>
    <t>2026-07-13ZMW</t>
  </si>
  <si>
    <t>2026-07-13ZWG</t>
  </si>
  <si>
    <t>2026-07-13ZWL</t>
  </si>
  <si>
    <t>2026-07-16EUR</t>
  </si>
  <si>
    <t>2026-07-16AED</t>
  </si>
  <si>
    <t>2026-07-16AFN</t>
  </si>
  <si>
    <t>2026-07-16ALL</t>
  </si>
  <si>
    <t>2026-07-16AMD</t>
  </si>
  <si>
    <t>2026-07-16ANG</t>
  </si>
  <si>
    <t>2026-07-16AOA</t>
  </si>
  <si>
    <t>2026-07-16ARS</t>
  </si>
  <si>
    <t>2026-07-16AUD</t>
  </si>
  <si>
    <t>2026-07-16AWG</t>
  </si>
  <si>
    <t>2026-07-16AZN</t>
  </si>
  <si>
    <t>2026-07-16BAM</t>
  </si>
  <si>
    <t>2026-07-16BBD</t>
  </si>
  <si>
    <t>2026-07-16BDT</t>
  </si>
  <si>
    <t>2026-07-16BGN</t>
  </si>
  <si>
    <t>2026-07-16BHD</t>
  </si>
  <si>
    <t>2026-07-16BIF</t>
  </si>
  <si>
    <t>2026-07-16BMD</t>
  </si>
  <si>
    <t>2026-07-16BND</t>
  </si>
  <si>
    <t>2026-07-16BOB</t>
  </si>
  <si>
    <t>2026-07-16BRL</t>
  </si>
  <si>
    <t>2026-07-16BSD</t>
  </si>
  <si>
    <t>2026-07-16BTN</t>
  </si>
  <si>
    <t>2026-07-16BWP</t>
  </si>
  <si>
    <t>2026-07-16BYN</t>
  </si>
  <si>
    <t>2026-07-16BZD</t>
  </si>
  <si>
    <t>2026-07-16CAD</t>
  </si>
  <si>
    <t>2026-07-16CDF</t>
  </si>
  <si>
    <t>2026-07-16CHF</t>
  </si>
  <si>
    <t>2026-07-16CLF</t>
  </si>
  <si>
    <t>2026-07-16CLP</t>
  </si>
  <si>
    <t>2026-07-16CNH</t>
  </si>
  <si>
    <t>2026-07-16CNY</t>
  </si>
  <si>
    <t>2026-07-16COP</t>
  </si>
  <si>
    <t>2026-07-16CRC</t>
  </si>
  <si>
    <t>2026-07-16CUP</t>
  </si>
  <si>
    <t>2026-07-16CVE</t>
  </si>
  <si>
    <t>2026-07-16CZK</t>
  </si>
  <si>
    <t>2026-07-16DJF</t>
  </si>
  <si>
    <t>2026-07-16DKK</t>
  </si>
  <si>
    <t>2026-07-16DOP</t>
  </si>
  <si>
    <t>2026-07-16DZD</t>
  </si>
  <si>
    <t>2026-07-16EGP</t>
  </si>
  <si>
    <t>2026-07-16ERN</t>
  </si>
  <si>
    <t>2026-07-16ETB</t>
  </si>
  <si>
    <t>2026-07-16FJD</t>
  </si>
  <si>
    <t>2026-07-16FKP</t>
  </si>
  <si>
    <t>2026-07-16FOK</t>
  </si>
  <si>
    <t>2026-07-16GBP</t>
  </si>
  <si>
    <t>2026-07-16GEL</t>
  </si>
  <si>
    <t>2026-07-16GGP</t>
  </si>
  <si>
    <t>2026-07-16GHS</t>
  </si>
  <si>
    <t>2026-07-16GIP</t>
  </si>
  <si>
    <t>2026-07-16GMD</t>
  </si>
  <si>
    <t>2026-07-16GNF</t>
  </si>
  <si>
    <t>2026-07-16GTQ</t>
  </si>
  <si>
    <t>2026-07-16GYD</t>
  </si>
  <si>
    <t>2026-07-16HKD</t>
  </si>
  <si>
    <t>2026-07-16HNL</t>
  </si>
  <si>
    <t>2026-07-16HRK</t>
  </si>
  <si>
    <t>2026-07-16HTG</t>
  </si>
  <si>
    <t>2026-07-16IDR</t>
  </si>
  <si>
    <t>2026-07-16ILS</t>
  </si>
  <si>
    <t>2026-07-16IMP</t>
  </si>
  <si>
    <t>2026-07-16INR</t>
  </si>
  <si>
    <t>2026-07-16IQD</t>
  </si>
  <si>
    <t>2026-07-16IRR</t>
  </si>
  <si>
    <t>2026-07-16ISK</t>
  </si>
  <si>
    <t>2026-07-16JEP</t>
  </si>
  <si>
    <t>2026-07-16JMD</t>
  </si>
  <si>
    <t>2026-07-16JOD</t>
  </si>
  <si>
    <t>2026-07-16JPY</t>
  </si>
  <si>
    <t>2026-07-16KES</t>
  </si>
  <si>
    <t>2026-07-16KGS</t>
  </si>
  <si>
    <t>2026-07-16KHR</t>
  </si>
  <si>
    <t>2026-07-16KID</t>
  </si>
  <si>
    <t>2026-07-16KMF</t>
  </si>
  <si>
    <t>2026-07-16KRW</t>
  </si>
  <si>
    <t>2026-07-16KWD</t>
  </si>
  <si>
    <t>2026-07-16KYD</t>
  </si>
  <si>
    <t>2026-07-16KZT</t>
  </si>
  <si>
    <t>2026-07-16LAK</t>
  </si>
  <si>
    <t>2026-07-16LBP</t>
  </si>
  <si>
    <t>2026-07-16LKR</t>
  </si>
  <si>
    <t>2026-07-16LRD</t>
  </si>
  <si>
    <t>2026-07-16LSL</t>
  </si>
  <si>
    <t>2026-07-16LYD</t>
  </si>
  <si>
    <t>2026-07-16MAD</t>
  </si>
  <si>
    <t>2026-07-16MDL</t>
  </si>
  <si>
    <t>2026-07-16MGA</t>
  </si>
  <si>
    <t>2026-07-16MKD</t>
  </si>
  <si>
    <t>2026-07-16MMK</t>
  </si>
  <si>
    <t>2026-07-16MNT</t>
  </si>
  <si>
    <t>2026-07-16MOP</t>
  </si>
  <si>
    <t>2026-07-16MRU</t>
  </si>
  <si>
    <t>2026-07-16MUR</t>
  </si>
  <si>
    <t>2026-07-16MVR</t>
  </si>
  <si>
    <t>2026-07-16MWK</t>
  </si>
  <si>
    <t>2026-07-16MXN</t>
  </si>
  <si>
    <t>2026-07-16MYR</t>
  </si>
  <si>
    <t>2026-07-16MZN</t>
  </si>
  <si>
    <t>2026-07-16NAD</t>
  </si>
  <si>
    <t>2026-07-16NGN</t>
  </si>
  <si>
    <t>2026-07-16NIO</t>
  </si>
  <si>
    <t>2026-07-16NOK</t>
  </si>
  <si>
    <t>2026-07-16NPR</t>
  </si>
  <si>
    <t>2026-07-16NZD</t>
  </si>
  <si>
    <t>2026-07-16OMR</t>
  </si>
  <si>
    <t>2026-07-16PAB</t>
  </si>
  <si>
    <t>2026-07-16PEN</t>
  </si>
  <si>
    <t>2026-07-16PGK</t>
  </si>
  <si>
    <t>2026-07-16PHP</t>
  </si>
  <si>
    <t>2026-07-16PKR</t>
  </si>
  <si>
    <t>2026-07-16PLN</t>
  </si>
  <si>
    <t>2026-07-16PYG</t>
  </si>
  <si>
    <t>2026-07-16QAR</t>
  </si>
  <si>
    <t>2026-07-16RON</t>
  </si>
  <si>
    <t>2026-07-16RSD</t>
  </si>
  <si>
    <t>2026-07-16RUB</t>
  </si>
  <si>
    <t>2026-07-16RWF</t>
  </si>
  <si>
    <t>2026-07-16SAR</t>
  </si>
  <si>
    <t>2026-07-16SBD</t>
  </si>
  <si>
    <t>2026-07-16SCR</t>
  </si>
  <si>
    <t>2026-07-16SDG</t>
  </si>
  <si>
    <t>2026-07-16SEK</t>
  </si>
  <si>
    <t>2026-07-16SGD</t>
  </si>
  <si>
    <t>2026-07-16SHP</t>
  </si>
  <si>
    <t>2026-07-16SLE</t>
  </si>
  <si>
    <t>2026-07-16SLL</t>
  </si>
  <si>
    <t>2026-07-16SOS</t>
  </si>
  <si>
    <t>2026-07-16SRD</t>
  </si>
  <si>
    <t>2026-07-16SSP</t>
  </si>
  <si>
    <t>2026-07-16STN</t>
  </si>
  <si>
    <t>2026-07-16SYP</t>
  </si>
  <si>
    <t>2026-07-16SZL</t>
  </si>
  <si>
    <t>2026-07-16THB</t>
  </si>
  <si>
    <t>2026-07-16TJS</t>
  </si>
  <si>
    <t>2026-07-16TMT</t>
  </si>
  <si>
    <t>2026-07-16TND</t>
  </si>
  <si>
    <t>2026-07-16TOP</t>
  </si>
  <si>
    <t>2026-07-16TRY</t>
  </si>
  <si>
    <t>2026-07-16TTD</t>
  </si>
  <si>
    <t>2026-07-16TVD</t>
  </si>
  <si>
    <t>2026-07-16TWD</t>
  </si>
  <si>
    <t>2026-07-16TZS</t>
  </si>
  <si>
    <t>2026-07-16UAH</t>
  </si>
  <si>
    <t>2026-07-16UGX</t>
  </si>
  <si>
    <t>2026-07-16USD</t>
  </si>
  <si>
    <t>2026-07-16UYU</t>
  </si>
  <si>
    <t>2026-07-16UZS</t>
  </si>
  <si>
    <t>2026-07-16VES</t>
  </si>
  <si>
    <t>2026-07-16VND</t>
  </si>
  <si>
    <t>2026-07-16VUV</t>
  </si>
  <si>
    <t>2026-07-16WST</t>
  </si>
  <si>
    <t>2026-07-16XAF</t>
  </si>
  <si>
    <t>2026-07-16XCD</t>
  </si>
  <si>
    <t>2026-07-16XCG</t>
  </si>
  <si>
    <t>2026-07-16XDR</t>
  </si>
  <si>
    <t>2026-07-16XOF</t>
  </si>
  <si>
    <t>2026-07-16XPF</t>
  </si>
  <si>
    <t>2026-07-16YER</t>
  </si>
  <si>
    <t>2026-07-16ZAR</t>
  </si>
  <si>
    <t>2026-07-16ZMW</t>
  </si>
  <si>
    <t>2026-07-16ZWG</t>
  </si>
  <si>
    <t>2026-07-16ZWL</t>
  </si>
  <si>
    <t>2026-07-17EUR</t>
  </si>
  <si>
    <t>2026-07-17AED</t>
  </si>
  <si>
    <t>2026-07-17AFN</t>
  </si>
  <si>
    <t>2026-07-17ALL</t>
  </si>
  <si>
    <t>2026-07-17AMD</t>
  </si>
  <si>
    <t>2026-07-17ANG</t>
  </si>
  <si>
    <t>2026-07-17AOA</t>
  </si>
  <si>
    <t>2026-07-17ARS</t>
  </si>
  <si>
    <t>2026-07-17AUD</t>
  </si>
  <si>
    <t>2026-07-17AWG</t>
  </si>
  <si>
    <t>2026-07-17AZN</t>
  </si>
  <si>
    <t>2026-07-17BAM</t>
  </si>
  <si>
    <t>2026-07-17BBD</t>
  </si>
  <si>
    <t>2026-07-17BDT</t>
  </si>
  <si>
    <t>2026-07-17BGN</t>
  </si>
  <si>
    <t>2026-07-17BHD</t>
  </si>
  <si>
    <t>2026-07-17BIF</t>
  </si>
  <si>
    <t>2026-07-17BMD</t>
  </si>
  <si>
    <t>2026-07-17BND</t>
  </si>
  <si>
    <t>2026-07-17BOB</t>
  </si>
  <si>
    <t>2026-07-17BRL</t>
  </si>
  <si>
    <t>2026-07-17BSD</t>
  </si>
  <si>
    <t>2026-07-17BTN</t>
  </si>
  <si>
    <t>2026-07-17BWP</t>
  </si>
  <si>
    <t>2026-07-17BYN</t>
  </si>
  <si>
    <t>2026-07-17BZD</t>
  </si>
  <si>
    <t>2026-07-17CAD</t>
  </si>
  <si>
    <t>2026-07-17CDF</t>
  </si>
  <si>
    <t>2026-07-17CHF</t>
  </si>
  <si>
    <t>2026-07-17CLF</t>
  </si>
  <si>
    <t>2026-07-17CLP</t>
  </si>
  <si>
    <t>2026-07-17CNH</t>
  </si>
  <si>
    <t>2026-07-17CNY</t>
  </si>
  <si>
    <t>2026-07-17COP</t>
  </si>
  <si>
    <t>2026-07-17CRC</t>
  </si>
  <si>
    <t>2026-07-17CUP</t>
  </si>
  <si>
    <t>2026-07-17CVE</t>
  </si>
  <si>
    <t>2026-07-17CZK</t>
  </si>
  <si>
    <t>2026-07-17DJF</t>
  </si>
  <si>
    <t>2026-07-17DKK</t>
  </si>
  <si>
    <t>2026-07-17DOP</t>
  </si>
  <si>
    <t>2026-07-17DZD</t>
  </si>
  <si>
    <t>2026-07-17EGP</t>
  </si>
  <si>
    <t>2026-07-17ERN</t>
  </si>
  <si>
    <t>2026-07-17ETB</t>
  </si>
  <si>
    <t>2026-07-17FJD</t>
  </si>
  <si>
    <t>2026-07-17FKP</t>
  </si>
  <si>
    <t>2026-07-17FOK</t>
  </si>
  <si>
    <t>2026-07-17GBP</t>
  </si>
  <si>
    <t>2026-07-17GEL</t>
  </si>
  <si>
    <t>2026-07-17GGP</t>
  </si>
  <si>
    <t>2026-07-17GHS</t>
  </si>
  <si>
    <t>2026-07-17GIP</t>
  </si>
  <si>
    <t>2026-07-17GMD</t>
  </si>
  <si>
    <t>2026-07-17GNF</t>
  </si>
  <si>
    <t>2026-07-17GTQ</t>
  </si>
  <si>
    <t>2026-07-17GYD</t>
  </si>
  <si>
    <t>2026-07-17HKD</t>
  </si>
  <si>
    <t>2026-07-17HNL</t>
  </si>
  <si>
    <t>2026-07-17HRK</t>
  </si>
  <si>
    <t>2026-07-17HTG</t>
  </si>
  <si>
    <t>2026-07-17IDR</t>
  </si>
  <si>
    <t>2026-07-17ILS</t>
  </si>
  <si>
    <t>2026-07-17IMP</t>
  </si>
  <si>
    <t>2026-07-17INR</t>
  </si>
  <si>
    <t>2026-07-17IQD</t>
  </si>
  <si>
    <t>2026-07-17IRR</t>
  </si>
  <si>
    <t>2026-07-17ISK</t>
  </si>
  <si>
    <t>2026-07-17JEP</t>
  </si>
  <si>
    <t>2026-07-17JMD</t>
  </si>
  <si>
    <t>2026-07-17JOD</t>
  </si>
  <si>
    <t>2026-07-17JPY</t>
  </si>
  <si>
    <t>2026-07-17KES</t>
  </si>
  <si>
    <t>2026-07-17KGS</t>
  </si>
  <si>
    <t>2026-07-17KHR</t>
  </si>
  <si>
    <t>2026-07-17KID</t>
  </si>
  <si>
    <t>2026-07-17KMF</t>
  </si>
  <si>
    <t>2026-07-17KRW</t>
  </si>
  <si>
    <t>2026-07-17KWD</t>
  </si>
  <si>
    <t>2026-07-17KYD</t>
  </si>
  <si>
    <t>2026-07-17KZT</t>
  </si>
  <si>
    <t>2026-07-17LAK</t>
  </si>
  <si>
    <t>2026-07-17LBP</t>
  </si>
  <si>
    <t>2026-07-17LKR</t>
  </si>
  <si>
    <t>2026-07-17LRD</t>
  </si>
  <si>
    <t>2026-07-17LSL</t>
  </si>
  <si>
    <t>2026-07-17LYD</t>
  </si>
  <si>
    <t>2026-07-17MAD</t>
  </si>
  <si>
    <t>2026-07-17MDL</t>
  </si>
  <si>
    <t>2026-07-17MGA</t>
  </si>
  <si>
    <t>2026-07-17MKD</t>
  </si>
  <si>
    <t>2026-07-17MMK</t>
  </si>
  <si>
    <t>2026-07-17MNT</t>
  </si>
  <si>
    <t>2026-07-17MOP</t>
  </si>
  <si>
    <t>2026-07-17MRU</t>
  </si>
  <si>
    <t>2026-07-17MUR</t>
  </si>
  <si>
    <t>2026-07-17MVR</t>
  </si>
  <si>
    <t>2026-07-17MWK</t>
  </si>
  <si>
    <t>2026-07-17MXN</t>
  </si>
  <si>
    <t>2026-07-17MYR</t>
  </si>
  <si>
    <t>2026-07-17MZN</t>
  </si>
  <si>
    <t>2026-07-17NAD</t>
  </si>
  <si>
    <t>2026-07-17NGN</t>
  </si>
  <si>
    <t>2026-07-17NIO</t>
  </si>
  <si>
    <t>2026-07-17NOK</t>
  </si>
  <si>
    <t>2026-07-17NPR</t>
  </si>
  <si>
    <t>2026-07-17NZD</t>
  </si>
  <si>
    <t>2026-07-17OMR</t>
  </si>
  <si>
    <t>2026-07-17PAB</t>
  </si>
  <si>
    <t>2026-07-17PEN</t>
  </si>
  <si>
    <t>2026-07-17PGK</t>
  </si>
  <si>
    <t>2026-07-17PHP</t>
  </si>
  <si>
    <t>2026-07-17PKR</t>
  </si>
  <si>
    <t>2026-07-17PLN</t>
  </si>
  <si>
    <t>2026-07-17PYG</t>
  </si>
  <si>
    <t>2026-07-17QAR</t>
  </si>
  <si>
    <t>2026-07-17RON</t>
  </si>
  <si>
    <t>2026-07-17RSD</t>
  </si>
  <si>
    <t>2026-07-17RUB</t>
  </si>
  <si>
    <t>2026-07-17RWF</t>
  </si>
  <si>
    <t>2026-07-17SAR</t>
  </si>
  <si>
    <t>2026-07-17SBD</t>
  </si>
  <si>
    <t>2026-07-17SCR</t>
  </si>
  <si>
    <t>2026-07-17SDG</t>
  </si>
  <si>
    <t>2026-07-17SEK</t>
  </si>
  <si>
    <t>2026-07-17SGD</t>
  </si>
  <si>
    <t>2026-07-17SHP</t>
  </si>
  <si>
    <t>2026-07-17SLE</t>
  </si>
  <si>
    <t>2026-07-17SLL</t>
  </si>
  <si>
    <t>2026-07-17SOS</t>
  </si>
  <si>
    <t>2026-07-17SRD</t>
  </si>
  <si>
    <t>2026-07-17SSP</t>
  </si>
  <si>
    <t>2026-07-17STN</t>
  </si>
  <si>
    <t>2026-07-17SYP</t>
  </si>
  <si>
    <t>2026-07-17SZL</t>
  </si>
  <si>
    <t>2026-07-17THB</t>
  </si>
  <si>
    <t>2026-07-17TJS</t>
  </si>
  <si>
    <t>2026-07-17TMT</t>
  </si>
  <si>
    <t>2026-07-17TND</t>
  </si>
  <si>
    <t>2026-07-17TOP</t>
  </si>
  <si>
    <t>2026-07-17TRY</t>
  </si>
  <si>
    <t>2026-07-17TTD</t>
  </si>
  <si>
    <t>2026-07-17TVD</t>
  </si>
  <si>
    <t>2026-07-17TWD</t>
  </si>
  <si>
    <t>2026-07-17TZS</t>
  </si>
  <si>
    <t>2026-07-17UAH</t>
  </si>
  <si>
    <t>2026-07-17UGX</t>
  </si>
  <si>
    <t>2026-07-17USD</t>
  </si>
  <si>
    <t>2026-07-17UYU</t>
  </si>
  <si>
    <t>2026-07-17UZS</t>
  </si>
  <si>
    <t>2026-07-17VES</t>
  </si>
  <si>
    <t>2026-07-17VND</t>
  </si>
  <si>
    <t>2026-07-17VUV</t>
  </si>
  <si>
    <t>2026-07-17WST</t>
  </si>
  <si>
    <t>2026-07-17XAF</t>
  </si>
  <si>
    <t>2026-07-17XCD</t>
  </si>
  <si>
    <t>2026-07-17XCG</t>
  </si>
  <si>
    <t>2026-07-17XDR</t>
  </si>
  <si>
    <t>2026-07-17XOF</t>
  </si>
  <si>
    <t>2026-07-17XPF</t>
  </si>
  <si>
    <t>2026-07-17YER</t>
  </si>
  <si>
    <t>2026-07-17ZAR</t>
  </si>
  <si>
    <t>2026-07-17ZMW</t>
  </si>
  <si>
    <t>2026-07-17ZWG</t>
  </si>
  <si>
    <t>2026-07-17ZWL</t>
  </si>
  <si>
    <t>2026-07-19EUR</t>
  </si>
  <si>
    <t>2026-07-19AED</t>
  </si>
  <si>
    <t>2026-07-19AFN</t>
  </si>
  <si>
    <t>2026-07-19ALL</t>
  </si>
  <si>
    <t>2026-07-19AMD</t>
  </si>
  <si>
    <t>2026-07-19ANG</t>
  </si>
  <si>
    <t>2026-07-19AOA</t>
  </si>
  <si>
    <t>2026-07-19ARS</t>
  </si>
  <si>
    <t>2026-07-19AUD</t>
  </si>
  <si>
    <t>2026-07-19AWG</t>
  </si>
  <si>
    <t>2026-07-19AZN</t>
  </si>
  <si>
    <t>2026-07-19BAM</t>
  </si>
  <si>
    <t>2026-07-19BBD</t>
  </si>
  <si>
    <t>2026-07-19BDT</t>
  </si>
  <si>
    <t>2026-07-19BGN</t>
  </si>
  <si>
    <t>2026-07-19BHD</t>
  </si>
  <si>
    <t>2026-07-19BIF</t>
  </si>
  <si>
    <t>2026-07-19BMD</t>
  </si>
  <si>
    <t>2026-07-19BND</t>
  </si>
  <si>
    <t>2026-07-19BOB</t>
  </si>
  <si>
    <t>2026-07-19BRL</t>
  </si>
  <si>
    <t>2026-07-19BSD</t>
  </si>
  <si>
    <t>2026-07-19BTN</t>
  </si>
  <si>
    <t>2026-07-19BWP</t>
  </si>
  <si>
    <t>2026-07-19BYN</t>
  </si>
  <si>
    <t>2026-07-19BZD</t>
  </si>
  <si>
    <t>2026-07-19CAD</t>
  </si>
  <si>
    <t>2026-07-19CDF</t>
  </si>
  <si>
    <t>2026-07-19CHF</t>
  </si>
  <si>
    <t>2026-07-19CLF</t>
  </si>
  <si>
    <t>2026-07-19CLP</t>
  </si>
  <si>
    <t>2026-07-19CNH</t>
  </si>
  <si>
    <t>2026-07-19CNY</t>
  </si>
  <si>
    <t>2026-07-19COP</t>
  </si>
  <si>
    <t>2026-07-19CRC</t>
  </si>
  <si>
    <t>2026-07-19CUP</t>
  </si>
  <si>
    <t>2026-07-19CVE</t>
  </si>
  <si>
    <t>2026-07-19CZK</t>
  </si>
  <si>
    <t>2026-07-19DJF</t>
  </si>
  <si>
    <t>2026-07-19DKK</t>
  </si>
  <si>
    <t>2026-07-19DOP</t>
  </si>
  <si>
    <t>2026-07-19DZD</t>
  </si>
  <si>
    <t>2026-07-19EGP</t>
  </si>
  <si>
    <t>2026-07-19ERN</t>
  </si>
  <si>
    <t>2026-07-19ETB</t>
  </si>
  <si>
    <t>2026-07-19FJD</t>
  </si>
  <si>
    <t>2026-07-19FKP</t>
  </si>
  <si>
    <t>2026-07-19FOK</t>
  </si>
  <si>
    <t>2026-07-19GBP</t>
  </si>
  <si>
    <t>2026-07-19GEL</t>
  </si>
  <si>
    <t>2026-07-19GGP</t>
  </si>
  <si>
    <t>2026-07-19GHS</t>
  </si>
  <si>
    <t>2026-07-19GIP</t>
  </si>
  <si>
    <t>2026-07-19GMD</t>
  </si>
  <si>
    <t>2026-07-19GNF</t>
  </si>
  <si>
    <t>2026-07-19GTQ</t>
  </si>
  <si>
    <t>2026-07-19GYD</t>
  </si>
  <si>
    <t>2026-07-19HKD</t>
  </si>
  <si>
    <t>2026-07-19HNL</t>
  </si>
  <si>
    <t>2026-07-19HRK</t>
  </si>
  <si>
    <t>2026-07-19HTG</t>
  </si>
  <si>
    <t>2026-07-19IDR</t>
  </si>
  <si>
    <t>2026-07-19ILS</t>
  </si>
  <si>
    <t>2026-07-19IMP</t>
  </si>
  <si>
    <t>2026-07-19INR</t>
  </si>
  <si>
    <t>2026-07-19IQD</t>
  </si>
  <si>
    <t>2026-07-19IRR</t>
  </si>
  <si>
    <t>2026-07-19ISK</t>
  </si>
  <si>
    <t>2026-07-19JEP</t>
  </si>
  <si>
    <t>2026-07-19JMD</t>
  </si>
  <si>
    <t>2026-07-19JOD</t>
  </si>
  <si>
    <t>2026-07-19JPY</t>
  </si>
  <si>
    <t>2026-07-19KES</t>
  </si>
  <si>
    <t>2026-07-19KGS</t>
  </si>
  <si>
    <t>2026-07-19KHR</t>
  </si>
  <si>
    <t>2026-07-19KID</t>
  </si>
  <si>
    <t>2026-07-19KMF</t>
  </si>
  <si>
    <t>2026-07-19KRW</t>
  </si>
  <si>
    <t>2026-07-19KWD</t>
  </si>
  <si>
    <t>2026-07-19KYD</t>
  </si>
  <si>
    <t>2026-07-19KZT</t>
  </si>
  <si>
    <t>2026-07-19LAK</t>
  </si>
  <si>
    <t>2026-07-19LBP</t>
  </si>
  <si>
    <t>2026-07-19LKR</t>
  </si>
  <si>
    <t>2026-07-19LRD</t>
  </si>
  <si>
    <t>2026-07-19LSL</t>
  </si>
  <si>
    <t>2026-07-19LYD</t>
  </si>
  <si>
    <t>2026-07-19MAD</t>
  </si>
  <si>
    <t>2026-07-19MDL</t>
  </si>
  <si>
    <t>2026-07-19MGA</t>
  </si>
  <si>
    <t>2026-07-19MKD</t>
  </si>
  <si>
    <t>2026-07-19MMK</t>
  </si>
  <si>
    <t>2026-07-19MNT</t>
  </si>
  <si>
    <t>2026-07-19MOP</t>
  </si>
  <si>
    <t>2026-07-19MRU</t>
  </si>
  <si>
    <t>2026-07-19MUR</t>
  </si>
  <si>
    <t>2026-07-19MVR</t>
  </si>
  <si>
    <t>2026-07-19MWK</t>
  </si>
  <si>
    <t>2026-07-19MXN</t>
  </si>
  <si>
    <t>2026-07-19MYR</t>
  </si>
  <si>
    <t>2026-07-19MZN</t>
  </si>
  <si>
    <t>2026-07-19NAD</t>
  </si>
  <si>
    <t>2026-07-19NGN</t>
  </si>
  <si>
    <t>2026-07-19NIO</t>
  </si>
  <si>
    <t>2026-07-19NOK</t>
  </si>
  <si>
    <t>2026-07-19NPR</t>
  </si>
  <si>
    <t>2026-07-19NZD</t>
  </si>
  <si>
    <t>2026-07-19OMR</t>
  </si>
  <si>
    <t>2026-07-19PAB</t>
  </si>
  <si>
    <t>2026-07-19PEN</t>
  </si>
  <si>
    <t>2026-07-19PGK</t>
  </si>
  <si>
    <t>2026-07-19PHP</t>
  </si>
  <si>
    <t>2026-07-19PKR</t>
  </si>
  <si>
    <t>2026-07-19PLN</t>
  </si>
  <si>
    <t>2026-07-19PYG</t>
  </si>
  <si>
    <t>2026-07-19QAR</t>
  </si>
  <si>
    <t>2026-07-19RON</t>
  </si>
  <si>
    <t>2026-07-19RSD</t>
  </si>
  <si>
    <t>2026-07-19RUB</t>
  </si>
  <si>
    <t>2026-07-19RWF</t>
  </si>
  <si>
    <t>2026-07-19SAR</t>
  </si>
  <si>
    <t>2026-07-19SBD</t>
  </si>
  <si>
    <t>2026-07-19SCR</t>
  </si>
  <si>
    <t>2026-07-19SDG</t>
  </si>
  <si>
    <t>2026-07-19SEK</t>
  </si>
  <si>
    <t>2026-07-19SGD</t>
  </si>
  <si>
    <t>2026-07-19SHP</t>
  </si>
  <si>
    <t>2026-07-19SLE</t>
  </si>
  <si>
    <t>2026-07-19SLL</t>
  </si>
  <si>
    <t>2026-07-19SOS</t>
  </si>
  <si>
    <t>2026-07-19SRD</t>
  </si>
  <si>
    <t>2026-07-19SSP</t>
  </si>
  <si>
    <t>2026-07-19STN</t>
  </si>
  <si>
    <t>2026-07-19SYP</t>
  </si>
  <si>
    <t>2026-07-19SZL</t>
  </si>
  <si>
    <t>2026-07-19THB</t>
  </si>
  <si>
    <t>2026-07-19TJS</t>
  </si>
  <si>
    <t>2026-07-19TMT</t>
  </si>
  <si>
    <t>2026-07-19TND</t>
  </si>
  <si>
    <t>2026-07-19TOP</t>
  </si>
  <si>
    <t>2026-07-19TRY</t>
  </si>
  <si>
    <t>2026-07-19TTD</t>
  </si>
  <si>
    <t>2026-07-19TVD</t>
  </si>
  <si>
    <t>2026-07-19TWD</t>
  </si>
  <si>
    <t>2026-07-19TZS</t>
  </si>
  <si>
    <t>2026-07-19UAH</t>
  </si>
  <si>
    <t>2026-07-19UGX</t>
  </si>
  <si>
    <t>2026-07-19USD</t>
  </si>
  <si>
    <t>2026-07-19UYU</t>
  </si>
  <si>
    <t>2026-07-19UZS</t>
  </si>
  <si>
    <t>2026-07-19VES</t>
  </si>
  <si>
    <t>2026-07-19VND</t>
  </si>
  <si>
    <t>2026-07-19VUV</t>
  </si>
  <si>
    <t>2026-07-19WST</t>
  </si>
  <si>
    <t>2026-07-19XAF</t>
  </si>
  <si>
    <t>2026-07-19XCD</t>
  </si>
  <si>
    <t>2026-07-19XCG</t>
  </si>
  <si>
    <t>2026-07-19XDR</t>
  </si>
  <si>
    <t>2026-07-19XOF</t>
  </si>
  <si>
    <t>2026-07-19XPF</t>
  </si>
  <si>
    <t>2026-07-19YER</t>
  </si>
  <si>
    <t>2026-07-19ZAR</t>
  </si>
  <si>
    <t>2026-07-19ZMW</t>
  </si>
  <si>
    <t>2026-07-19ZWG</t>
  </si>
  <si>
    <t>2026-07-19ZWL</t>
  </si>
  <si>
    <t>2026-07-21EUR</t>
  </si>
  <si>
    <t>2026-07-21AED</t>
  </si>
  <si>
    <t>2026-07-21AFN</t>
  </si>
  <si>
    <t>2026-07-21ALL</t>
  </si>
  <si>
    <t>2026-07-21AMD</t>
  </si>
  <si>
    <t>2026-07-21ANG</t>
  </si>
  <si>
    <t>2026-07-21AOA</t>
  </si>
  <si>
    <t>2026-07-21ARS</t>
  </si>
  <si>
    <t>2026-07-21AUD</t>
  </si>
  <si>
    <t>2026-07-21AWG</t>
  </si>
  <si>
    <t>2026-07-21AZN</t>
  </si>
  <si>
    <t>2026-07-21BAM</t>
  </si>
  <si>
    <t>2026-07-21BBD</t>
  </si>
  <si>
    <t>2026-07-21BDT</t>
  </si>
  <si>
    <t>2026-07-21BGN</t>
  </si>
  <si>
    <t>2026-07-21BHD</t>
  </si>
  <si>
    <t>2026-07-21BIF</t>
  </si>
  <si>
    <t>2026-07-21BMD</t>
  </si>
  <si>
    <t>2026-07-21BND</t>
  </si>
  <si>
    <t>2026-07-21BOB</t>
  </si>
  <si>
    <t>2026-07-21BRL</t>
  </si>
  <si>
    <t>2026-07-21BSD</t>
  </si>
  <si>
    <t>2026-07-21BTN</t>
  </si>
  <si>
    <t>2026-07-21BWP</t>
  </si>
  <si>
    <t>2026-07-21BYN</t>
  </si>
  <si>
    <t>2026-07-21BZD</t>
  </si>
  <si>
    <t>2026-07-21CAD</t>
  </si>
  <si>
    <t>2026-07-21CDF</t>
  </si>
  <si>
    <t>2026-07-21CHF</t>
  </si>
  <si>
    <t>2026-07-21CLF</t>
  </si>
  <si>
    <t>2026-07-21CLP</t>
  </si>
  <si>
    <t>2026-07-21CNH</t>
  </si>
  <si>
    <t>2026-07-21CNY</t>
  </si>
  <si>
    <t>2026-07-21COP</t>
  </si>
  <si>
    <t>2026-07-21CRC</t>
  </si>
  <si>
    <t>2026-07-21CUP</t>
  </si>
  <si>
    <t>2026-07-21CVE</t>
  </si>
  <si>
    <t>2026-07-21CZK</t>
  </si>
  <si>
    <t>2026-07-21DJF</t>
  </si>
  <si>
    <t>2026-07-21DKK</t>
  </si>
  <si>
    <t>2026-07-21DOP</t>
  </si>
  <si>
    <t>2026-07-21DZD</t>
  </si>
  <si>
    <t>2026-07-21EGP</t>
  </si>
  <si>
    <t>2026-07-21ERN</t>
  </si>
  <si>
    <t>2026-07-21ETB</t>
  </si>
  <si>
    <t>2026-07-21FJD</t>
  </si>
  <si>
    <t>2026-07-21FKP</t>
  </si>
  <si>
    <t>2026-07-21FOK</t>
  </si>
  <si>
    <t>2026-07-21GBP</t>
  </si>
  <si>
    <t>2026-07-21GEL</t>
  </si>
  <si>
    <t>2026-07-21GGP</t>
  </si>
  <si>
    <t>2026-07-21GHS</t>
  </si>
  <si>
    <t>2026-07-21GIP</t>
  </si>
  <si>
    <t>2026-07-21GMD</t>
  </si>
  <si>
    <t>2026-07-21GNF</t>
  </si>
  <si>
    <t>2026-07-21GTQ</t>
  </si>
  <si>
    <t>2026-07-21GYD</t>
  </si>
  <si>
    <t>2026-07-21HKD</t>
  </si>
  <si>
    <t>2026-07-21HNL</t>
  </si>
  <si>
    <t>2026-07-21HRK</t>
  </si>
  <si>
    <t>2026-07-21HTG</t>
  </si>
  <si>
    <t>2026-07-21IDR</t>
  </si>
  <si>
    <t>2026-07-21ILS</t>
  </si>
  <si>
    <t>2026-07-21IMP</t>
  </si>
  <si>
    <t>2026-07-21INR</t>
  </si>
  <si>
    <t>2026-07-21IQD</t>
  </si>
  <si>
    <t>2026-07-21IRR</t>
  </si>
  <si>
    <t>2026-07-21ISK</t>
  </si>
  <si>
    <t>2026-07-21JEP</t>
  </si>
  <si>
    <t>2026-07-21JMD</t>
  </si>
  <si>
    <t>2026-07-21JOD</t>
  </si>
  <si>
    <t>2026-07-21JPY</t>
  </si>
  <si>
    <t>2026-07-21KES</t>
  </si>
  <si>
    <t>2026-07-21KGS</t>
  </si>
  <si>
    <t>2026-07-21KHR</t>
  </si>
  <si>
    <t>2026-07-21KID</t>
  </si>
  <si>
    <t>2026-07-21KMF</t>
  </si>
  <si>
    <t>2026-07-21KRW</t>
  </si>
  <si>
    <t>2026-07-21KWD</t>
  </si>
  <si>
    <t>2026-07-21KYD</t>
  </si>
  <si>
    <t>2026-07-21KZT</t>
  </si>
  <si>
    <t>2026-07-21LAK</t>
  </si>
  <si>
    <t>2026-07-21LBP</t>
  </si>
  <si>
    <t>2026-07-21LKR</t>
  </si>
  <si>
    <t>2026-07-21LRD</t>
  </si>
  <si>
    <t>2026-07-21LSL</t>
  </si>
  <si>
    <t>2026-07-21LYD</t>
  </si>
  <si>
    <t>2026-07-21MAD</t>
  </si>
  <si>
    <t>2026-07-21MDL</t>
  </si>
  <si>
    <t>2026-07-21MGA</t>
  </si>
  <si>
    <t>2026-07-21MKD</t>
  </si>
  <si>
    <t>2026-07-21MMK</t>
  </si>
  <si>
    <t>2026-07-21MNT</t>
  </si>
  <si>
    <t>2026-07-21MOP</t>
  </si>
  <si>
    <t>2026-07-21MRU</t>
  </si>
  <si>
    <t>2026-07-21MUR</t>
  </si>
  <si>
    <t>2026-07-21MVR</t>
  </si>
  <si>
    <t>2026-07-21MWK</t>
  </si>
  <si>
    <t>2026-07-21MXN</t>
  </si>
  <si>
    <t>2026-07-21MYR</t>
  </si>
  <si>
    <t>2026-07-21MZN</t>
  </si>
  <si>
    <t>2026-07-21NAD</t>
  </si>
  <si>
    <t>2026-07-21NGN</t>
  </si>
  <si>
    <t>2026-07-21NIO</t>
  </si>
  <si>
    <t>2026-07-21NOK</t>
  </si>
  <si>
    <t>2026-07-21NPR</t>
  </si>
  <si>
    <t>2026-07-21NZD</t>
  </si>
  <si>
    <t>2026-07-21OMR</t>
  </si>
  <si>
    <t>2026-07-21PAB</t>
  </si>
  <si>
    <t>2026-07-21PEN</t>
  </si>
  <si>
    <t>2026-07-21PGK</t>
  </si>
  <si>
    <t>2026-07-21PHP</t>
  </si>
  <si>
    <t>2026-07-21PKR</t>
  </si>
  <si>
    <t>2026-07-21PLN</t>
  </si>
  <si>
    <t>2026-07-21PYG</t>
  </si>
  <si>
    <t>2026-07-21QAR</t>
  </si>
  <si>
    <t>2026-07-21RON</t>
  </si>
  <si>
    <t>2026-07-21RSD</t>
  </si>
  <si>
    <t>2026-07-21RUB</t>
  </si>
  <si>
    <t>2026-07-21RWF</t>
  </si>
  <si>
    <t>2026-07-21SAR</t>
  </si>
  <si>
    <t>2026-07-21SBD</t>
  </si>
  <si>
    <t>2026-07-21SCR</t>
  </si>
  <si>
    <t>2026-07-21SDG</t>
  </si>
  <si>
    <t>2026-07-21SEK</t>
  </si>
  <si>
    <t>2026-07-21SGD</t>
  </si>
  <si>
    <t>2026-07-21SHP</t>
  </si>
  <si>
    <t>2026-07-21SLE</t>
  </si>
  <si>
    <t>2026-07-21SLL</t>
  </si>
  <si>
    <t>2026-07-21SOS</t>
  </si>
  <si>
    <t>2026-07-21SRD</t>
  </si>
  <si>
    <t>2026-07-21SSP</t>
  </si>
  <si>
    <t>2026-07-21STN</t>
  </si>
  <si>
    <t>2026-07-21SYP</t>
  </si>
  <si>
    <t>2026-07-21SZL</t>
  </si>
  <si>
    <t>2026-07-21THB</t>
  </si>
  <si>
    <t>2026-07-21TJS</t>
  </si>
  <si>
    <t>2026-07-21TMT</t>
  </si>
  <si>
    <t>2026-07-21TND</t>
  </si>
  <si>
    <t>2026-07-21TOP</t>
  </si>
  <si>
    <t>2026-07-21TRY</t>
  </si>
  <si>
    <t>2026-07-21TTD</t>
  </si>
  <si>
    <t>2026-07-21TVD</t>
  </si>
  <si>
    <t>2026-07-21TWD</t>
  </si>
  <si>
    <t>2026-07-21TZS</t>
  </si>
  <si>
    <t>2026-07-21UAH</t>
  </si>
  <si>
    <t>2026-07-21UGX</t>
  </si>
  <si>
    <t>2026-07-21USD</t>
  </si>
  <si>
    <t>2026-07-21UYU</t>
  </si>
  <si>
    <t>2026-07-21UZS</t>
  </si>
  <si>
    <t>2026-07-21VES</t>
  </si>
  <si>
    <t>2026-07-21VND</t>
  </si>
  <si>
    <t>2026-07-21VUV</t>
  </si>
  <si>
    <t>2026-07-21WST</t>
  </si>
  <si>
    <t>2026-07-21XAF</t>
  </si>
  <si>
    <t>2026-07-21XCD</t>
  </si>
  <si>
    <t>2026-07-21XCG</t>
  </si>
  <si>
    <t>2026-07-21XDR</t>
  </si>
  <si>
    <t>2026-07-21XOF</t>
  </si>
  <si>
    <t>2026-07-21XPF</t>
  </si>
  <si>
    <t>2026-07-21YER</t>
  </si>
  <si>
    <t>2026-07-21ZAR</t>
  </si>
  <si>
    <t>2026-07-21ZMW</t>
  </si>
  <si>
    <t>2026-07-21ZWG</t>
  </si>
  <si>
    <t>2026-07-21ZWL</t>
  </si>
  <si>
    <t>2026-07-25EUR</t>
  </si>
  <si>
    <t>2026-07-25AED</t>
  </si>
  <si>
    <t>2026-07-25AFN</t>
  </si>
  <si>
    <t>2026-07-25ALL</t>
  </si>
  <si>
    <t>2026-07-25AMD</t>
  </si>
  <si>
    <t>2026-07-25ANG</t>
  </si>
  <si>
    <t>2026-07-25AOA</t>
  </si>
  <si>
    <t>2026-07-25ARS</t>
  </si>
  <si>
    <t>2026-07-25AUD</t>
  </si>
  <si>
    <t>2026-07-25AWG</t>
  </si>
  <si>
    <t>2026-07-25AZN</t>
  </si>
  <si>
    <t>2026-07-25BAM</t>
  </si>
  <si>
    <t>2026-07-25BBD</t>
  </si>
  <si>
    <t>2026-07-25BDT</t>
  </si>
  <si>
    <t>2026-07-25BGN</t>
  </si>
  <si>
    <t>2026-07-25BHD</t>
  </si>
  <si>
    <t>2026-07-25BIF</t>
  </si>
  <si>
    <t>2026-07-25BMD</t>
  </si>
  <si>
    <t>2026-07-25BND</t>
  </si>
  <si>
    <t>2026-07-25BOB</t>
  </si>
  <si>
    <t>2026-07-25BRL</t>
  </si>
  <si>
    <t>2026-07-25BSD</t>
  </si>
  <si>
    <t>2026-07-25BTN</t>
  </si>
  <si>
    <t>2026-07-25BWP</t>
  </si>
  <si>
    <t>2026-07-25BYN</t>
  </si>
  <si>
    <t>2026-07-25BZD</t>
  </si>
  <si>
    <t>2026-07-25CAD</t>
  </si>
  <si>
    <t>2026-07-25CDF</t>
  </si>
  <si>
    <t>2026-07-25CHF</t>
  </si>
  <si>
    <t>2026-07-25CLF</t>
  </si>
  <si>
    <t>2026-07-25CLP</t>
  </si>
  <si>
    <t>2026-07-25CNH</t>
  </si>
  <si>
    <t>2026-07-25CNY</t>
  </si>
  <si>
    <t>2026-07-25COP</t>
  </si>
  <si>
    <t>2026-07-25CRC</t>
  </si>
  <si>
    <t>2026-07-25CUP</t>
  </si>
  <si>
    <t>2026-07-25CVE</t>
  </si>
  <si>
    <t>2026-07-25CZK</t>
  </si>
  <si>
    <t>2026-07-25DJF</t>
  </si>
  <si>
    <t>2026-07-25DKK</t>
  </si>
  <si>
    <t>2026-07-25DOP</t>
  </si>
  <si>
    <t>2026-07-25DZD</t>
  </si>
  <si>
    <t>2026-07-25EGP</t>
  </si>
  <si>
    <t>2026-07-25ERN</t>
  </si>
  <si>
    <t>2026-07-25ETB</t>
  </si>
  <si>
    <t>2026-07-25FJD</t>
  </si>
  <si>
    <t>2026-07-25FKP</t>
  </si>
  <si>
    <t>2026-07-25FOK</t>
  </si>
  <si>
    <t>2026-07-25GBP</t>
  </si>
  <si>
    <t>2026-07-25GEL</t>
  </si>
  <si>
    <t>2026-07-25GGP</t>
  </si>
  <si>
    <t>2026-07-25GHS</t>
  </si>
  <si>
    <t>2026-07-25GIP</t>
  </si>
  <si>
    <t>2026-07-25GMD</t>
  </si>
  <si>
    <t>2026-07-25GNF</t>
  </si>
  <si>
    <t>2026-07-25GTQ</t>
  </si>
  <si>
    <t>2026-07-25GYD</t>
  </si>
  <si>
    <t>2026-07-25HKD</t>
  </si>
  <si>
    <t>2026-07-25HNL</t>
  </si>
  <si>
    <t>2026-07-25HRK</t>
  </si>
  <si>
    <t>2026-07-25HTG</t>
  </si>
  <si>
    <t>2026-07-25IDR</t>
  </si>
  <si>
    <t>2026-07-25ILS</t>
  </si>
  <si>
    <t>2026-07-25IMP</t>
  </si>
  <si>
    <t>2026-07-25INR</t>
  </si>
  <si>
    <t>2026-07-25IQD</t>
  </si>
  <si>
    <t>2026-07-25IRR</t>
  </si>
  <si>
    <t>2026-07-25ISK</t>
  </si>
  <si>
    <t>2026-07-25JEP</t>
  </si>
  <si>
    <t>2026-07-25JMD</t>
  </si>
  <si>
    <t>2026-07-25JOD</t>
  </si>
  <si>
    <t>2026-07-25JPY</t>
  </si>
  <si>
    <t>2026-07-25KES</t>
  </si>
  <si>
    <t>2026-07-25KGS</t>
  </si>
  <si>
    <t>2026-07-25KHR</t>
  </si>
  <si>
    <t>2026-07-25KID</t>
  </si>
  <si>
    <t>2026-07-25KMF</t>
  </si>
  <si>
    <t>2026-07-25KRW</t>
  </si>
  <si>
    <t>2026-07-25KWD</t>
  </si>
  <si>
    <t>2026-07-25KYD</t>
  </si>
  <si>
    <t>2026-07-25KZT</t>
  </si>
  <si>
    <t>2026-07-25LAK</t>
  </si>
  <si>
    <t>2026-07-25LBP</t>
  </si>
  <si>
    <t>2026-07-25LKR</t>
  </si>
  <si>
    <t>2026-07-25LRD</t>
  </si>
  <si>
    <t>2026-07-25LSL</t>
  </si>
  <si>
    <t>2026-07-25LYD</t>
  </si>
  <si>
    <t>2026-07-25MAD</t>
  </si>
  <si>
    <t>2026-07-25MDL</t>
  </si>
  <si>
    <t>2026-07-25MGA</t>
  </si>
  <si>
    <t>2026-07-25MKD</t>
  </si>
  <si>
    <t>2026-07-25MMK</t>
  </si>
  <si>
    <t>2026-07-25MNT</t>
  </si>
  <si>
    <t>2026-07-25MOP</t>
  </si>
  <si>
    <t>2026-07-25MRU</t>
  </si>
  <si>
    <t>2026-07-25MUR</t>
  </si>
  <si>
    <t>2026-07-25MVR</t>
  </si>
  <si>
    <t>2026-07-25MWK</t>
  </si>
  <si>
    <t>2026-07-25MXN</t>
  </si>
  <si>
    <t>2026-07-25MYR</t>
  </si>
  <si>
    <t>2026-07-25MZN</t>
  </si>
  <si>
    <t>2026-07-25NAD</t>
  </si>
  <si>
    <t>2026-07-25NGN</t>
  </si>
  <si>
    <t>2026-07-25NIO</t>
  </si>
  <si>
    <t>2026-07-25NOK</t>
  </si>
  <si>
    <t>2026-07-25NPR</t>
  </si>
  <si>
    <t>2026-07-25NZD</t>
  </si>
  <si>
    <t>2026-07-25OMR</t>
  </si>
  <si>
    <t>2026-07-25PAB</t>
  </si>
  <si>
    <t>2026-07-25PEN</t>
  </si>
  <si>
    <t>2026-07-25PGK</t>
  </si>
  <si>
    <t>2026-07-25PHP</t>
  </si>
  <si>
    <t>2026-07-25PKR</t>
  </si>
  <si>
    <t>2026-07-25PLN</t>
  </si>
  <si>
    <t>2026-07-25PYG</t>
  </si>
  <si>
    <t>2026-07-25QAR</t>
  </si>
  <si>
    <t>2026-07-25RON</t>
  </si>
  <si>
    <t>2026-07-25RSD</t>
  </si>
  <si>
    <t>2026-07-25RUB</t>
  </si>
  <si>
    <t>2026-07-25RWF</t>
  </si>
  <si>
    <t>2026-07-25SAR</t>
  </si>
  <si>
    <t>2026-07-25SBD</t>
  </si>
  <si>
    <t>2026-07-25SCR</t>
  </si>
  <si>
    <t>2026-07-25SDG</t>
  </si>
  <si>
    <t>2026-07-25SEK</t>
  </si>
  <si>
    <t>2026-07-25SGD</t>
  </si>
  <si>
    <t>2026-07-25SHP</t>
  </si>
  <si>
    <t>2026-07-25SLE</t>
  </si>
  <si>
    <t>2026-07-25SLL</t>
  </si>
  <si>
    <t>2026-07-25SOS</t>
  </si>
  <si>
    <t>2026-07-25SRD</t>
  </si>
  <si>
    <t>2026-07-25SSP</t>
  </si>
  <si>
    <t>2026-07-25STN</t>
  </si>
  <si>
    <t>2026-07-25SYP</t>
  </si>
  <si>
    <t>2026-07-25SZL</t>
  </si>
  <si>
    <t>2026-07-25THB</t>
  </si>
  <si>
    <t>2026-07-25TJS</t>
  </si>
  <si>
    <t>2026-07-25TMT</t>
  </si>
  <si>
    <t>2026-07-25TND</t>
  </si>
  <si>
    <t>2026-07-25TOP</t>
  </si>
  <si>
    <t>2026-07-25TRY</t>
  </si>
  <si>
    <t>2026-07-25TTD</t>
  </si>
  <si>
    <t>2026-07-25TVD</t>
  </si>
  <si>
    <t>2026-07-25TWD</t>
  </si>
  <si>
    <t>2026-07-25TZS</t>
  </si>
  <si>
    <t>2026-07-25UAH</t>
  </si>
  <si>
    <t>2026-07-25UGX</t>
  </si>
  <si>
    <t>2026-07-25USD</t>
  </si>
  <si>
    <t>2026-07-25UYU</t>
  </si>
  <si>
    <t>2026-07-25UZS</t>
  </si>
  <si>
    <t>2026-07-25VES</t>
  </si>
  <si>
    <t>2026-07-25VND</t>
  </si>
  <si>
    <t>2026-07-25VUV</t>
  </si>
  <si>
    <t>2026-07-25WST</t>
  </si>
  <si>
    <t>2026-07-25XAF</t>
  </si>
  <si>
    <t>2026-07-25XCD</t>
  </si>
  <si>
    <t>2026-07-25XCG</t>
  </si>
  <si>
    <t>2026-07-25XDR</t>
  </si>
  <si>
    <t>2026-07-25XOF</t>
  </si>
  <si>
    <t>2026-07-25XPF</t>
  </si>
  <si>
    <t>2026-07-25YER</t>
  </si>
  <si>
    <t>2026-07-25ZAR</t>
  </si>
  <si>
    <t>2026-07-25ZMW</t>
  </si>
  <si>
    <t>2026-07-25ZWG</t>
  </si>
  <si>
    <t>2026-07-25ZWL</t>
  </si>
  <si>
    <t>2026-05-13</t>
  </si>
  <si>
    <t>2026-05-19</t>
  </si>
  <si>
    <t>2026-06-01</t>
  </si>
  <si>
    <t>2026-06-09</t>
  </si>
  <si>
    <t>2026-07-17</t>
  </si>
  <si>
    <t>AUD</t>
  </si>
  <si>
    <t>BRL</t>
  </si>
  <si>
    <t>CAD</t>
  </si>
  <si>
    <t>CHF</t>
  </si>
  <si>
    <t>CNY</t>
  </si>
  <si>
    <t>CZK</t>
  </si>
  <si>
    <t>DKK</t>
  </si>
  <si>
    <t>GBP</t>
  </si>
  <si>
    <t>HKD</t>
  </si>
  <si>
    <t>IDR</t>
  </si>
  <si>
    <t>ILS</t>
  </si>
  <si>
    <t>INR</t>
  </si>
  <si>
    <t>ISK</t>
  </si>
  <si>
    <t>JPY</t>
  </si>
  <si>
    <t>KRW</t>
  </si>
  <si>
    <t>MXN</t>
  </si>
  <si>
    <t>MYR</t>
  </si>
  <si>
    <t>NOK</t>
  </si>
  <si>
    <t>NZD</t>
  </si>
  <si>
    <t>PHP</t>
  </si>
  <si>
    <t>PLN</t>
  </si>
  <si>
    <t>RON</t>
  </si>
  <si>
    <t>SEK</t>
  </si>
  <si>
    <t>SGD</t>
  </si>
  <si>
    <t>THB</t>
  </si>
  <si>
    <t>TRY</t>
  </si>
  <si>
    <t>ZAR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</si>
  <si>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</si>
  <si>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</si>
  <si>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</si>
  <si>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</si>
  <si>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</si>
  <si>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</si>
  <si>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</si>
  <si>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</si>
  <si>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</si>
  <si>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</si>
  <si>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</si>
  <si>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</si>
  <si>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BHD</t>
  </si>
  <si>
    <t>BIF</t>
  </si>
  <si>
    <t>BMD</t>
  </si>
  <si>
    <t>BND</t>
  </si>
  <si>
    <t>BOB</t>
  </si>
  <si>
    <t>BSD</t>
  </si>
  <si>
    <t>BTN</t>
  </si>
  <si>
    <t>BWP</t>
  </si>
  <si>
    <t>BYN</t>
  </si>
  <si>
    <t>BZD</t>
  </si>
  <si>
    <t>CDF</t>
  </si>
  <si>
    <t>CLF</t>
  </si>
  <si>
    <t>CLP</t>
  </si>
  <si>
    <t>CNH</t>
  </si>
  <si>
    <t>COP</t>
  </si>
  <si>
    <t>CRC</t>
  </si>
  <si>
    <t>CUP</t>
  </si>
  <si>
    <t>CVE</t>
  </si>
  <si>
    <t>DJF</t>
  </si>
  <si>
    <t>DOP</t>
  </si>
  <si>
    <t>DZD</t>
  </si>
  <si>
    <t>EGP</t>
  </si>
  <si>
    <t>ERN</t>
  </si>
  <si>
    <t>ETB</t>
  </si>
  <si>
    <t>FJD</t>
  </si>
  <si>
    <t>FKP</t>
  </si>
  <si>
    <t>FOK</t>
  </si>
  <si>
    <t>GEL</t>
  </si>
  <si>
    <t>GGP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</si>
  <si>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</si>
  <si>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</si>
  <si>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</si>
  <si>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</si>
  <si>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</si>
  <si>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</si>
  <si>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</si>
  <si>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</si>
  <si>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</si>
  <si>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IMP</t>
  </si>
  <si>
    <t>IQD</t>
  </si>
  <si>
    <t>IRR</t>
  </si>
  <si>
    <t>JEP</t>
  </si>
  <si>
    <t>JMD</t>
  </si>
  <si>
    <t>JOD</t>
  </si>
  <si>
    <t>KES</t>
  </si>
  <si>
    <t>KGS</t>
  </si>
  <si>
    <t>KHR</t>
  </si>
  <si>
    <t>KID</t>
  </si>
  <si>
    <t>KMF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</si>
  <si>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</si>
  <si>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</si>
  <si>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</si>
  <si>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</si>
  <si>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</si>
  <si>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</si>
  <si>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</si>
  <si>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</si>
  <si>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</si>
  <si>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</si>
  <si>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</si>
  <si>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</si>
  <si>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</si>
  <si>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</si>
  <si>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</si>
  <si>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</si>
  <si>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</si>
  <si>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</si>
  <si>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</si>
  <si>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</si>
  <si>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MZN</t>
  </si>
  <si>
    <t>NAD</t>
  </si>
  <si>
    <t>NGN</t>
  </si>
  <si>
    <t>NIO</t>
  </si>
  <si>
    <t>NPR</t>
  </si>
  <si>
    <t>OMR</t>
  </si>
  <si>
    <t>PAB</t>
  </si>
  <si>
    <t>PEN</t>
  </si>
  <si>
    <t>PGK</t>
  </si>
  <si>
    <t>PKR</t>
  </si>
  <si>
    <t>PYG</t>
  </si>
  <si>
    <t>QAR</t>
  </si>
  <si>
    <t>RSD</t>
  </si>
  <si>
    <t>RUB</t>
  </si>
  <si>
    <t>RWF</t>
  </si>
  <si>
    <t>SAR</t>
  </si>
  <si>
    <t>SBD</t>
  </si>
  <si>
    <t>SCR</t>
  </si>
  <si>
    <t>SDG</t>
  </si>
  <si>
    <t>SHP</t>
  </si>
  <si>
    <t>SLE</t>
  </si>
  <si>
    <t>SLL</t>
  </si>
  <si>
    <t>SOS</t>
  </si>
  <si>
    <t>SRD</t>
  </si>
  <si>
    <t>SSP</t>
  </si>
  <si>
    <t>STN</t>
  </si>
  <si>
    <t>SYP</t>
  </si>
  <si>
    <t>SZL</t>
  </si>
  <si>
    <t>TJS</t>
  </si>
  <si>
    <t>TMT</t>
  </si>
  <si>
    <t>TND</t>
  </si>
  <si>
    <t>TOP</t>
  </si>
  <si>
    <t>TTD</t>
  </si>
  <si>
    <t>TVD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</si>
  <si>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</si>
  <si>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</si>
  <si>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</si>
  <si>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</si>
  <si>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</si>
  <si>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</si>
  <si>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</si>
  <si>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</si>
  <si>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</si>
  <si>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</si>
  <si>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</si>
  <si>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XCD</t>
  </si>
  <si>
    <t>XCG</t>
  </si>
  <si>
    <t>XDR</t>
  </si>
  <si>
    <t>XOF</t>
  </si>
  <si>
    <t>XPF</t>
  </si>
  <si>
    <t>YER</t>
  </si>
  <si>
    <t>ZMW</t>
  </si>
  <si>
    <t>ZWG</t>
  </si>
  <si>
    <t>ZWL</t>
  </si>
  <si>
    <t>LookupKey 🔒</t>
  </si>
  <si>
    <t>Sheet</t>
  </si>
  <si>
    <t>MongoID</t>
  </si>
  <si>
    <t>02_Accounts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</si>
</sst>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/>
    <xf numFmtId="0" fontId="6" fillId="0" borderId="1" xfId="0" applyFont="1" applyBorder="1" applyAlignment="1">
      <alignment horizontal="center" vertical="top"/>
    </xf>
    <xf numFmtId="0" fontId="2" fillId="3" borderId="1" xfId="0" applyFont="1" applyFill="1" applyBorder="1"/>
    <xf numFmtId="0" fontId="0" fillId="8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2.7109375" customWidth="1"/>
    <col min="2" max="2" width="26.7109375" customWidth="1"/>
    <col min="3" max="3" width="18.7109375" customWidth="1"/>
    <col min="4" max="4" width="3.7109375" customWidth="1"/>
    <col min="5" max="5" width="26.7109375" customWidth="1"/>
    <col min="6" max="6" width="18.7109375" customWidth="1"/>
    <col min="7" max="7" width="3.7109375" customWidth="1"/>
    <col min="8" max="8" width="16.7109375" customWidth="1"/>
    <col min="9" max="14" width="13.7109375" customWidth="1"/>
  </cols>
  <sheetData>
    <row r="1" spans="2:14" ht="6" customHeight="1"/>
    <row r="2" spans="2:14">
      <c r="B2" s="1" t="s">
        <v>0</v>
      </c>
      <c r="C2" s="1"/>
      <c r="E2" s="1" t="s">
        <v>8</v>
      </c>
      <c r="F2" s="1"/>
      <c r="H2" s="1" t="s">
        <v>10</v>
      </c>
      <c r="I2" s="1"/>
      <c r="J2" s="1"/>
      <c r="K2" s="1"/>
      <c r="L2" s="1"/>
      <c r="M2" s="1"/>
      <c r="N2" s="1"/>
    </row>
    <row r="3" spans="2:14">
      <c r="B3" s="2" t="s">
        <v>1</v>
      </c>
      <c r="C3" s="3">
        <f>SUMIFS('01_Transactions'!L:L,'01_Transactions'!B:B,"Income")</f>
        <v>0</v>
      </c>
      <c r="E3" s="2">
        <f>IFERROR('90_Settings'!B2,"")</f>
        <v>0</v>
      </c>
      <c r="F3" s="4">
        <f>IFERROR(SUMPRODUCT(('01_Transactions'!F$2:F$5000='90_Settings'!B2)*(YEAR('01_Transactions'!A$2:A$5000)=YEAR(DATE(YEAR(TODAY()),MONTH(TODAY()),1)))*(MONTH('01_Transactions'!A$2:A$5000)=MONTH(DATE(YEAR(TODAY()),MONTH(TODAY()),1)))*'01_Transactions'!L$2:L$5000),0)</f>
        <v>0</v>
      </c>
      <c r="H3" s="5"/>
      <c r="I3" s="5">
        <f>TEXT(DATE(YEAR(TODAY()),MONTH(TODAY())+(-5),1),"YYYY-MM")</f>
        <v>0</v>
      </c>
      <c r="J3" s="5">
        <f>TEXT(DATE(YEAR(TODAY()),MONTH(TODAY())+(-4),1),"YYYY-MM")</f>
        <v>0</v>
      </c>
      <c r="K3" s="5">
        <f>TEXT(DATE(YEAR(TODAY()),MONTH(TODAY())+(-3),1),"YYYY-MM")</f>
        <v>0</v>
      </c>
      <c r="L3" s="5">
        <f>TEXT(DATE(YEAR(TODAY()),MONTH(TODAY())+(-2),1),"YYYY-MM")</f>
        <v>0</v>
      </c>
      <c r="M3" s="5">
        <f>TEXT(DATE(YEAR(TODAY()),MONTH(TODAY())+(-1),1),"YYYY-MM")</f>
        <v>0</v>
      </c>
      <c r="N3" s="5">
        <f>TEXT(DATE(YEAR(TODAY()),MONTH(TODAY()),1),"YYYY-MM")</f>
        <v>0</v>
      </c>
    </row>
    <row r="4" spans="2:14">
      <c r="B4" s="2" t="s">
        <v>2</v>
      </c>
      <c r="C4" s="4">
        <f>SUMIFS('01_Transactions'!L:L,'01_Transactions'!B:B,"Expense")</f>
        <v>0</v>
      </c>
      <c r="E4" s="2">
        <f>IFERROR('90_Settings'!B3,"")</f>
        <v>0</v>
      </c>
      <c r="F4" s="4">
        <f>IFERROR(SUMPRODUCT(('01_Transactions'!F$2:F$5000='90_Settings'!B3)*(YEAR('01_Transactions'!A$2:A$5000)=YEAR(DATE(YEAR(TODAY()),MONTH(TODAY()),1)))*(MONTH('01_Transactions'!A$2:A$5000)=MONTH(DATE(YEAR(TODAY()),MONTH(TODAY()),1)))*'01_Transactions'!L$2:L$5000),0)</f>
        <v>0</v>
      </c>
      <c r="H4" s="2" t="s">
        <v>11</v>
      </c>
      <c r="I4" s="3">
        <f>SUMPRODUCT(('01_Transactions'!B$2:B$5000="Income")*(YEAR('01_Transactions'!A$2:A$5000)=YEAR(DATE(YEAR(TODAY()),MONTH(TODAY())+(-5),1)))*(MONTH('01_Transactions'!A$2:A$5000)=MONTH(DATE(YEAR(TODAY()),MONTH(TODAY())+(-5),1)))*'01_Transactions'!L$2:L$5000)</f>
        <v>0</v>
      </c>
      <c r="J4" s="3">
        <f>SUMPRODUCT(('01_Transactions'!B$2:B$5000="Income")*(YEAR('01_Transactions'!A$2:A$5000)=YEAR(DATE(YEAR(TODAY()),MONTH(TODAY())+(-4),1)))*(MONTH('01_Transactions'!A$2:A$5000)=MONTH(DATE(YEAR(TODAY()),MONTH(TODAY())+(-4),1)))*'01_Transactions'!L$2:L$5000)</f>
        <v>0</v>
      </c>
      <c r="K4" s="3">
        <f>SUMPRODUCT(('01_Transactions'!B$2:B$5000="Income")*(YEAR('01_Transactions'!A$2:A$5000)=YEAR(DATE(YEAR(TODAY()),MONTH(TODAY())+(-3),1)))*(MONTH('01_Transactions'!A$2:A$5000)=MONTH(DATE(YEAR(TODAY()),MONTH(TODAY())+(-3),1)))*'01_Transactions'!L$2:L$5000)</f>
        <v>0</v>
      </c>
      <c r="L4" s="3">
        <f>SUMPRODUCT(('01_Transactions'!B$2:B$5000="Income")*(YEAR('01_Transactions'!A$2:A$5000)=YEAR(DATE(YEAR(TODAY()),MONTH(TODAY())+(-2),1)))*(MONTH('01_Transactions'!A$2:A$5000)=MONTH(DATE(YEAR(TODAY()),MONTH(TODAY())+(-2),1)))*'01_Transactions'!L$2:L$5000)</f>
        <v>0</v>
      </c>
      <c r="M4" s="3">
        <f>SUMPRODUCT(('01_Transactions'!B$2:B$5000="Income")*(YEAR('01_Transactions'!A$2:A$5000)=YEAR(DATE(YEAR(TODAY()),MONTH(TODAY())+(-1),1)))*(MONTH('01_Transactions'!A$2:A$5000)=MONTH(DATE(YEAR(TODAY()),MONTH(TODAY())+(-1),1)))*'01_Transactions'!L$2:L$5000)</f>
        <v>0</v>
      </c>
      <c r="N4" s="3">
        <f>SUMPRODUCT(('01_Transactions'!B$2:B$5000="Income")*(YEAR('01_Transactions'!A$2:A$5000)=YEAR(DATE(YEAR(TODAY()),MONTH(TODAY()),1)))*(MONTH('01_Transactions'!A$2:A$5000)=MONTH(DATE(YEAR(TODAY()),MONTH(TODAY()),1)))*'01_Transactions'!L$2:L$5000)</f>
        <v>0</v>
      </c>
    </row>
    <row r="5" spans="2:14">
      <c r="B5" s="2" t="s">
        <v>3</v>
      </c>
      <c r="C5" s="6">
        <f>C3-C4</f>
        <v>0</v>
      </c>
      <c r="E5" s="2">
        <f>IFERROR('90_Settings'!B4,"")</f>
        <v>0</v>
      </c>
      <c r="F5" s="4">
        <f>IFERROR(SUMPRODUCT(('01_Transactions'!F$2:F$5000='90_Settings'!B4)*(YEAR('01_Transactions'!A$2:A$5000)=YEAR(DATE(YEAR(TODAY()),MONTH(TODAY()),1)))*(MONTH('01_Transactions'!A$2:A$5000)=MONTH(DATE(YEAR(TODAY()),MONTH(TODAY()),1)))*'01_Transactions'!L$2:L$5000),0)</f>
        <v>0</v>
      </c>
      <c r="H5" s="2" t="s">
        <v>12</v>
      </c>
      <c r="I5" s="4">
        <f>SUMPRODUCT(('01_Transactions'!B$2:B$5000="Expense")*(YEAR('01_Transactions'!A$2:A$5000)=YEAR(DATE(YEAR(TODAY()),MONTH(TODAY())+(-5),1)))*(MONTH('01_Transactions'!A$2:A$5000)=MONTH(DATE(YEAR(TODAY()),MONTH(TODAY())+(-5),1)))*'01_Transactions'!L$2:L$5000)</f>
        <v>0</v>
      </c>
      <c r="J5" s="4">
        <f>SUMPRODUCT(('01_Transactions'!B$2:B$5000="Expense")*(YEAR('01_Transactions'!A$2:A$5000)=YEAR(DATE(YEAR(TODAY()),MONTH(TODAY())+(-4),1)))*(MONTH('01_Transactions'!A$2:A$5000)=MONTH(DATE(YEAR(TODAY()),MONTH(TODAY())+(-4),1)))*'01_Transactions'!L$2:L$5000)</f>
        <v>0</v>
      </c>
      <c r="K5" s="4">
        <f>SUMPRODUCT(('01_Transactions'!B$2:B$5000="Expense")*(YEAR('01_Transactions'!A$2:A$5000)=YEAR(DATE(YEAR(TODAY()),MONTH(TODAY())+(-3),1)))*(MONTH('01_Transactions'!A$2:A$5000)=MONTH(DATE(YEAR(TODAY()),MONTH(TODAY())+(-3),1)))*'01_Transactions'!L$2:L$5000)</f>
        <v>0</v>
      </c>
      <c r="L5" s="4">
        <f>SUMPRODUCT(('01_Transactions'!B$2:B$5000="Expense")*(YEAR('01_Transactions'!A$2:A$5000)=YEAR(DATE(YEAR(TODAY()),MONTH(TODAY())+(-2),1)))*(MONTH('01_Transactions'!A$2:A$5000)=MONTH(DATE(YEAR(TODAY()),MONTH(TODAY())+(-2),1)))*'01_Transactions'!L$2:L$5000)</f>
        <v>0</v>
      </c>
      <c r="M5" s="4">
        <f>SUMPRODUCT(('01_Transactions'!B$2:B$5000="Expense")*(YEAR('01_Transactions'!A$2:A$5000)=YEAR(DATE(YEAR(TODAY()),MONTH(TODAY())+(-1),1)))*(MONTH('01_Transactions'!A$2:A$5000)=MONTH(DATE(YEAR(TODAY()),MONTH(TODAY())+(-1),1)))*'01_Transactions'!L$2:L$5000)</f>
        <v>0</v>
      </c>
      <c r="N5" s="4">
        <f>SUMPRODUCT(('01_Transactions'!B$2:B$5000="Expense")*(YEAR('01_Transactions'!A$2:A$5000)=YEAR(DATE(YEAR(TODAY()),MONTH(TODAY()),1)))*(MONTH('01_Transactions'!A$2:A$5000)=MONTH(DATE(YEAR(TODAY()),MONTH(TODAY()),1)))*'01_Transactions'!L$2:L$5000)</f>
        <v>0</v>
      </c>
    </row>
    <row r="6" spans="2:14">
      <c r="E6" s="2">
        <f>IFERROR('90_Settings'!B5,"")</f>
        <v>0</v>
      </c>
      <c r="F6" s="4">
        <f>IFERROR(SUMPRODUCT(('01_Transactions'!F$2:F$5000='90_Settings'!B5)*(YEAR('01_Transactions'!A$2:A$5000)=YEAR(DATE(YEAR(TODAY()),MONTH(TODAY()),1)))*(MONTH('01_Transactions'!A$2:A$5000)=MONTH(DATE(YEAR(TODAY()),MONTH(TODAY()),1)))*'01_Transactions'!L$2:L$5000),0)</f>
        <v>0</v>
      </c>
      <c r="H6" s="2" t="s">
        <v>13</v>
      </c>
      <c r="I6" s="6">
        <f>SUMPRODUCT(('01_Transactions'!B$2:B$5000="Income")*(YEAR('01_Transactions'!A$2:A$5000)=YEAR(DATE(YEAR(TODAY()),MONTH(TODAY())+(-5),1)))*(MONTH('01_Transactions'!A$2:A$5000)=MONTH(DATE(YEAR(TODAY()),MONTH(TODAY())+(-5),1)))*'01_Transactions'!L$2:L$5000)-SUMPRODUCT(('01_Transactions'!B$2:B$5000="Expense")*(YEAR('01_Transactions'!A$2:A$5000)=YEAR(DATE(YEAR(TODAY()),MONTH(TODAY())+(-5),1)))*(MONTH('01_Transactions'!A$2:A$5000)=MONTH(DATE(YEAR(TODAY()),MONTH(TODAY())+(-5),1)))*'01_Transactions'!L$2:L$5000)</f>
        <v>0</v>
      </c>
      <c r="J6" s="6">
        <f>SUMPRODUCT(('01_Transactions'!B$2:B$5000="Income")*(YEAR('01_Transactions'!A$2:A$5000)=YEAR(DATE(YEAR(TODAY()),MONTH(TODAY())+(-4),1)))*(MONTH('01_Transactions'!A$2:A$5000)=MONTH(DATE(YEAR(TODAY()),MONTH(TODAY())+(-4),1)))*'01_Transactions'!L$2:L$5000)-SUMPRODUCT(('01_Transactions'!B$2:B$5000="Expense")*(YEAR('01_Transactions'!A$2:A$5000)=YEAR(DATE(YEAR(TODAY()),MONTH(TODAY())+(-4),1)))*(MONTH('01_Transactions'!A$2:A$5000)=MONTH(DATE(YEAR(TODAY()),MONTH(TODAY())+(-4),1)))*'01_Transactions'!L$2:L$5000)</f>
        <v>0</v>
      </c>
      <c r="K6" s="6">
        <f>SUMPRODUCT(('01_Transactions'!B$2:B$5000="Income")*(YEAR('01_Transactions'!A$2:A$5000)=YEAR(DATE(YEAR(TODAY()),MONTH(TODAY())+(-3),1)))*(MONTH('01_Transactions'!A$2:A$5000)=MONTH(DATE(YEAR(TODAY()),MONTH(TODAY())+(-3),1)))*'01_Transactions'!L$2:L$5000)-SUMPRODUCT(('01_Transactions'!B$2:B$5000="Expense")*(YEAR('01_Transactions'!A$2:A$5000)=YEAR(DATE(YEAR(TODAY()),MONTH(TODAY())+(-3),1)))*(MONTH('01_Transactions'!A$2:A$5000)=MONTH(DATE(YEAR(TODAY()),MONTH(TODAY())+(-3),1)))*'01_Transactions'!L$2:L$5000)</f>
        <v>0</v>
      </c>
      <c r="L6" s="6">
        <f>SUMPRODUCT(('01_Transactions'!B$2:B$5000="Income")*(YEAR('01_Transactions'!A$2:A$5000)=YEAR(DATE(YEAR(TODAY()),MONTH(TODAY())+(-2),1)))*(MONTH('01_Transactions'!A$2:A$5000)=MONTH(DATE(YEAR(TODAY()),MONTH(TODAY())+(-2),1)))*'01_Transactions'!L$2:L$5000)-SUMPRODUCT(('01_Transactions'!B$2:B$5000="Expense")*(YEAR('01_Transactions'!A$2:A$5000)=YEAR(DATE(YEAR(TODAY()),MONTH(TODAY())+(-2),1)))*(MONTH('01_Transactions'!A$2:A$5000)=MONTH(DATE(YEAR(TODAY()),MONTH(TODAY())+(-2),1)))*'01_Transactions'!L$2:L$5000)</f>
        <v>0</v>
      </c>
      <c r="M6" s="6">
        <f>SUMPRODUCT(('01_Transactions'!B$2:B$5000="Income")*(YEAR('01_Transactions'!A$2:A$5000)=YEAR(DATE(YEAR(TODAY()),MONTH(TODAY())+(-1),1)))*(MONTH('01_Transactions'!A$2:A$5000)=MONTH(DATE(YEAR(TODAY()),MONTH(TODAY())+(-1),1)))*'01_Transactions'!L$2:L$5000)-SUMPRODUCT(('01_Transactions'!B$2:B$5000="Expense")*(YEAR('01_Transactions'!A$2:A$5000)=YEAR(DATE(YEAR(TODAY()),MONTH(TODAY())+(-1),1)))*(MONTH('01_Transactions'!A$2:A$5000)=MONTH(DATE(YEAR(TODAY()),MONTH(TODAY())+(-1),1)))*'01_Transactions'!L$2:L$5000)</f>
        <v>0</v>
      </c>
      <c r="N6" s="6">
        <f>SUMPRODUCT(('01_Transactions'!B$2:B$5000="Income")*(YEAR('01_Transactions'!A$2:A$5000)=YEAR(DATE(YEAR(TODAY()),MONTH(TODAY()),1)))*(MONTH('01_Transactions'!A$2:A$5000)=MONTH(DATE(YEAR(TODAY()),MONTH(TODAY()),1)))*'01_Transactions'!L$2:L$5000)-SUMPRODUCT(('01_Transactions'!B$2:B$5000="Expense")*(YEAR('01_Transactions'!A$2:A$5000)=YEAR(DATE(YEAR(TODAY()),MONTH(TODAY()),1)))*(MONTH('01_Transactions'!A$2:A$5000)=MONTH(DATE(YEAR(TODAY()),MONTH(TODAY()),1)))*'01_Transactions'!L$2:L$5000)</f>
        <v>0</v>
      </c>
    </row>
    <row r="7" spans="2:14">
      <c r="B7" s="1" t="s">
        <v>4</v>
      </c>
      <c r="C7" s="1"/>
      <c r="E7" s="2">
        <f>IFERROR('90_Settings'!B6,"")</f>
        <v>0</v>
      </c>
      <c r="F7" s="4">
        <f>IFERROR(SUMPRODUCT(('01_Transactions'!F$2:F$5000='90_Settings'!B6)*(YEAR('01_Transactions'!A$2:A$5000)=YEAR(DATE(YEAR(TODAY()),MONTH(TODAY()),1)))*(MONTH('01_Transactions'!A$2:A$5000)=MONTH(DATE(YEAR(TODAY()),MONTH(TODAY()),1)))*'01_Transactions'!L$2:L$5000),0)</f>
        <v>0</v>
      </c>
    </row>
    <row r="8" spans="2:14">
      <c r="B8" s="2" t="s">
        <v>5</v>
      </c>
      <c r="C8" s="3">
        <f>SUMPRODUCT(('01_Transactions'!B$2:B$5000="Income")*(YEAR('01_Transactions'!A$2:A$5000)=YEAR(DATE(YEAR(TODAY()),MONTH(TODAY()),1)))*(MONTH('01_Transactions'!A$2:A$5000)=MONTH(DATE(YEAR(TODAY()),MONTH(TODAY()),1)))*'01_Transactions'!L$2:L$5000)</f>
        <v>0</v>
      </c>
      <c r="E8" s="2">
        <f>IFERROR('90_Settings'!B7,"")</f>
        <v>0</v>
      </c>
      <c r="F8" s="4">
        <f>IFERROR(SUMPRODUCT(('01_Transactions'!F$2:F$5000='90_Settings'!B7)*(YEAR('01_Transactions'!A$2:A$5000)=YEAR(DATE(YEAR(TODAY()),MONTH(TODAY()),1)))*(MONTH('01_Transactions'!A$2:A$5000)=MONTH(DATE(YEAR(TODAY()),MONTH(TODAY()),1)))*'01_Transactions'!L$2:L$5000),0)</f>
        <v>0</v>
      </c>
      <c r="H8" s="1" t="s">
        <v>14</v>
      </c>
      <c r="I8" s="1"/>
      <c r="J8" s="1"/>
      <c r="K8" s="1"/>
      <c r="L8" s="1"/>
      <c r="M8" s="1"/>
      <c r="N8" s="1"/>
    </row>
    <row r="9" spans="2:14">
      <c r="B9" s="2" t="s">
        <v>6</v>
      </c>
      <c r="C9" s="4">
        <f>SUMPRODUCT(('01_Transactions'!B$2:B$5000="Expense")*(YEAR('01_Transactions'!A$2:A$5000)=YEAR(DATE(YEAR(TODAY()),MONTH(TODAY()),1)))*(MONTH('01_Transactions'!A$2:A$5000)=MONTH(DATE(YEAR(TODAY()),MONTH(TODAY()),1)))*'01_Transactions'!L$2:L$5000)</f>
        <v>0</v>
      </c>
      <c r="H9" s="5" t="s">
        <v>15</v>
      </c>
      <c r="I9" s="5">
        <f>TEXT(DATE(YEAR(TODAY()),MONTH(TODAY())+(-5),1),"YYYY-MM")</f>
        <v>0</v>
      </c>
      <c r="J9" s="5">
        <f>TEXT(DATE(YEAR(TODAY()),MONTH(TODAY())+(-4),1),"YYYY-MM")</f>
        <v>0</v>
      </c>
      <c r="K9" s="5">
        <f>TEXT(DATE(YEAR(TODAY()),MONTH(TODAY())+(-3),1),"YYYY-MM")</f>
        <v>0</v>
      </c>
      <c r="L9" s="5">
        <f>TEXT(DATE(YEAR(TODAY()),MONTH(TODAY())+(-2),1),"YYYY-MM")</f>
        <v>0</v>
      </c>
      <c r="M9" s="5">
        <f>TEXT(DATE(YEAR(TODAY()),MONTH(TODAY())+(-1),1),"YYYY-MM")</f>
        <v>0</v>
      </c>
      <c r="N9" s="5">
        <f>TEXT(DATE(YEAR(TODAY()),MONTH(TODAY()),1),"YYYY-MM")</f>
        <v>0</v>
      </c>
    </row>
    <row r="10" spans="2:14">
      <c r="B10" s="2" t="s">
        <v>7</v>
      </c>
      <c r="C10" s="6">
        <f>C8-C9</f>
        <v>0</v>
      </c>
      <c r="E10" s="1" t="s">
        <v>9</v>
      </c>
      <c r="F10" s="1"/>
      <c r="H10" s="2">
        <f>IFERROR('90_Settings'!B2,"")</f>
        <v>0</v>
      </c>
      <c r="I10" s="4">
        <f>IFERROR(SUMPRODUCT(('01_Transactions'!F$2:F$5000='90_Settings'!B2)*(YEAR('01_Transactions'!A$2:A$5000)=YEAR(DATE(YEAR(TODAY()),MONTH(TODAY())+(-5),1)))*(MONTH('01_Transactions'!A$2:A$5000)=MONTH(DATE(YEAR(TODAY()),MONTH(TODAY())+(-5),1)))*'01_Transactions'!L$2:L$5000),0)</f>
        <v>0</v>
      </c>
      <c r="J10" s="4">
        <f>IFERROR(SUMPRODUCT(('01_Transactions'!F$2:F$5000='90_Settings'!B2)*(YEAR('01_Transactions'!A$2:A$5000)=YEAR(DATE(YEAR(TODAY()),MONTH(TODAY())+(-4),1)))*(MONTH('01_Transactions'!A$2:A$5000)=MONTH(DATE(YEAR(TODAY()),MONTH(TODAY())+(-4),1)))*'01_Transactions'!L$2:L$5000),0)</f>
        <v>0</v>
      </c>
      <c r="K10" s="4">
        <f>IFERROR(SUMPRODUCT(('01_Transactions'!F$2:F$5000='90_Settings'!B2)*(YEAR('01_Transactions'!A$2:A$5000)=YEAR(DATE(YEAR(TODAY()),MONTH(TODAY())+(-3),1)))*(MONTH('01_Transactions'!A$2:A$5000)=MONTH(DATE(YEAR(TODAY()),MONTH(TODAY())+(-3),1)))*'01_Transactions'!L$2:L$5000),0)</f>
        <v>0</v>
      </c>
      <c r="L10" s="4">
        <f>IFERROR(SUMPRODUCT(('01_Transactions'!F$2:F$5000='90_Settings'!B2)*(YEAR('01_Transactions'!A$2:A$5000)=YEAR(DATE(YEAR(TODAY()),MONTH(TODAY())+(-2),1)))*(MONTH('01_Transactions'!A$2:A$5000)=MONTH(DATE(YEAR(TODAY()),MONTH(TODAY())+(-2),1)))*'01_Transactions'!L$2:L$5000),0)</f>
        <v>0</v>
      </c>
      <c r="M10" s="4">
        <f>IFERROR(SUMPRODUCT(('01_Transactions'!F$2:F$5000='90_Settings'!B2)*(YEAR('01_Transactions'!A$2:A$5000)=YEAR(DATE(YEAR(TODAY()),MONTH(TODAY())+(-1),1)))*(MONTH('01_Transactions'!A$2:A$5000)=MONTH(DATE(YEAR(TODAY()),MONTH(TODAY())+(-1),1)))*'01_Transactions'!L$2:L$5000),0)</f>
        <v>0</v>
      </c>
      <c r="N10" s="4">
        <f>IFERROR(SUMPRODUCT(('01_Transactions'!F$2:F$5000='90_Settings'!B2)*(YEAR('01_Transactions'!A$2:A$5000)=YEAR(DATE(YEAR(TODAY()),MONTH(TODAY()),1)))*(MONTH('01_Transactions'!A$2:A$5000)=MONTH(DATE(YEAR(TODAY()),MONTH(TODAY()),1)))*'01_Transactions'!L$2:L$5000),0)</f>
        <v>0</v>
      </c>
    </row>
    <row r="11" spans="2:14">
      <c r="E11" s="2">
        <f>IFERROR('04_Pockets'!A2,"")</f>
        <v>0</v>
      </c>
      <c r="F11" s="7">
        <f>IFERROR(SUMPRODUCT(('01_Transactions'!G$2:G$5000='04_Pockets'!A2)*'01_Transactions'!L$2:L$5000),0)</f>
        <v>0</v>
      </c>
      <c r="H11" s="2">
        <f>IFERROR('90_Settings'!B3,"")</f>
        <v>0</v>
      </c>
      <c r="I11" s="4">
        <f>IFERROR(SUMPRODUCT(('01_Transactions'!F$2:F$5000='90_Settings'!B3)*(YEAR('01_Transactions'!A$2:A$5000)=YEAR(DATE(YEAR(TODAY()),MONTH(TODAY())+(-5),1)))*(MONTH('01_Transactions'!A$2:A$5000)=MONTH(DATE(YEAR(TODAY()),MONTH(TODAY())+(-5),1)))*'01_Transactions'!L$2:L$5000),0)</f>
        <v>0</v>
      </c>
      <c r="J11" s="4">
        <f>IFERROR(SUMPRODUCT(('01_Transactions'!F$2:F$5000='90_Settings'!B3)*(YEAR('01_Transactions'!A$2:A$5000)=YEAR(DATE(YEAR(TODAY()),MONTH(TODAY())+(-4),1)))*(MONTH('01_Transactions'!A$2:A$5000)=MONTH(DATE(YEAR(TODAY()),MONTH(TODAY())+(-4),1)))*'01_Transactions'!L$2:L$5000),0)</f>
        <v>0</v>
      </c>
      <c r="K11" s="4">
        <f>IFERROR(SUMPRODUCT(('01_Transactions'!F$2:F$5000='90_Settings'!B3)*(YEAR('01_Transactions'!A$2:A$5000)=YEAR(DATE(YEAR(TODAY()),MONTH(TODAY())+(-3),1)))*(MONTH('01_Transactions'!A$2:A$5000)=MONTH(DATE(YEAR(TODAY()),MONTH(TODAY())+(-3),1)))*'01_Transactions'!L$2:L$5000),0)</f>
        <v>0</v>
      </c>
      <c r="L11" s="4">
        <f>IFERROR(SUMPRODUCT(('01_Transactions'!F$2:F$5000='90_Settings'!B3)*(YEAR('01_Transactions'!A$2:A$5000)=YEAR(DATE(YEAR(TODAY()),MONTH(TODAY())+(-2),1)))*(MONTH('01_Transactions'!A$2:A$5000)=MONTH(DATE(YEAR(TODAY()),MONTH(TODAY())+(-2),1)))*'01_Transactions'!L$2:L$5000),0)</f>
        <v>0</v>
      </c>
      <c r="M11" s="4">
        <f>IFERROR(SUMPRODUCT(('01_Transactions'!F$2:F$5000='90_Settings'!B3)*(YEAR('01_Transactions'!A$2:A$5000)=YEAR(DATE(YEAR(TODAY()),MONTH(TODAY())+(-1),1)))*(MONTH('01_Transactions'!A$2:A$5000)=MONTH(DATE(YEAR(TODAY()),MONTH(TODAY())+(-1),1)))*'01_Transactions'!L$2:L$5000),0)</f>
        <v>0</v>
      </c>
      <c r="N11" s="4">
        <f>IFERROR(SUMPRODUCT(('01_Transactions'!F$2:F$5000='90_Settings'!B3)*(YEAR('01_Transactions'!A$2:A$5000)=YEAR(DATE(YEAR(TODAY()),MONTH(TODAY()),1)))*(MONTH('01_Transactions'!A$2:A$5000)=MONTH(DATE(YEAR(TODAY()),MONTH(TODAY()),1)))*'01_Transactions'!L$2:L$5000),0)</f>
        <v>0</v>
      </c>
    </row>
    <row r="12" spans="2:14">
      <c r="E12" s="2">
        <f>IFERROR('04_Pockets'!A3,"")</f>
        <v>0</v>
      </c>
      <c r="F12" s="7">
        <f>IFERROR(SUMPRODUCT(('01_Transactions'!G$2:G$5000='04_Pockets'!A3)*'01_Transactions'!L$2:L$5000),0)</f>
        <v>0</v>
      </c>
      <c r="H12" s="2">
        <f>IFERROR('90_Settings'!B4,"")</f>
        <v>0</v>
      </c>
      <c r="I12" s="4">
        <f>IFERROR(SUMPRODUCT(('01_Transactions'!F$2:F$5000='90_Settings'!B4)*(YEAR('01_Transactions'!A$2:A$5000)=YEAR(DATE(YEAR(TODAY()),MONTH(TODAY())+(-5),1)))*(MONTH('01_Transactions'!A$2:A$5000)=MONTH(DATE(YEAR(TODAY()),MONTH(TODAY())+(-5),1)))*'01_Transactions'!L$2:L$5000),0)</f>
        <v>0</v>
      </c>
      <c r="J12" s="4">
        <f>IFERROR(SUMPRODUCT(('01_Transactions'!F$2:F$5000='90_Settings'!B4)*(YEAR('01_Transactions'!A$2:A$5000)=YEAR(DATE(YEAR(TODAY()),MONTH(TODAY())+(-4),1)))*(MONTH('01_Transactions'!A$2:A$5000)=MONTH(DATE(YEAR(TODAY()),MONTH(TODAY())+(-4),1)))*'01_Transactions'!L$2:L$5000),0)</f>
        <v>0</v>
      </c>
      <c r="K12" s="4">
        <f>IFERROR(SUMPRODUCT(('01_Transactions'!F$2:F$5000='90_Settings'!B4)*(YEAR('01_Transactions'!A$2:A$5000)=YEAR(DATE(YEAR(TODAY()),MONTH(TODAY())+(-3),1)))*(MONTH('01_Transactions'!A$2:A$5000)=MONTH(DATE(YEAR(TODAY()),MONTH(TODAY())+(-3),1)))*'01_Transactions'!L$2:L$5000),0)</f>
        <v>0</v>
      </c>
      <c r="L12" s="4">
        <f>IFERROR(SUMPRODUCT(('01_Transactions'!F$2:F$5000='90_Settings'!B4)*(YEAR('01_Transactions'!A$2:A$5000)=YEAR(DATE(YEAR(TODAY()),MONTH(TODAY())+(-2),1)))*(MONTH('01_Transactions'!A$2:A$5000)=MONTH(DATE(YEAR(TODAY()),MONTH(TODAY())+(-2),1)))*'01_Transactions'!L$2:L$5000),0)</f>
        <v>0</v>
      </c>
      <c r="M12" s="4">
        <f>IFERROR(SUMPRODUCT(('01_Transactions'!F$2:F$5000='90_Settings'!B4)*(YEAR('01_Transactions'!A$2:A$5000)=YEAR(DATE(YEAR(TODAY()),MONTH(TODAY())+(-1),1)))*(MONTH('01_Transactions'!A$2:A$5000)=MONTH(DATE(YEAR(TODAY()),MONTH(TODAY())+(-1),1)))*'01_Transactions'!L$2:L$5000),0)</f>
        <v>0</v>
      </c>
      <c r="N12" s="4">
        <f>IFERROR(SUMPRODUCT(('01_Transactions'!F$2:F$5000='90_Settings'!B4)*(YEAR('01_Transactions'!A$2:A$5000)=YEAR(DATE(YEAR(TODAY()),MONTH(TODAY()),1)))*(MONTH('01_Transactions'!A$2:A$5000)=MONTH(DATE(YEAR(TODAY()),MONTH(TODAY()),1)))*'01_Transactions'!L$2:L$5000),0)</f>
        <v>0</v>
      </c>
    </row>
    <row r="13" spans="2:14">
      <c r="E13" s="2">
        <f>IFERROR('04_Pockets'!A4,"")</f>
        <v>0</v>
      </c>
      <c r="F13" s="7">
        <f>IFERROR(SUMPRODUCT(('01_Transactions'!G$2:G$5000='04_Pockets'!A4)*'01_Transactions'!L$2:L$5000),0)</f>
        <v>0</v>
      </c>
      <c r="H13" s="2">
        <f>IFERROR('90_Settings'!B5,"")</f>
        <v>0</v>
      </c>
      <c r="I13" s="4">
        <f>IFERROR(SUMPRODUCT(('01_Transactions'!F$2:F$5000='90_Settings'!B5)*(YEAR('01_Transactions'!A$2:A$5000)=YEAR(DATE(YEAR(TODAY()),MONTH(TODAY())+(-5),1)))*(MONTH('01_Transactions'!A$2:A$5000)=MONTH(DATE(YEAR(TODAY()),MONTH(TODAY())+(-5),1)))*'01_Transactions'!L$2:L$5000),0)</f>
        <v>0</v>
      </c>
      <c r="J13" s="4">
        <f>IFERROR(SUMPRODUCT(('01_Transactions'!F$2:F$5000='90_Settings'!B5)*(YEAR('01_Transactions'!A$2:A$5000)=YEAR(DATE(YEAR(TODAY()),MONTH(TODAY())+(-4),1)))*(MONTH('01_Transactions'!A$2:A$5000)=MONTH(DATE(YEAR(TODAY()),MONTH(TODAY())+(-4),1)))*'01_Transactions'!L$2:L$5000),0)</f>
        <v>0</v>
      </c>
      <c r="K13" s="4">
        <f>IFERROR(SUMPRODUCT(('01_Transactions'!F$2:F$5000='90_Settings'!B5)*(YEAR('01_Transactions'!A$2:A$5000)=YEAR(DATE(YEAR(TODAY()),MONTH(TODAY())+(-3),1)))*(MONTH('01_Transactions'!A$2:A$5000)=MONTH(DATE(YEAR(TODAY()),MONTH(TODAY())+(-3),1)))*'01_Transactions'!L$2:L$5000),0)</f>
        <v>0</v>
      </c>
      <c r="L13" s="4">
        <f>IFERROR(SUMPRODUCT(('01_Transactions'!F$2:F$5000='90_Settings'!B5)*(YEAR('01_Transactions'!A$2:A$5000)=YEAR(DATE(YEAR(TODAY()),MONTH(TODAY())+(-2),1)))*(MONTH('01_Transactions'!A$2:A$5000)=MONTH(DATE(YEAR(TODAY()),MONTH(TODAY())+(-2),1)))*'01_Transactions'!L$2:L$5000),0)</f>
        <v>0</v>
      </c>
      <c r="M13" s="4">
        <f>IFERROR(SUMPRODUCT(('01_Transactions'!F$2:F$5000='90_Settings'!B5)*(YEAR('01_Transactions'!A$2:A$5000)=YEAR(DATE(YEAR(TODAY()),MONTH(TODAY())+(-1),1)))*(MONTH('01_Transactions'!A$2:A$5000)=MONTH(DATE(YEAR(TODAY()),MONTH(TODAY())+(-1),1)))*'01_Transactions'!L$2:L$5000),0)</f>
        <v>0</v>
      </c>
      <c r="N13" s="4">
        <f>IFERROR(SUMPRODUCT(('01_Transactions'!F$2:F$5000='90_Settings'!B5)*(YEAR('01_Transactions'!A$2:A$5000)=YEAR(DATE(YEAR(TODAY()),MONTH(TODAY()),1)))*(MONTH('01_Transactions'!A$2:A$5000)=MONTH(DATE(YEAR(TODAY()),MONTH(TODAY()),1)))*'01_Transactions'!L$2:L$5000),0)</f>
        <v>0</v>
      </c>
    </row>
    <row r="14" spans="2:14">
      <c r="H14" s="2">
        <f>IFERROR('90_Settings'!B6,"")</f>
        <v>0</v>
      </c>
      <c r="I14" s="4">
        <f>IFERROR(SUMPRODUCT(('01_Transactions'!F$2:F$5000='90_Settings'!B6)*(YEAR('01_Transactions'!A$2:A$5000)=YEAR(DATE(YEAR(TODAY()),MONTH(TODAY())+(-5),1)))*(MONTH('01_Transactions'!A$2:A$5000)=MONTH(DATE(YEAR(TODAY()),MONTH(TODAY())+(-5),1)))*'01_Transactions'!L$2:L$5000),0)</f>
        <v>0</v>
      </c>
      <c r="J14" s="4">
        <f>IFERROR(SUMPRODUCT(('01_Transactions'!F$2:F$5000='90_Settings'!B6)*(YEAR('01_Transactions'!A$2:A$5000)=YEAR(DATE(YEAR(TODAY()),MONTH(TODAY())+(-4),1)))*(MONTH('01_Transactions'!A$2:A$5000)=MONTH(DATE(YEAR(TODAY()),MONTH(TODAY())+(-4),1)))*'01_Transactions'!L$2:L$5000),0)</f>
        <v>0</v>
      </c>
      <c r="K14" s="4">
        <f>IFERROR(SUMPRODUCT(('01_Transactions'!F$2:F$5000='90_Settings'!B6)*(YEAR('01_Transactions'!A$2:A$5000)=YEAR(DATE(YEAR(TODAY()),MONTH(TODAY())+(-3),1)))*(MONTH('01_Transactions'!A$2:A$5000)=MONTH(DATE(YEAR(TODAY()),MONTH(TODAY())+(-3),1)))*'01_Transactions'!L$2:L$5000),0)</f>
        <v>0</v>
      </c>
      <c r="L14" s="4">
        <f>IFERROR(SUMPRODUCT(('01_Transactions'!F$2:F$5000='90_Settings'!B6)*(YEAR('01_Transactions'!A$2:A$5000)=YEAR(DATE(YEAR(TODAY()),MONTH(TODAY())+(-2),1)))*(MONTH('01_Transactions'!A$2:A$5000)=MONTH(DATE(YEAR(TODAY()),MONTH(TODAY())+(-2),1)))*'01_Transactions'!L$2:L$5000),0)</f>
        <v>0</v>
      </c>
      <c r="M14" s="4">
        <f>IFERROR(SUMPRODUCT(('01_Transactions'!F$2:F$5000='90_Settings'!B6)*(YEAR('01_Transactions'!A$2:A$5000)=YEAR(DATE(YEAR(TODAY()),MONTH(TODAY())+(-1),1)))*(MONTH('01_Transactions'!A$2:A$5000)=MONTH(DATE(YEAR(TODAY()),MONTH(TODAY())+(-1),1)))*'01_Transactions'!L$2:L$5000),0)</f>
        <v>0</v>
      </c>
      <c r="N14" s="4">
        <f>IFERROR(SUMPRODUCT(('01_Transactions'!F$2:F$5000='90_Settings'!B6)*(YEAR('01_Transactions'!A$2:A$5000)=YEAR(DATE(YEAR(TODAY()),MONTH(TODAY()),1)))*(MONTH('01_Transactions'!A$2:A$5000)=MONTH(DATE(YEAR(TODAY()),MONTH(TODAY()),1)))*'01_Transactions'!L$2:L$5000),0)</f>
        <v>0</v>
      </c>
    </row>
    <row r="15" spans="2:14">
      <c r="H15" s="2">
        <f>IFERROR('90_Settings'!B7,"")</f>
        <v>0</v>
      </c>
      <c r="I15" s="4">
        <f>IFERROR(SUMPRODUCT(('01_Transactions'!F$2:F$5000='90_Settings'!B7)*(YEAR('01_Transactions'!A$2:A$5000)=YEAR(DATE(YEAR(TODAY()),MONTH(TODAY())+(-5),1)))*(MONTH('01_Transactions'!A$2:A$5000)=MONTH(DATE(YEAR(TODAY()),MONTH(TODAY())+(-5),1)))*'01_Transactions'!L$2:L$5000),0)</f>
        <v>0</v>
      </c>
      <c r="J15" s="4">
        <f>IFERROR(SUMPRODUCT(('01_Transactions'!F$2:F$5000='90_Settings'!B7)*(YEAR('01_Transactions'!A$2:A$5000)=YEAR(DATE(YEAR(TODAY()),MONTH(TODAY())+(-4),1)))*(MONTH('01_Transactions'!A$2:A$5000)=MONTH(DATE(YEAR(TODAY()),MONTH(TODAY())+(-4),1)))*'01_Transactions'!L$2:L$5000),0)</f>
        <v>0</v>
      </c>
      <c r="K15" s="4">
        <f>IFERROR(SUMPRODUCT(('01_Transactions'!F$2:F$5000='90_Settings'!B7)*(YEAR('01_Transactions'!A$2:A$5000)=YEAR(DATE(YEAR(TODAY()),MONTH(TODAY())+(-3),1)))*(MONTH('01_Transactions'!A$2:A$5000)=MONTH(DATE(YEAR(TODAY()),MONTH(TODAY())+(-3),1)))*'01_Transactions'!L$2:L$5000),0)</f>
        <v>0</v>
      </c>
      <c r="L15" s="4">
        <f>IFERROR(SUMPRODUCT(('01_Transactions'!F$2:F$5000='90_Settings'!B7)*(YEAR('01_Transactions'!A$2:A$5000)=YEAR(DATE(YEAR(TODAY()),MONTH(TODAY())+(-2),1)))*(MONTH('01_Transactions'!A$2:A$5000)=MONTH(DATE(YEAR(TODAY()),MONTH(TODAY())+(-2),1)))*'01_Transactions'!L$2:L$5000),0)</f>
        <v>0</v>
      </c>
      <c r="M15" s="4">
        <f>IFERROR(SUMPRODUCT(('01_Transactions'!F$2:F$5000='90_Settings'!B7)*(YEAR('01_Transactions'!A$2:A$5000)=YEAR(DATE(YEAR(TODAY()),MONTH(TODAY())+(-1),1)))*(MONTH('01_Transactions'!A$2:A$5000)=MONTH(DATE(YEAR(TODAY()),MONTH(TODAY())+(-1),1)))*'01_Transactions'!L$2:L$5000),0)</f>
        <v>0</v>
      </c>
      <c r="N15" s="4">
        <f>IFERROR(SUMPRODUCT(('01_Transactions'!F$2:F$5000='90_Settings'!B7)*(YEAR('01_Transactions'!A$2:A$5000)=YEAR(DATE(YEAR(TODAY()),MONTH(TODAY()),1)))*(MONTH('01_Transactions'!A$2:A$5000)=MONTH(DATE(YEAR(TODAY()),MONTH(TODAY()),1)))*'01_Transactions'!L$2:L$5000),0)</f>
        <v>0</v>
      </c>
    </row>
  </sheetData>
  <sheetProtection sheet="1" objects="1" scenarios="1"/>
  <mergeCells count="6">
    <mergeCell ref="B2:C2"/>
    <mergeCell ref="B7:C7"/>
    <mergeCell ref="E2:F2"/>
    <mergeCell ref="E10:F10"/>
    <mergeCell ref="H2:N2"/>
    <mergeCell ref="H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7.7109375" customWidth="1"/>
    <col min="4" max="4" width="12.7109375" customWidth="1"/>
    <col min="5" max="5" width="14.7109375" customWidth="1"/>
    <col min="6" max="6" width="22.7109375" customWidth="1"/>
    <col min="7" max="8" width="14.7109375" customWidth="1"/>
    <col min="9" max="9" width="11.7109375" customWidth="1"/>
    <col min="10" max="10" width="42.7109375" customWidth="1"/>
    <col min="11" max="11" width="9.7109375" customWidth="1"/>
    <col min="12" max="12" width="16.7109375" customWidth="1"/>
    <col min="13" max="13" width="21.7109375" customWidth="1"/>
  </cols>
  <sheetData>
    <row r="1" spans="1:14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1573</v>
      </c>
      <c r="L1" s="5" t="s">
        <v>1574</v>
      </c>
      <c r="M1" s="5" t="s">
        <v>1575</v>
      </c>
    </row>
    <row r="2" spans="1:14">
      <c r="A2" t="s">
        <v>29</v>
      </c>
      <c r="B2" t="s">
        <v>381</v>
      </c>
      <c r="C2" t="s">
        <v>384</v>
      </c>
      <c r="D2">
        <v>39591</v>
      </c>
      <c r="E2" t="s">
        <v>396</v>
      </c>
      <c r="F2" t="s">
        <v>400</v>
      </c>
      <c r="I2" t="s">
        <v>417</v>
      </c>
      <c r="J2" t="s">
        <v>418</v>
      </c>
      <c r="K2" t="s">
        <v>903</v>
      </c>
      <c r="L2" s="8">
        <f>D2*N2</f>
        <v>0</v>
      </c>
      <c r="N2" s="8">
        <f>IF(E2="HUF", 1, IFERROR(VLOOKUP(A2&amp;E2, '91_Data_ExRates'!A:D, 4, FALSE), 1))</f>
        <v>0</v>
      </c>
    </row>
    <row r="3" spans="1:14">
      <c r="A3" t="s">
        <v>30</v>
      </c>
      <c r="B3" t="s">
        <v>381</v>
      </c>
      <c r="C3" t="s">
        <v>385</v>
      </c>
      <c r="D3">
        <v>500</v>
      </c>
      <c r="E3" t="s">
        <v>396</v>
      </c>
      <c r="F3" t="s">
        <v>401</v>
      </c>
      <c r="I3" t="s">
        <v>417</v>
      </c>
      <c r="J3" t="s">
        <v>419</v>
      </c>
      <c r="K3" t="s">
        <v>904</v>
      </c>
      <c r="L3" s="8">
        <f>D3*N3</f>
        <v>0</v>
      </c>
      <c r="N3" s="8">
        <f>IF(E3="HUF", 1, IFERROR(VLOOKUP(A3&amp;E3, '91_Data_ExRates'!A:D, 4, FALSE), 1))</f>
        <v>0</v>
      </c>
    </row>
    <row r="4" spans="1:14">
      <c r="A4" t="s">
        <v>30</v>
      </c>
      <c r="B4" t="s">
        <v>381</v>
      </c>
      <c r="C4" t="s">
        <v>384</v>
      </c>
      <c r="D4">
        <v>220</v>
      </c>
      <c r="E4" t="s">
        <v>396</v>
      </c>
      <c r="F4" t="s">
        <v>402</v>
      </c>
      <c r="I4" t="s">
        <v>417</v>
      </c>
      <c r="J4" t="s">
        <v>420</v>
      </c>
      <c r="K4" t="s">
        <v>905</v>
      </c>
      <c r="L4" s="8">
        <f>D4*N4</f>
        <v>0</v>
      </c>
      <c r="N4" s="8">
        <f>IF(E4="HUF", 1, IFERROR(VLOOKUP(A4&amp;E4, '91_Data_ExRates'!A:D, 4, FALSE), 1))</f>
        <v>0</v>
      </c>
    </row>
    <row r="5" spans="1:14">
      <c r="A5" t="s">
        <v>30</v>
      </c>
      <c r="B5" t="s">
        <v>381</v>
      </c>
      <c r="C5" t="s">
        <v>384</v>
      </c>
      <c r="D5">
        <v>220</v>
      </c>
      <c r="E5" t="s">
        <v>396</v>
      </c>
      <c r="F5" t="s">
        <v>402</v>
      </c>
      <c r="I5" t="s">
        <v>417</v>
      </c>
      <c r="J5" t="s">
        <v>421</v>
      </c>
      <c r="K5" t="s">
        <v>906</v>
      </c>
      <c r="L5" s="8">
        <f>D5*N5</f>
        <v>0</v>
      </c>
      <c r="N5" s="8">
        <f>IF(E5="HUF", 1, IFERROR(VLOOKUP(A5&amp;E5, '91_Data_ExRates'!A:D, 4, FALSE), 1))</f>
        <v>0</v>
      </c>
    </row>
    <row r="6" spans="1:14">
      <c r="A6" t="s">
        <v>31</v>
      </c>
      <c r="B6" t="s">
        <v>381</v>
      </c>
      <c r="C6" t="s">
        <v>385</v>
      </c>
      <c r="D6">
        <v>2000</v>
      </c>
      <c r="E6" t="s">
        <v>396</v>
      </c>
      <c r="F6" t="s">
        <v>403</v>
      </c>
      <c r="I6" t="s">
        <v>417</v>
      </c>
      <c r="J6" t="s">
        <v>422</v>
      </c>
      <c r="K6" t="s">
        <v>907</v>
      </c>
      <c r="L6" s="8">
        <f>D6*N6</f>
        <v>0</v>
      </c>
      <c r="N6" s="8">
        <f>IF(E6="HUF", 1, IFERROR(VLOOKUP(A6&amp;E6, '91_Data_ExRates'!A:D, 4, FALSE), 1))</f>
        <v>0</v>
      </c>
    </row>
    <row r="7" spans="1:14">
      <c r="A7" t="s">
        <v>31</v>
      </c>
      <c r="B7" t="s">
        <v>381</v>
      </c>
      <c r="C7" t="s">
        <v>385</v>
      </c>
      <c r="D7">
        <v>850</v>
      </c>
      <c r="E7" t="s">
        <v>396</v>
      </c>
      <c r="F7" t="s">
        <v>404</v>
      </c>
      <c r="I7" t="s">
        <v>417</v>
      </c>
      <c r="J7" t="s">
        <v>423</v>
      </c>
      <c r="K7" t="s">
        <v>908</v>
      </c>
      <c r="L7" s="8">
        <f>D7*N7</f>
        <v>0</v>
      </c>
      <c r="N7" s="8">
        <f>IF(E7="HUF", 1, IFERROR(VLOOKUP(A7&amp;E7, '91_Data_ExRates'!A:D, 4, FALSE), 1))</f>
        <v>0</v>
      </c>
    </row>
    <row r="8" spans="1:14">
      <c r="A8" t="s">
        <v>32</v>
      </c>
      <c r="B8" t="s">
        <v>381</v>
      </c>
      <c r="C8" t="s">
        <v>384</v>
      </c>
      <c r="D8">
        <v>220</v>
      </c>
      <c r="E8" t="s">
        <v>396</v>
      </c>
      <c r="F8" t="s">
        <v>402</v>
      </c>
      <c r="I8" t="s">
        <v>417</v>
      </c>
      <c r="J8" t="s">
        <v>420</v>
      </c>
      <c r="K8" t="s">
        <v>909</v>
      </c>
      <c r="L8" s="8">
        <f>D8*N8</f>
        <v>0</v>
      </c>
      <c r="N8" s="8">
        <f>IF(E8="HUF", 1, IFERROR(VLOOKUP(A8&amp;E8, '91_Data_ExRates'!A:D, 4, FALSE), 1))</f>
        <v>0</v>
      </c>
    </row>
    <row r="9" spans="1:14">
      <c r="A9" t="s">
        <v>33</v>
      </c>
      <c r="B9" t="s">
        <v>382</v>
      </c>
      <c r="C9" t="s">
        <v>384</v>
      </c>
      <c r="D9">
        <v>15000</v>
      </c>
      <c r="E9" t="s">
        <v>396</v>
      </c>
      <c r="F9" t="s">
        <v>405</v>
      </c>
      <c r="I9" t="s">
        <v>417</v>
      </c>
      <c r="J9" t="s">
        <v>424</v>
      </c>
      <c r="K9" t="s">
        <v>910</v>
      </c>
      <c r="L9" s="8">
        <f>D9*N9</f>
        <v>0</v>
      </c>
      <c r="N9" s="8">
        <f>IF(E9="HUF", 1, IFERROR(VLOOKUP(A9&amp;E9, '91_Data_ExRates'!A:D, 4, FALSE), 1))</f>
        <v>0</v>
      </c>
    </row>
    <row r="10" spans="1:14">
      <c r="A10" t="s">
        <v>34</v>
      </c>
      <c r="B10" t="s">
        <v>382</v>
      </c>
      <c r="C10" t="s">
        <v>385</v>
      </c>
      <c r="D10">
        <v>50000</v>
      </c>
      <c r="E10" t="s">
        <v>396</v>
      </c>
      <c r="F10" t="s">
        <v>401</v>
      </c>
      <c r="I10" t="s">
        <v>417</v>
      </c>
      <c r="J10" t="s">
        <v>425</v>
      </c>
      <c r="K10" t="s">
        <v>911</v>
      </c>
      <c r="L10" s="8">
        <f>D10*N10</f>
        <v>0</v>
      </c>
      <c r="N10" s="8">
        <f>IF(E10="HUF", 1, IFERROR(VLOOKUP(A10&amp;E10, '91_Data_ExRates'!A:D, 4, FALSE), 1))</f>
        <v>0</v>
      </c>
    </row>
    <row r="11" spans="1:14">
      <c r="A11" t="s">
        <v>34</v>
      </c>
      <c r="B11" t="s">
        <v>382</v>
      </c>
      <c r="C11" t="s">
        <v>385</v>
      </c>
      <c r="D11">
        <v>20000</v>
      </c>
      <c r="E11" t="s">
        <v>396</v>
      </c>
      <c r="F11" t="s">
        <v>401</v>
      </c>
      <c r="I11" t="s">
        <v>417</v>
      </c>
      <c r="J11" t="s">
        <v>426</v>
      </c>
      <c r="K11" t="s">
        <v>912</v>
      </c>
      <c r="L11" s="8">
        <f>D11*N11</f>
        <v>0</v>
      </c>
      <c r="N11" s="8">
        <f>IF(E11="HUF", 1, IFERROR(VLOOKUP(A11&amp;E11, '91_Data_ExRates'!A:D, 4, FALSE), 1))</f>
        <v>0</v>
      </c>
    </row>
    <row r="12" spans="1:14">
      <c r="A12" t="s">
        <v>35</v>
      </c>
      <c r="B12" t="s">
        <v>381</v>
      </c>
      <c r="C12" t="s">
        <v>385</v>
      </c>
      <c r="D12">
        <v>890</v>
      </c>
      <c r="E12" t="s">
        <v>396</v>
      </c>
      <c r="F12" t="s">
        <v>404</v>
      </c>
      <c r="I12" t="s">
        <v>417</v>
      </c>
      <c r="J12" t="s">
        <v>427</v>
      </c>
      <c r="K12" t="s">
        <v>913</v>
      </c>
      <c r="L12" s="8">
        <f>D12*N12</f>
        <v>0</v>
      </c>
      <c r="N12" s="8">
        <f>IF(E12="HUF", 1, IFERROR(VLOOKUP(A12&amp;E12, '91_Data_ExRates'!A:D, 4, FALSE), 1))</f>
        <v>0</v>
      </c>
    </row>
    <row r="13" spans="1:14">
      <c r="A13" t="s">
        <v>35</v>
      </c>
      <c r="B13" t="s">
        <v>381</v>
      </c>
      <c r="C13" t="s">
        <v>385</v>
      </c>
      <c r="D13">
        <v>1490</v>
      </c>
      <c r="E13" t="s">
        <v>396</v>
      </c>
      <c r="F13" t="s">
        <v>404</v>
      </c>
      <c r="I13" t="s">
        <v>417</v>
      </c>
      <c r="J13" t="s">
        <v>428</v>
      </c>
      <c r="K13" t="s">
        <v>914</v>
      </c>
      <c r="L13" s="8">
        <f>D13*N13</f>
        <v>0</v>
      </c>
      <c r="N13" s="8">
        <f>IF(E13="HUF", 1, IFERROR(VLOOKUP(A13&amp;E13, '91_Data_ExRates'!A:D, 4, FALSE), 1))</f>
        <v>0</v>
      </c>
    </row>
    <row r="14" spans="1:14">
      <c r="A14" t="s">
        <v>35</v>
      </c>
      <c r="B14" t="s">
        <v>381</v>
      </c>
      <c r="C14" t="s">
        <v>385</v>
      </c>
      <c r="D14">
        <v>1500</v>
      </c>
      <c r="E14" t="s">
        <v>396</v>
      </c>
      <c r="F14" t="s">
        <v>404</v>
      </c>
      <c r="I14" t="s">
        <v>417</v>
      </c>
      <c r="J14" t="s">
        <v>429</v>
      </c>
      <c r="K14" t="s">
        <v>915</v>
      </c>
      <c r="L14" s="8">
        <f>D14*N14</f>
        <v>0</v>
      </c>
      <c r="N14" s="8">
        <f>IF(E14="HUF", 1, IFERROR(VLOOKUP(A14&amp;E14, '91_Data_ExRates'!A:D, 4, FALSE), 1))</f>
        <v>0</v>
      </c>
    </row>
    <row r="15" spans="1:14">
      <c r="A15" t="s">
        <v>36</v>
      </c>
      <c r="B15" t="s">
        <v>381</v>
      </c>
      <c r="C15" t="s">
        <v>385</v>
      </c>
      <c r="D15">
        <v>2100</v>
      </c>
      <c r="E15" t="s">
        <v>396</v>
      </c>
      <c r="F15" t="s">
        <v>403</v>
      </c>
      <c r="I15" t="s">
        <v>417</v>
      </c>
      <c r="J15" t="s">
        <v>430</v>
      </c>
      <c r="K15" t="s">
        <v>916</v>
      </c>
      <c r="L15" s="8">
        <f>D15*N15</f>
        <v>0</v>
      </c>
      <c r="N15" s="8">
        <f>IF(E15="HUF", 1, IFERROR(VLOOKUP(A15&amp;E15, '91_Data_ExRates'!A:D, 4, FALSE), 1))</f>
        <v>0</v>
      </c>
    </row>
    <row r="16" spans="1:14">
      <c r="A16" t="s">
        <v>37</v>
      </c>
      <c r="B16" t="s">
        <v>381</v>
      </c>
      <c r="C16" t="s">
        <v>385</v>
      </c>
      <c r="D16">
        <v>1900</v>
      </c>
      <c r="E16" t="s">
        <v>396</v>
      </c>
      <c r="F16" t="s">
        <v>406</v>
      </c>
      <c r="I16" t="s">
        <v>417</v>
      </c>
      <c r="J16" t="s">
        <v>431</v>
      </c>
      <c r="K16" t="s">
        <v>917</v>
      </c>
      <c r="L16" s="8">
        <f>D16*N16</f>
        <v>0</v>
      </c>
      <c r="N16" s="8">
        <f>IF(E16="HUF", 1, IFERROR(VLOOKUP(A16&amp;E16, '91_Data_ExRates'!A:D, 4, FALSE), 1))</f>
        <v>0</v>
      </c>
    </row>
    <row r="17" spans="1:14">
      <c r="A17" t="s">
        <v>38</v>
      </c>
      <c r="B17" t="s">
        <v>382</v>
      </c>
      <c r="C17" t="s">
        <v>384</v>
      </c>
      <c r="D17">
        <v>15000</v>
      </c>
      <c r="E17" t="s">
        <v>396</v>
      </c>
      <c r="F17" t="s">
        <v>405</v>
      </c>
      <c r="I17" t="s">
        <v>417</v>
      </c>
      <c r="J17" t="s">
        <v>432</v>
      </c>
      <c r="K17" t="s">
        <v>918</v>
      </c>
      <c r="L17" s="8">
        <f>D17*N17</f>
        <v>0</v>
      </c>
      <c r="N17" s="8">
        <f>IF(E17="HUF", 1, IFERROR(VLOOKUP(A17&amp;E17, '91_Data_ExRates'!A:D, 4, FALSE), 1))</f>
        <v>0</v>
      </c>
    </row>
    <row r="18" spans="1:14">
      <c r="A18" t="s">
        <v>38</v>
      </c>
      <c r="B18" t="s">
        <v>381</v>
      </c>
      <c r="C18" t="s">
        <v>384</v>
      </c>
      <c r="D18">
        <v>7342</v>
      </c>
      <c r="E18" t="s">
        <v>396</v>
      </c>
      <c r="F18" t="s">
        <v>403</v>
      </c>
      <c r="I18" t="s">
        <v>417</v>
      </c>
      <c r="J18" t="s">
        <v>433</v>
      </c>
      <c r="K18" t="s">
        <v>919</v>
      </c>
      <c r="L18" s="8">
        <f>D18*N18</f>
        <v>0</v>
      </c>
      <c r="N18" s="8">
        <f>IF(E18="HUF", 1, IFERROR(VLOOKUP(A18&amp;E18, '91_Data_ExRates'!A:D, 4, FALSE), 1))</f>
        <v>0</v>
      </c>
    </row>
    <row r="19" spans="1:14">
      <c r="A19" t="s">
        <v>39</v>
      </c>
      <c r="B19" t="s">
        <v>381</v>
      </c>
      <c r="C19" t="s">
        <v>385</v>
      </c>
      <c r="D19">
        <v>540</v>
      </c>
      <c r="E19" t="s">
        <v>396</v>
      </c>
      <c r="F19" t="s">
        <v>402</v>
      </c>
      <c r="I19" t="s">
        <v>417</v>
      </c>
      <c r="J19" t="s">
        <v>434</v>
      </c>
      <c r="K19" t="s">
        <v>920</v>
      </c>
      <c r="L19" s="8">
        <f>D19*N19</f>
        <v>0</v>
      </c>
      <c r="N19" s="8">
        <f>IF(E19="HUF", 1, IFERROR(VLOOKUP(A19&amp;E19, '91_Data_ExRates'!A:D, 4, FALSE), 1))</f>
        <v>0</v>
      </c>
    </row>
    <row r="20" spans="1:14">
      <c r="A20" t="s">
        <v>40</v>
      </c>
      <c r="B20" t="s">
        <v>381</v>
      </c>
      <c r="C20" t="s">
        <v>384</v>
      </c>
      <c r="D20">
        <v>220</v>
      </c>
      <c r="E20" t="s">
        <v>396</v>
      </c>
      <c r="F20" t="s">
        <v>402</v>
      </c>
      <c r="I20" t="s">
        <v>417</v>
      </c>
      <c r="J20" t="s">
        <v>435</v>
      </c>
      <c r="K20" t="s">
        <v>921</v>
      </c>
      <c r="L20" s="8">
        <f>D20*N20</f>
        <v>0</v>
      </c>
      <c r="N20" s="8">
        <f>IF(E20="HUF", 1, IFERROR(VLOOKUP(A20&amp;E20, '91_Data_ExRates'!A:D, 4, FALSE), 1))</f>
        <v>0</v>
      </c>
    </row>
    <row r="21" spans="1:14">
      <c r="A21" t="s">
        <v>41</v>
      </c>
      <c r="B21" t="s">
        <v>381</v>
      </c>
      <c r="C21" t="s">
        <v>384</v>
      </c>
      <c r="D21">
        <v>1912</v>
      </c>
      <c r="E21" t="s">
        <v>396</v>
      </c>
      <c r="F21" t="s">
        <v>401</v>
      </c>
      <c r="I21" t="s">
        <v>417</v>
      </c>
      <c r="J21" t="s">
        <v>436</v>
      </c>
      <c r="K21" t="s">
        <v>922</v>
      </c>
      <c r="L21" s="8">
        <f>D21*N21</f>
        <v>0</v>
      </c>
      <c r="N21" s="8">
        <f>IF(E21="HUF", 1, IFERROR(VLOOKUP(A21&amp;E21, '91_Data_ExRates'!A:D, 4, FALSE), 1))</f>
        <v>0</v>
      </c>
    </row>
    <row r="22" spans="1:14">
      <c r="A22" t="s">
        <v>42</v>
      </c>
      <c r="B22" t="s">
        <v>381</v>
      </c>
      <c r="C22" t="s">
        <v>384</v>
      </c>
      <c r="D22">
        <v>8596</v>
      </c>
      <c r="E22" t="s">
        <v>396</v>
      </c>
      <c r="F22" t="s">
        <v>403</v>
      </c>
      <c r="I22" t="s">
        <v>417</v>
      </c>
      <c r="J22" t="s">
        <v>437</v>
      </c>
      <c r="K22" t="s">
        <v>923</v>
      </c>
      <c r="L22" s="8">
        <f>D22*N22</f>
        <v>0</v>
      </c>
      <c r="N22" s="8">
        <f>IF(E22="HUF", 1, IFERROR(VLOOKUP(A22&amp;E22, '91_Data_ExRates'!A:D, 4, FALSE), 1))</f>
        <v>0</v>
      </c>
    </row>
    <row r="23" spans="1:14">
      <c r="A23" t="s">
        <v>43</v>
      </c>
      <c r="B23" t="s">
        <v>381</v>
      </c>
      <c r="C23" t="s">
        <v>384</v>
      </c>
      <c r="D23">
        <v>2587</v>
      </c>
      <c r="E23" t="s">
        <v>396</v>
      </c>
      <c r="F23" t="s">
        <v>400</v>
      </c>
      <c r="I23" t="s">
        <v>417</v>
      </c>
      <c r="J23" t="s">
        <v>438</v>
      </c>
      <c r="K23" t="s">
        <v>924</v>
      </c>
      <c r="L23" s="8">
        <f>D23*N23</f>
        <v>0</v>
      </c>
      <c r="N23" s="8">
        <f>IF(E23="HUF", 1, IFERROR(VLOOKUP(A23&amp;E23, '91_Data_ExRates'!A:D, 4, FALSE), 1))</f>
        <v>0</v>
      </c>
    </row>
    <row r="24" spans="1:14">
      <c r="A24" t="s">
        <v>43</v>
      </c>
      <c r="B24" t="s">
        <v>383</v>
      </c>
      <c r="C24" t="s">
        <v>384</v>
      </c>
      <c r="D24">
        <v>193641.55</v>
      </c>
      <c r="E24" t="s">
        <v>396</v>
      </c>
      <c r="I24" t="s">
        <v>417</v>
      </c>
      <c r="K24" t="s">
        <v>925</v>
      </c>
      <c r="L24" s="8">
        <f>D24*N24</f>
        <v>0</v>
      </c>
      <c r="N24" s="8">
        <f>IF(E24="HUF", 1, IFERROR(VLOOKUP(A24&amp;E24, '91_Data_ExRates'!A:D, 4, FALSE), 1))</f>
        <v>0</v>
      </c>
    </row>
    <row r="25" spans="1:14">
      <c r="A25" t="s">
        <v>44</v>
      </c>
      <c r="B25" t="s">
        <v>381</v>
      </c>
      <c r="C25" t="s">
        <v>384</v>
      </c>
      <c r="D25">
        <v>292</v>
      </c>
      <c r="E25" t="s">
        <v>396</v>
      </c>
      <c r="F25" t="s">
        <v>407</v>
      </c>
      <c r="I25" t="s">
        <v>417</v>
      </c>
      <c r="J25" t="s">
        <v>439</v>
      </c>
      <c r="K25" t="s">
        <v>926</v>
      </c>
      <c r="L25" s="8">
        <f>D25*N25</f>
        <v>0</v>
      </c>
      <c r="N25" s="8">
        <f>IF(E25="HUF", 1, IFERROR(VLOOKUP(A25&amp;E25, '91_Data_ExRates'!A:D, 4, FALSE), 1))</f>
        <v>0</v>
      </c>
    </row>
    <row r="26" spans="1:14">
      <c r="A26" t="s">
        <v>44</v>
      </c>
      <c r="B26" t="s">
        <v>383</v>
      </c>
      <c r="C26" t="s">
        <v>384</v>
      </c>
      <c r="D26">
        <v>50000</v>
      </c>
      <c r="E26" t="s">
        <v>396</v>
      </c>
      <c r="I26" t="s">
        <v>417</v>
      </c>
      <c r="K26" t="s">
        <v>927</v>
      </c>
      <c r="L26" s="8">
        <f>D26*N26</f>
        <v>0</v>
      </c>
      <c r="N26" s="8">
        <f>IF(E26="HUF", 1, IFERROR(VLOOKUP(A26&amp;E26, '91_Data_ExRates'!A:D, 4, FALSE), 1))</f>
        <v>0</v>
      </c>
    </row>
    <row r="27" spans="1:14">
      <c r="A27" t="s">
        <v>45</v>
      </c>
      <c r="B27" t="s">
        <v>381</v>
      </c>
      <c r="C27" t="s">
        <v>385</v>
      </c>
      <c r="D27">
        <v>1900</v>
      </c>
      <c r="E27" t="s">
        <v>396</v>
      </c>
      <c r="F27" t="s">
        <v>403</v>
      </c>
      <c r="I27" t="s">
        <v>417</v>
      </c>
      <c r="J27" t="s">
        <v>440</v>
      </c>
      <c r="K27" t="s">
        <v>928</v>
      </c>
      <c r="L27" s="8">
        <f>D27*N27</f>
        <v>0</v>
      </c>
      <c r="N27" s="8">
        <f>IF(E27="HUF", 1, IFERROR(VLOOKUP(A27&amp;E27, '91_Data_ExRates'!A:D, 4, FALSE), 1))</f>
        <v>0</v>
      </c>
    </row>
    <row r="28" spans="1:14">
      <c r="A28" t="s">
        <v>46</v>
      </c>
      <c r="B28" t="s">
        <v>381</v>
      </c>
      <c r="C28" t="s">
        <v>385</v>
      </c>
      <c r="D28">
        <v>680</v>
      </c>
      <c r="E28" t="s">
        <v>396</v>
      </c>
      <c r="F28" t="s">
        <v>404</v>
      </c>
      <c r="I28" t="s">
        <v>417</v>
      </c>
      <c r="K28" t="s">
        <v>929</v>
      </c>
      <c r="L28" s="8">
        <f>D28*N28</f>
        <v>0</v>
      </c>
      <c r="N28" s="8">
        <f>IF(E28="HUF", 1, IFERROR(VLOOKUP(A28&amp;E28, '91_Data_ExRates'!A:D, 4, FALSE), 1))</f>
        <v>0</v>
      </c>
    </row>
    <row r="29" spans="1:14">
      <c r="A29" t="s">
        <v>47</v>
      </c>
      <c r="B29" t="s">
        <v>381</v>
      </c>
      <c r="C29" t="s">
        <v>385</v>
      </c>
      <c r="D29">
        <v>850</v>
      </c>
      <c r="E29" t="s">
        <v>396</v>
      </c>
      <c r="F29" t="s">
        <v>404</v>
      </c>
      <c r="I29" t="s">
        <v>417</v>
      </c>
      <c r="J29" t="s">
        <v>441</v>
      </c>
      <c r="K29" t="s">
        <v>930</v>
      </c>
      <c r="L29" s="8">
        <f>D29*N29</f>
        <v>0</v>
      </c>
      <c r="N29" s="8">
        <f>IF(E29="HUF", 1, IFERROR(VLOOKUP(A29&amp;E29, '91_Data_ExRates'!A:D, 4, FALSE), 1))</f>
        <v>0</v>
      </c>
    </row>
    <row r="30" spans="1:14">
      <c r="A30" t="s">
        <v>47</v>
      </c>
      <c r="B30" t="s">
        <v>381</v>
      </c>
      <c r="C30" t="s">
        <v>385</v>
      </c>
      <c r="D30">
        <v>850</v>
      </c>
      <c r="E30" t="s">
        <v>396</v>
      </c>
      <c r="F30" t="s">
        <v>404</v>
      </c>
      <c r="I30" t="s">
        <v>417</v>
      </c>
      <c r="J30" t="s">
        <v>442</v>
      </c>
      <c r="K30" t="s">
        <v>931</v>
      </c>
      <c r="L30" s="8">
        <f>D30*N30</f>
        <v>0</v>
      </c>
      <c r="N30" s="8">
        <f>IF(E30="HUF", 1, IFERROR(VLOOKUP(A30&amp;E30, '91_Data_ExRates'!A:D, 4, FALSE), 1))</f>
        <v>0</v>
      </c>
    </row>
    <row r="31" spans="1:14">
      <c r="A31" t="s">
        <v>47</v>
      </c>
      <c r="B31" t="s">
        <v>381</v>
      </c>
      <c r="C31" t="s">
        <v>385</v>
      </c>
      <c r="D31">
        <v>1600</v>
      </c>
      <c r="E31" t="s">
        <v>396</v>
      </c>
      <c r="F31" t="s">
        <v>403</v>
      </c>
      <c r="I31" t="s">
        <v>417</v>
      </c>
      <c r="J31" t="s">
        <v>443</v>
      </c>
      <c r="K31" t="s">
        <v>932</v>
      </c>
      <c r="L31" s="8">
        <f>D31*N31</f>
        <v>0</v>
      </c>
      <c r="N31" s="8">
        <f>IF(E31="HUF", 1, IFERROR(VLOOKUP(A31&amp;E31, '91_Data_ExRates'!A:D, 4, FALSE), 1))</f>
        <v>0</v>
      </c>
    </row>
    <row r="32" spans="1:14">
      <c r="A32" t="s">
        <v>48</v>
      </c>
      <c r="B32" t="s">
        <v>382</v>
      </c>
      <c r="C32" t="s">
        <v>386</v>
      </c>
      <c r="D32">
        <v>225644</v>
      </c>
      <c r="E32" t="s">
        <v>396</v>
      </c>
      <c r="F32" t="s">
        <v>408</v>
      </c>
      <c r="I32" t="s">
        <v>417</v>
      </c>
      <c r="K32" t="s">
        <v>933</v>
      </c>
      <c r="L32" s="8">
        <f>D32*N32</f>
        <v>0</v>
      </c>
      <c r="N32" s="8">
        <f>IF(E32="HUF", 1, IFERROR(VLOOKUP(A32&amp;E32, '91_Data_ExRates'!A:D, 4, FALSE), 1))</f>
        <v>0</v>
      </c>
    </row>
    <row r="33" spans="1:14">
      <c r="A33" t="s">
        <v>48</v>
      </c>
      <c r="B33" t="s">
        <v>382</v>
      </c>
      <c r="C33" t="s">
        <v>385</v>
      </c>
      <c r="D33">
        <v>20000</v>
      </c>
      <c r="E33" t="s">
        <v>396</v>
      </c>
      <c r="F33" t="s">
        <v>401</v>
      </c>
      <c r="I33" t="s">
        <v>417</v>
      </c>
      <c r="J33" t="s">
        <v>444</v>
      </c>
      <c r="K33" t="s">
        <v>934</v>
      </c>
      <c r="L33" s="8">
        <f>D33*N33</f>
        <v>0</v>
      </c>
      <c r="N33" s="8">
        <f>IF(E33="HUF", 1, IFERROR(VLOOKUP(A33&amp;E33, '91_Data_ExRates'!A:D, 4, FALSE), 1))</f>
        <v>0</v>
      </c>
    </row>
    <row r="34" spans="1:14">
      <c r="A34" t="s">
        <v>48</v>
      </c>
      <c r="B34" t="s">
        <v>381</v>
      </c>
      <c r="C34" t="s">
        <v>385</v>
      </c>
      <c r="D34">
        <v>20000</v>
      </c>
      <c r="E34" t="s">
        <v>396</v>
      </c>
      <c r="F34" t="s">
        <v>403</v>
      </c>
      <c r="I34" t="s">
        <v>417</v>
      </c>
      <c r="J34" t="s">
        <v>445</v>
      </c>
      <c r="K34" t="s">
        <v>935</v>
      </c>
      <c r="L34" s="8">
        <f>D34*N34</f>
        <v>0</v>
      </c>
      <c r="N34" s="8">
        <f>IF(E34="HUF", 1, IFERROR(VLOOKUP(A34&amp;E34, '91_Data_ExRates'!A:D, 4, FALSE), 1))</f>
        <v>0</v>
      </c>
    </row>
    <row r="35" spans="1:14">
      <c r="A35" t="s">
        <v>49</v>
      </c>
      <c r="B35" t="s">
        <v>383</v>
      </c>
      <c r="C35" t="s">
        <v>386</v>
      </c>
      <c r="D35">
        <v>225644</v>
      </c>
      <c r="E35" t="s">
        <v>396</v>
      </c>
      <c r="I35" t="s">
        <v>417</v>
      </c>
      <c r="K35" t="s">
        <v>936</v>
      </c>
      <c r="L35" s="8">
        <f>D35*N35</f>
        <v>0</v>
      </c>
      <c r="N35" s="8">
        <f>IF(E35="HUF", 1, IFERROR(VLOOKUP(A35&amp;E35, '91_Data_ExRates'!A:D, 4, FALSE), 1))</f>
        <v>0</v>
      </c>
    </row>
    <row r="36" spans="1:14">
      <c r="A36" t="s">
        <v>50</v>
      </c>
      <c r="B36" t="s">
        <v>381</v>
      </c>
      <c r="C36" t="s">
        <v>384</v>
      </c>
      <c r="D36">
        <v>1590</v>
      </c>
      <c r="E36" t="s">
        <v>396</v>
      </c>
      <c r="F36" t="s">
        <v>404</v>
      </c>
      <c r="I36" t="s">
        <v>417</v>
      </c>
      <c r="J36" t="s">
        <v>446</v>
      </c>
      <c r="K36" t="s">
        <v>937</v>
      </c>
      <c r="L36" s="8">
        <f>D36*N36</f>
        <v>0</v>
      </c>
      <c r="N36" s="8">
        <f>IF(E36="HUF", 1, IFERROR(VLOOKUP(A36&amp;E36, '91_Data_ExRates'!A:D, 4, FALSE), 1))</f>
        <v>0</v>
      </c>
    </row>
    <row r="37" spans="1:14">
      <c r="A37" t="s">
        <v>50</v>
      </c>
      <c r="B37" t="s">
        <v>381</v>
      </c>
      <c r="C37" t="s">
        <v>384</v>
      </c>
      <c r="D37">
        <v>190</v>
      </c>
      <c r="E37" t="s">
        <v>396</v>
      </c>
      <c r="F37" t="s">
        <v>402</v>
      </c>
      <c r="I37" t="s">
        <v>417</v>
      </c>
      <c r="J37" t="s">
        <v>447</v>
      </c>
      <c r="K37" t="s">
        <v>938</v>
      </c>
      <c r="L37" s="8">
        <f>D37*N37</f>
        <v>0</v>
      </c>
      <c r="N37" s="8">
        <f>IF(E37="HUF", 1, IFERROR(VLOOKUP(A37&amp;E37, '91_Data_ExRates'!A:D, 4, FALSE), 1))</f>
        <v>0</v>
      </c>
    </row>
    <row r="38" spans="1:14">
      <c r="A38" t="s">
        <v>51</v>
      </c>
      <c r="B38" t="s">
        <v>381</v>
      </c>
      <c r="C38" t="s">
        <v>384</v>
      </c>
      <c r="D38">
        <v>1790</v>
      </c>
      <c r="E38" t="s">
        <v>396</v>
      </c>
      <c r="F38" t="s">
        <v>404</v>
      </c>
      <c r="I38" t="s">
        <v>417</v>
      </c>
      <c r="J38" t="s">
        <v>448</v>
      </c>
      <c r="K38" t="s">
        <v>939</v>
      </c>
      <c r="L38" s="8">
        <f>D38*N38</f>
        <v>0</v>
      </c>
      <c r="N38" s="8">
        <f>IF(E38="HUF", 1, IFERROR(VLOOKUP(A38&amp;E38, '91_Data_ExRates'!A:D, 4, FALSE), 1))</f>
        <v>0</v>
      </c>
    </row>
    <row r="39" spans="1:14">
      <c r="A39" t="s">
        <v>52</v>
      </c>
      <c r="B39" t="s">
        <v>381</v>
      </c>
      <c r="C39" t="s">
        <v>385</v>
      </c>
      <c r="D39">
        <v>26000</v>
      </c>
      <c r="E39" t="s">
        <v>396</v>
      </c>
      <c r="F39" t="s">
        <v>403</v>
      </c>
      <c r="I39" t="s">
        <v>417</v>
      </c>
      <c r="J39" t="s">
        <v>449</v>
      </c>
      <c r="K39" t="s">
        <v>940</v>
      </c>
      <c r="L39" s="8">
        <f>D39*N39</f>
        <v>0</v>
      </c>
      <c r="N39" s="8">
        <f>IF(E39="HUF", 1, IFERROR(VLOOKUP(A39&amp;E39, '91_Data_ExRates'!A:D, 4, FALSE), 1))</f>
        <v>0</v>
      </c>
    </row>
    <row r="40" spans="1:14">
      <c r="A40" t="s">
        <v>52</v>
      </c>
      <c r="B40" t="s">
        <v>382</v>
      </c>
      <c r="C40" t="s">
        <v>387</v>
      </c>
      <c r="D40">
        <v>10000</v>
      </c>
      <c r="E40" t="s">
        <v>396</v>
      </c>
      <c r="F40" t="s">
        <v>401</v>
      </c>
      <c r="I40" t="s">
        <v>417</v>
      </c>
      <c r="J40" t="s">
        <v>450</v>
      </c>
      <c r="K40" t="s">
        <v>941</v>
      </c>
      <c r="L40" s="8">
        <f>D40*N40</f>
        <v>0</v>
      </c>
      <c r="N40" s="8">
        <f>IF(E40="HUF", 1, IFERROR(VLOOKUP(A40&amp;E40, '91_Data_ExRates'!A:D, 4, FALSE), 1))</f>
        <v>0</v>
      </c>
    </row>
    <row r="41" spans="1:14">
      <c r="A41" t="s">
        <v>53</v>
      </c>
      <c r="B41" t="s">
        <v>381</v>
      </c>
      <c r="C41" t="s">
        <v>385</v>
      </c>
      <c r="D41">
        <v>1900</v>
      </c>
      <c r="E41" t="s">
        <v>396</v>
      </c>
      <c r="F41" t="s">
        <v>404</v>
      </c>
      <c r="I41" t="s">
        <v>417</v>
      </c>
      <c r="J41" t="s">
        <v>451</v>
      </c>
      <c r="K41" t="s">
        <v>942</v>
      </c>
      <c r="L41" s="8">
        <f>D41*N41</f>
        <v>0</v>
      </c>
      <c r="N41" s="8">
        <f>IF(E41="HUF", 1, IFERROR(VLOOKUP(A41&amp;E41, '91_Data_ExRates'!A:D, 4, FALSE), 1))</f>
        <v>0</v>
      </c>
    </row>
    <row r="42" spans="1:14">
      <c r="A42" t="s">
        <v>53</v>
      </c>
      <c r="B42" t="s">
        <v>382</v>
      </c>
      <c r="C42" t="s">
        <v>384</v>
      </c>
      <c r="D42">
        <v>160000</v>
      </c>
      <c r="E42" t="s">
        <v>396</v>
      </c>
      <c r="F42" t="s">
        <v>409</v>
      </c>
      <c r="I42" t="s">
        <v>417</v>
      </c>
      <c r="J42" t="s">
        <v>452</v>
      </c>
      <c r="K42" t="s">
        <v>943</v>
      </c>
      <c r="L42" s="8">
        <f>D42*N42</f>
        <v>0</v>
      </c>
      <c r="N42" s="8">
        <f>IF(E42="HUF", 1, IFERROR(VLOOKUP(A42&amp;E42, '91_Data_ExRates'!A:D, 4, FALSE), 1))</f>
        <v>0</v>
      </c>
    </row>
    <row r="43" spans="1:14">
      <c r="A43" t="s">
        <v>53</v>
      </c>
      <c r="B43" t="s">
        <v>381</v>
      </c>
      <c r="C43" t="s">
        <v>385</v>
      </c>
      <c r="D43">
        <v>3700</v>
      </c>
      <c r="E43" t="s">
        <v>396</v>
      </c>
      <c r="F43" t="s">
        <v>403</v>
      </c>
      <c r="I43" t="s">
        <v>417</v>
      </c>
      <c r="J43" t="s">
        <v>453</v>
      </c>
      <c r="K43" t="s">
        <v>944</v>
      </c>
      <c r="L43" s="8">
        <f>D43*N43</f>
        <v>0</v>
      </c>
      <c r="N43" s="8">
        <f>IF(E43="HUF", 1, IFERROR(VLOOKUP(A43&amp;E43, '91_Data_ExRates'!A:D, 4, FALSE), 1))</f>
        <v>0</v>
      </c>
    </row>
    <row r="44" spans="1:14">
      <c r="A44" t="s">
        <v>54</v>
      </c>
      <c r="B44" t="s">
        <v>381</v>
      </c>
      <c r="C44" t="s">
        <v>384</v>
      </c>
      <c r="D44">
        <v>190</v>
      </c>
      <c r="E44" t="s">
        <v>396</v>
      </c>
      <c r="F44" t="s">
        <v>402</v>
      </c>
      <c r="I44" t="s">
        <v>417</v>
      </c>
      <c r="J44" t="s">
        <v>435</v>
      </c>
      <c r="K44" t="s">
        <v>945</v>
      </c>
      <c r="L44" s="8">
        <f>D44*N44</f>
        <v>0</v>
      </c>
      <c r="N44" s="8">
        <f>IF(E44="HUF", 1, IFERROR(VLOOKUP(A44&amp;E44, '91_Data_ExRates'!A:D, 4, FALSE), 1))</f>
        <v>0</v>
      </c>
    </row>
    <row r="45" spans="1:14">
      <c r="A45" t="s">
        <v>55</v>
      </c>
      <c r="B45" t="s">
        <v>382</v>
      </c>
      <c r="C45" t="s">
        <v>385</v>
      </c>
      <c r="D45">
        <v>3800</v>
      </c>
      <c r="E45" t="s">
        <v>396</v>
      </c>
      <c r="F45" t="s">
        <v>407</v>
      </c>
      <c r="I45" t="s">
        <v>417</v>
      </c>
      <c r="J45" t="s">
        <v>454</v>
      </c>
      <c r="K45" t="s">
        <v>946</v>
      </c>
      <c r="L45" s="8">
        <f>D45*N45</f>
        <v>0</v>
      </c>
      <c r="N45" s="8">
        <f>IF(E45="HUF", 1, IFERROR(VLOOKUP(A45&amp;E45, '91_Data_ExRates'!A:D, 4, FALSE), 1))</f>
        <v>0</v>
      </c>
    </row>
    <row r="46" spans="1:14">
      <c r="A46" t="s">
        <v>55</v>
      </c>
      <c r="B46" t="s">
        <v>382</v>
      </c>
      <c r="C46" t="s">
        <v>384</v>
      </c>
      <c r="D46">
        <v>21900</v>
      </c>
      <c r="E46" t="s">
        <v>396</v>
      </c>
      <c r="F46" t="s">
        <v>407</v>
      </c>
      <c r="I46" t="s">
        <v>417</v>
      </c>
      <c r="J46" t="s">
        <v>455</v>
      </c>
      <c r="K46" t="s">
        <v>947</v>
      </c>
      <c r="L46" s="8">
        <f>D46*N46</f>
        <v>0</v>
      </c>
      <c r="N46" s="8">
        <f>IF(E46="HUF", 1, IFERROR(VLOOKUP(A46&amp;E46, '91_Data_ExRates'!A:D, 4, FALSE), 1))</f>
        <v>0</v>
      </c>
    </row>
    <row r="47" spans="1:14">
      <c r="A47" t="s">
        <v>56</v>
      </c>
      <c r="B47" t="s">
        <v>381</v>
      </c>
      <c r="C47" t="s">
        <v>385</v>
      </c>
      <c r="D47">
        <v>1400</v>
      </c>
      <c r="E47" t="s">
        <v>396</v>
      </c>
      <c r="F47" t="s">
        <v>404</v>
      </c>
      <c r="I47" t="s">
        <v>417</v>
      </c>
      <c r="J47" t="s">
        <v>456</v>
      </c>
      <c r="K47" t="s">
        <v>948</v>
      </c>
      <c r="L47" s="8">
        <f>D47*N47</f>
        <v>0</v>
      </c>
      <c r="N47" s="8">
        <f>IF(E47="HUF", 1, IFERROR(VLOOKUP(A47&amp;E47, '91_Data_ExRates'!A:D, 4, FALSE), 1))</f>
        <v>0</v>
      </c>
    </row>
    <row r="48" spans="1:14">
      <c r="A48" t="s">
        <v>57</v>
      </c>
      <c r="B48" t="s">
        <v>381</v>
      </c>
      <c r="C48" t="s">
        <v>384</v>
      </c>
      <c r="D48">
        <v>190</v>
      </c>
      <c r="E48" t="s">
        <v>396</v>
      </c>
      <c r="F48" t="s">
        <v>402</v>
      </c>
      <c r="I48" t="s">
        <v>417</v>
      </c>
      <c r="K48" t="s">
        <v>949</v>
      </c>
      <c r="L48" s="8">
        <f>D48*N48</f>
        <v>0</v>
      </c>
      <c r="N48" s="8">
        <f>IF(E48="HUF", 1, IFERROR(VLOOKUP(A48&amp;E48, '91_Data_ExRates'!A:D, 4, FALSE), 1))</f>
        <v>0</v>
      </c>
    </row>
    <row r="49" spans="1:14">
      <c r="A49" t="s">
        <v>58</v>
      </c>
      <c r="B49" t="s">
        <v>383</v>
      </c>
      <c r="C49" t="s">
        <v>387</v>
      </c>
      <c r="D49">
        <v>10000</v>
      </c>
      <c r="E49" t="s">
        <v>396</v>
      </c>
      <c r="I49" t="s">
        <v>417</v>
      </c>
      <c r="J49" t="s">
        <v>457</v>
      </c>
      <c r="K49" t="s">
        <v>950</v>
      </c>
      <c r="L49" s="8">
        <f>D49*N49</f>
        <v>0</v>
      </c>
      <c r="N49" s="8">
        <f>IF(E49="HUF", 1, IFERROR(VLOOKUP(A49&amp;E49, '91_Data_ExRates'!A:D, 4, FALSE), 1))</f>
        <v>0</v>
      </c>
    </row>
    <row r="50" spans="1:14">
      <c r="A50" t="s">
        <v>59</v>
      </c>
      <c r="B50" t="s">
        <v>381</v>
      </c>
      <c r="C50" t="s">
        <v>384</v>
      </c>
      <c r="D50">
        <v>3680</v>
      </c>
      <c r="E50" t="s">
        <v>396</v>
      </c>
      <c r="F50" t="s">
        <v>407</v>
      </c>
      <c r="I50" t="s">
        <v>417</v>
      </c>
      <c r="J50" t="s">
        <v>458</v>
      </c>
      <c r="K50" t="s">
        <v>951</v>
      </c>
      <c r="L50" s="8">
        <f>D50*N50</f>
        <v>0</v>
      </c>
      <c r="N50" s="8">
        <f>IF(E50="HUF", 1, IFERROR(VLOOKUP(A50&amp;E50, '91_Data_ExRates'!A:D, 4, FALSE), 1))</f>
        <v>0</v>
      </c>
    </row>
    <row r="51" spans="1:14">
      <c r="A51" t="s">
        <v>60</v>
      </c>
      <c r="B51" t="s">
        <v>381</v>
      </c>
      <c r="C51" t="s">
        <v>385</v>
      </c>
      <c r="D51">
        <v>1400</v>
      </c>
      <c r="E51" t="s">
        <v>396</v>
      </c>
      <c r="F51" t="s">
        <v>404</v>
      </c>
      <c r="I51" t="s">
        <v>417</v>
      </c>
      <c r="J51" t="s">
        <v>459</v>
      </c>
      <c r="K51" t="s">
        <v>952</v>
      </c>
      <c r="L51" s="8">
        <f>D51*N51</f>
        <v>0</v>
      </c>
      <c r="N51" s="8">
        <f>IF(E51="HUF", 1, IFERROR(VLOOKUP(A51&amp;E51, '91_Data_ExRates'!A:D, 4, FALSE), 1))</f>
        <v>0</v>
      </c>
    </row>
    <row r="52" spans="1:14">
      <c r="A52" t="s">
        <v>61</v>
      </c>
      <c r="B52" t="s">
        <v>381</v>
      </c>
      <c r="C52" t="s">
        <v>384</v>
      </c>
      <c r="D52">
        <v>190</v>
      </c>
      <c r="E52" t="s">
        <v>396</v>
      </c>
      <c r="F52" t="s">
        <v>402</v>
      </c>
      <c r="I52" t="s">
        <v>417</v>
      </c>
      <c r="K52" t="s">
        <v>953</v>
      </c>
      <c r="L52" s="8">
        <f>D52*N52</f>
        <v>0</v>
      </c>
      <c r="N52" s="8">
        <f>IF(E52="HUF", 1, IFERROR(VLOOKUP(A52&amp;E52, '91_Data_ExRates'!A:D, 4, FALSE), 1))</f>
        <v>0</v>
      </c>
    </row>
    <row r="53" spans="1:14">
      <c r="A53" t="s">
        <v>62</v>
      </c>
      <c r="B53" t="s">
        <v>382</v>
      </c>
      <c r="C53" t="s">
        <v>385</v>
      </c>
      <c r="D53">
        <v>40000</v>
      </c>
      <c r="E53" t="s">
        <v>396</v>
      </c>
      <c r="F53" t="s">
        <v>401</v>
      </c>
      <c r="I53" t="s">
        <v>417</v>
      </c>
      <c r="J53" t="s">
        <v>460</v>
      </c>
      <c r="K53" t="s">
        <v>954</v>
      </c>
      <c r="L53" s="8">
        <f>D53*N53</f>
        <v>0</v>
      </c>
      <c r="N53" s="8">
        <f>IF(E53="HUF", 1, IFERROR(VLOOKUP(A53&amp;E53, '91_Data_ExRates'!A:D, 4, FALSE), 1))</f>
        <v>0</v>
      </c>
    </row>
    <row r="54" spans="1:14">
      <c r="A54" t="s">
        <v>62</v>
      </c>
      <c r="B54" t="s">
        <v>382</v>
      </c>
      <c r="C54" t="s">
        <v>385</v>
      </c>
      <c r="D54">
        <v>30000</v>
      </c>
      <c r="E54" t="s">
        <v>396</v>
      </c>
      <c r="F54" t="s">
        <v>401</v>
      </c>
      <c r="I54" t="s">
        <v>417</v>
      </c>
      <c r="J54" t="s">
        <v>461</v>
      </c>
      <c r="K54" t="s">
        <v>955</v>
      </c>
      <c r="L54" s="8">
        <f>D54*N54</f>
        <v>0</v>
      </c>
      <c r="N54" s="8">
        <f>IF(E54="HUF", 1, IFERROR(VLOOKUP(A54&amp;E54, '91_Data_ExRates'!A:D, 4, FALSE), 1))</f>
        <v>0</v>
      </c>
    </row>
    <row r="55" spans="1:14">
      <c r="A55" t="s">
        <v>63</v>
      </c>
      <c r="B55" t="s">
        <v>381</v>
      </c>
      <c r="C55" t="s">
        <v>385</v>
      </c>
      <c r="D55">
        <v>1900</v>
      </c>
      <c r="E55" t="s">
        <v>396</v>
      </c>
      <c r="F55" t="s">
        <v>406</v>
      </c>
      <c r="I55" t="s">
        <v>417</v>
      </c>
      <c r="J55" t="s">
        <v>462</v>
      </c>
      <c r="K55" t="s">
        <v>956</v>
      </c>
      <c r="L55" s="8">
        <f>D55*N55</f>
        <v>0</v>
      </c>
      <c r="N55" s="8">
        <f>IF(E55="HUF", 1, IFERROR(VLOOKUP(A55&amp;E55, '91_Data_ExRates'!A:D, 4, FALSE), 1))</f>
        <v>0</v>
      </c>
    </row>
    <row r="56" spans="1:14">
      <c r="A56" t="s">
        <v>64</v>
      </c>
      <c r="B56" t="s">
        <v>381</v>
      </c>
      <c r="C56" t="s">
        <v>385</v>
      </c>
      <c r="D56">
        <v>1900</v>
      </c>
      <c r="E56" t="s">
        <v>396</v>
      </c>
      <c r="F56" t="s">
        <v>403</v>
      </c>
      <c r="I56" t="s">
        <v>417</v>
      </c>
      <c r="J56" t="s">
        <v>463</v>
      </c>
      <c r="K56" t="s">
        <v>957</v>
      </c>
      <c r="L56" s="8">
        <f>D56*N56</f>
        <v>0</v>
      </c>
      <c r="N56" s="8">
        <f>IF(E56="HUF", 1, IFERROR(VLOOKUP(A56&amp;E56, '91_Data_ExRates'!A:D, 4, FALSE), 1))</f>
        <v>0</v>
      </c>
    </row>
    <row r="57" spans="1:14">
      <c r="A57" t="s">
        <v>65</v>
      </c>
      <c r="B57" t="s">
        <v>382</v>
      </c>
      <c r="C57" t="s">
        <v>384</v>
      </c>
      <c r="D57">
        <v>8900</v>
      </c>
      <c r="E57" t="s">
        <v>396</v>
      </c>
      <c r="F57" t="s">
        <v>405</v>
      </c>
      <c r="I57" t="s">
        <v>417</v>
      </c>
      <c r="J57" t="s">
        <v>464</v>
      </c>
      <c r="K57" t="s">
        <v>958</v>
      </c>
      <c r="L57" s="8">
        <f>D57*N57</f>
        <v>0</v>
      </c>
      <c r="N57" s="8">
        <f>IF(E57="HUF", 1, IFERROR(VLOOKUP(A57&amp;E57, '91_Data_ExRates'!A:D, 4, FALSE), 1))</f>
        <v>0</v>
      </c>
    </row>
    <row r="58" spans="1:14">
      <c r="A58" t="s">
        <v>66</v>
      </c>
      <c r="B58" t="s">
        <v>382</v>
      </c>
      <c r="C58" t="s">
        <v>384</v>
      </c>
      <c r="D58">
        <v>80000</v>
      </c>
      <c r="E58" t="s">
        <v>396</v>
      </c>
      <c r="F58" t="s">
        <v>409</v>
      </c>
      <c r="I58" t="s">
        <v>417</v>
      </c>
      <c r="K58" t="s">
        <v>959</v>
      </c>
      <c r="L58" s="8">
        <f>D58*N58</f>
        <v>0</v>
      </c>
      <c r="N58" s="8">
        <f>IF(E58="HUF", 1, IFERROR(VLOOKUP(A58&amp;E58, '91_Data_ExRates'!A:D, 4, FALSE), 1))</f>
        <v>0</v>
      </c>
    </row>
    <row r="59" spans="1:14">
      <c r="A59" t="s">
        <v>67</v>
      </c>
      <c r="B59" t="s">
        <v>381</v>
      </c>
      <c r="C59" t="s">
        <v>384</v>
      </c>
      <c r="D59">
        <v>220</v>
      </c>
      <c r="E59" t="s">
        <v>396</v>
      </c>
      <c r="F59" t="s">
        <v>402</v>
      </c>
      <c r="I59" t="s">
        <v>417</v>
      </c>
      <c r="K59" t="s">
        <v>960</v>
      </c>
      <c r="L59" s="8">
        <f>D59*N59</f>
        <v>0</v>
      </c>
      <c r="N59" s="8">
        <f>IF(E59="HUF", 1, IFERROR(VLOOKUP(A59&amp;E59, '91_Data_ExRates'!A:D, 4, FALSE), 1))</f>
        <v>0</v>
      </c>
    </row>
    <row r="60" spans="1:14">
      <c r="A60" t="s">
        <v>67</v>
      </c>
      <c r="B60" t="s">
        <v>381</v>
      </c>
      <c r="C60" t="s">
        <v>384</v>
      </c>
      <c r="D60">
        <v>1350</v>
      </c>
      <c r="E60" t="s">
        <v>396</v>
      </c>
      <c r="F60" t="s">
        <v>403</v>
      </c>
      <c r="I60" t="s">
        <v>417</v>
      </c>
      <c r="J60" t="s">
        <v>465</v>
      </c>
      <c r="K60" t="s">
        <v>961</v>
      </c>
      <c r="L60" s="8">
        <f>D60*N60</f>
        <v>0</v>
      </c>
      <c r="N60" s="8">
        <f>IF(E60="HUF", 1, IFERROR(VLOOKUP(A60&amp;E60, '91_Data_ExRates'!A:D, 4, FALSE), 1))</f>
        <v>0</v>
      </c>
    </row>
    <row r="61" spans="1:14">
      <c r="A61" t="s">
        <v>67</v>
      </c>
      <c r="B61" t="s">
        <v>381</v>
      </c>
      <c r="C61" t="s">
        <v>385</v>
      </c>
      <c r="D61">
        <v>2000</v>
      </c>
      <c r="E61" t="s">
        <v>396</v>
      </c>
      <c r="F61" t="s">
        <v>404</v>
      </c>
      <c r="I61" t="s">
        <v>417</v>
      </c>
      <c r="J61" t="s">
        <v>466</v>
      </c>
      <c r="K61" t="s">
        <v>962</v>
      </c>
      <c r="L61" s="8">
        <f>D61*N61</f>
        <v>0</v>
      </c>
      <c r="N61" s="8">
        <f>IF(E61="HUF", 1, IFERROR(VLOOKUP(A61&amp;E61, '91_Data_ExRates'!A:D, 4, FALSE), 1))</f>
        <v>0</v>
      </c>
    </row>
    <row r="62" spans="1:14">
      <c r="A62" t="s">
        <v>68</v>
      </c>
      <c r="B62" t="s">
        <v>381</v>
      </c>
      <c r="C62" t="s">
        <v>384</v>
      </c>
      <c r="D62">
        <v>1615</v>
      </c>
      <c r="E62" t="s">
        <v>396</v>
      </c>
      <c r="F62" t="s">
        <v>403</v>
      </c>
      <c r="I62" t="s">
        <v>417</v>
      </c>
      <c r="J62" t="s">
        <v>467</v>
      </c>
      <c r="K62" t="s">
        <v>963</v>
      </c>
      <c r="L62" s="8">
        <f>D62*N62</f>
        <v>0</v>
      </c>
      <c r="N62" s="8">
        <f>IF(E62="HUF", 1, IFERROR(VLOOKUP(A62&amp;E62, '91_Data_ExRates'!A:D, 4, FALSE), 1))</f>
        <v>0</v>
      </c>
    </row>
    <row r="63" spans="1:14">
      <c r="A63" t="s">
        <v>69</v>
      </c>
      <c r="B63" t="s">
        <v>381</v>
      </c>
      <c r="C63" t="s">
        <v>385</v>
      </c>
      <c r="D63">
        <v>1040</v>
      </c>
      <c r="E63" t="s">
        <v>396</v>
      </c>
      <c r="F63" t="s">
        <v>404</v>
      </c>
      <c r="I63" t="s">
        <v>417</v>
      </c>
      <c r="J63" t="s">
        <v>468</v>
      </c>
      <c r="K63" t="s">
        <v>964</v>
      </c>
      <c r="L63" s="8">
        <f>D63*N63</f>
        <v>0</v>
      </c>
      <c r="N63" s="8">
        <f>IF(E63="HUF", 1, IFERROR(VLOOKUP(A63&amp;E63, '91_Data_ExRates'!A:D, 4, FALSE), 1))</f>
        <v>0</v>
      </c>
    </row>
    <row r="64" spans="1:14">
      <c r="A64" t="s">
        <v>69</v>
      </c>
      <c r="B64" t="s">
        <v>381</v>
      </c>
      <c r="C64" t="s">
        <v>384</v>
      </c>
      <c r="D64">
        <v>2570</v>
      </c>
      <c r="E64" t="s">
        <v>396</v>
      </c>
      <c r="F64" t="s">
        <v>404</v>
      </c>
      <c r="I64" t="s">
        <v>417</v>
      </c>
      <c r="J64" t="s">
        <v>469</v>
      </c>
      <c r="K64" t="s">
        <v>965</v>
      </c>
      <c r="L64" s="8">
        <f>D64*N64</f>
        <v>0</v>
      </c>
      <c r="N64" s="8">
        <f>IF(E64="HUF", 1, IFERROR(VLOOKUP(A64&amp;E64, '91_Data_ExRates'!A:D, 4, FALSE), 1))</f>
        <v>0</v>
      </c>
    </row>
    <row r="65" spans="1:14">
      <c r="A65" t="s">
        <v>69</v>
      </c>
      <c r="B65" t="s">
        <v>381</v>
      </c>
      <c r="C65" t="s">
        <v>385</v>
      </c>
      <c r="D65">
        <v>1000</v>
      </c>
      <c r="E65" t="s">
        <v>396</v>
      </c>
      <c r="F65" t="s">
        <v>404</v>
      </c>
      <c r="I65" t="s">
        <v>417</v>
      </c>
      <c r="J65" t="s">
        <v>470</v>
      </c>
      <c r="K65" t="s">
        <v>966</v>
      </c>
      <c r="L65" s="8">
        <f>D65*N65</f>
        <v>0</v>
      </c>
      <c r="N65" s="8">
        <f>IF(E65="HUF", 1, IFERROR(VLOOKUP(A65&amp;E65, '91_Data_ExRates'!A:D, 4, FALSE), 1))</f>
        <v>0</v>
      </c>
    </row>
    <row r="66" spans="1:14">
      <c r="A66" t="s">
        <v>69</v>
      </c>
      <c r="B66" t="s">
        <v>381</v>
      </c>
      <c r="C66" t="s">
        <v>385</v>
      </c>
      <c r="D66">
        <v>800</v>
      </c>
      <c r="E66" t="s">
        <v>396</v>
      </c>
      <c r="F66" t="s">
        <v>404</v>
      </c>
      <c r="I66" t="s">
        <v>417</v>
      </c>
      <c r="J66" t="s">
        <v>471</v>
      </c>
      <c r="K66" t="s">
        <v>967</v>
      </c>
      <c r="L66" s="8">
        <f>D66*N66</f>
        <v>0</v>
      </c>
      <c r="N66" s="8">
        <f>IF(E66="HUF", 1, IFERROR(VLOOKUP(A66&amp;E66, '91_Data_ExRates'!A:D, 4, FALSE), 1))</f>
        <v>0</v>
      </c>
    </row>
    <row r="67" spans="1:14">
      <c r="A67" t="s">
        <v>69</v>
      </c>
      <c r="B67" t="s">
        <v>381</v>
      </c>
      <c r="C67" t="s">
        <v>385</v>
      </c>
      <c r="D67">
        <v>1470</v>
      </c>
      <c r="E67" t="s">
        <v>396</v>
      </c>
      <c r="F67" t="s">
        <v>404</v>
      </c>
      <c r="I67" t="s">
        <v>417</v>
      </c>
      <c r="J67" t="s">
        <v>472</v>
      </c>
      <c r="K67" t="s">
        <v>968</v>
      </c>
      <c r="L67" s="8">
        <f>D67*N67</f>
        <v>0</v>
      </c>
      <c r="N67" s="8">
        <f>IF(E67="HUF", 1, IFERROR(VLOOKUP(A67&amp;E67, '91_Data_ExRates'!A:D, 4, FALSE), 1))</f>
        <v>0</v>
      </c>
    </row>
    <row r="68" spans="1:14">
      <c r="A68" t="s">
        <v>70</v>
      </c>
      <c r="B68" t="s">
        <v>381</v>
      </c>
      <c r="C68" t="s">
        <v>385</v>
      </c>
      <c r="D68">
        <v>2900</v>
      </c>
      <c r="E68" t="s">
        <v>396</v>
      </c>
      <c r="F68" t="s">
        <v>404</v>
      </c>
      <c r="I68" t="s">
        <v>417</v>
      </c>
      <c r="J68" t="s">
        <v>473</v>
      </c>
      <c r="K68" t="s">
        <v>969</v>
      </c>
      <c r="L68" s="8">
        <f>D68*N68</f>
        <v>0</v>
      </c>
      <c r="N68" s="8">
        <f>IF(E68="HUF", 1, IFERROR(VLOOKUP(A68&amp;E68, '91_Data_ExRates'!A:D, 4, FALSE), 1))</f>
        <v>0</v>
      </c>
    </row>
    <row r="69" spans="1:14">
      <c r="A69" t="s">
        <v>70</v>
      </c>
      <c r="B69" t="s">
        <v>381</v>
      </c>
      <c r="C69" t="s">
        <v>385</v>
      </c>
      <c r="D69">
        <v>1850</v>
      </c>
      <c r="E69" t="s">
        <v>396</v>
      </c>
      <c r="F69" t="s">
        <v>403</v>
      </c>
      <c r="I69" t="s">
        <v>417</v>
      </c>
      <c r="J69" t="s">
        <v>474</v>
      </c>
      <c r="K69" t="s">
        <v>970</v>
      </c>
      <c r="L69" s="8">
        <f>D69*N69</f>
        <v>0</v>
      </c>
      <c r="N69" s="8">
        <f>IF(E69="HUF", 1, IFERROR(VLOOKUP(A69&amp;E69, '91_Data_ExRates'!A:D, 4, FALSE), 1))</f>
        <v>0</v>
      </c>
    </row>
    <row r="70" spans="1:14">
      <c r="A70" t="s">
        <v>71</v>
      </c>
      <c r="B70" t="s">
        <v>381</v>
      </c>
      <c r="C70" t="s">
        <v>384</v>
      </c>
      <c r="D70">
        <v>900</v>
      </c>
      <c r="E70" t="s">
        <v>396</v>
      </c>
      <c r="F70" t="s">
        <v>403</v>
      </c>
      <c r="I70" t="s">
        <v>417</v>
      </c>
      <c r="J70" t="s">
        <v>475</v>
      </c>
      <c r="K70" t="s">
        <v>971</v>
      </c>
      <c r="L70" s="8">
        <f>D70*N70</f>
        <v>0</v>
      </c>
      <c r="N70" s="8">
        <f>IF(E70="HUF", 1, IFERROR(VLOOKUP(A70&amp;E70, '91_Data_ExRates'!A:D, 4, FALSE), 1))</f>
        <v>0</v>
      </c>
    </row>
    <row r="71" spans="1:14">
      <c r="A71" t="s">
        <v>72</v>
      </c>
      <c r="B71" t="s">
        <v>381</v>
      </c>
      <c r="C71" t="s">
        <v>384</v>
      </c>
      <c r="D71">
        <v>9460</v>
      </c>
      <c r="E71" t="s">
        <v>396</v>
      </c>
      <c r="F71" t="s">
        <v>401</v>
      </c>
      <c r="I71" t="s">
        <v>417</v>
      </c>
      <c r="J71" t="s">
        <v>476</v>
      </c>
      <c r="K71" t="s">
        <v>972</v>
      </c>
      <c r="L71" s="8">
        <f>D71*N71</f>
        <v>0</v>
      </c>
      <c r="N71" s="8">
        <f>IF(E71="HUF", 1, IFERROR(VLOOKUP(A71&amp;E71, '91_Data_ExRates'!A:D, 4, FALSE), 1))</f>
        <v>0</v>
      </c>
    </row>
    <row r="72" spans="1:14">
      <c r="A72" t="s">
        <v>73</v>
      </c>
      <c r="B72" t="s">
        <v>382</v>
      </c>
      <c r="C72" t="s">
        <v>384</v>
      </c>
      <c r="D72">
        <v>80000</v>
      </c>
      <c r="E72" t="s">
        <v>396</v>
      </c>
      <c r="F72" t="s">
        <v>409</v>
      </c>
      <c r="I72" t="s">
        <v>417</v>
      </c>
      <c r="K72" t="s">
        <v>973</v>
      </c>
      <c r="L72" s="8">
        <f>D72*N72</f>
        <v>0</v>
      </c>
      <c r="N72" s="8">
        <f>IF(E72="HUF", 1, IFERROR(VLOOKUP(A72&amp;E72, '91_Data_ExRates'!A:D, 4, FALSE), 1))</f>
        <v>0</v>
      </c>
    </row>
    <row r="73" spans="1:14">
      <c r="A73" t="s">
        <v>74</v>
      </c>
      <c r="B73" t="s">
        <v>381</v>
      </c>
      <c r="C73" t="s">
        <v>384</v>
      </c>
      <c r="D73">
        <v>330</v>
      </c>
      <c r="E73" t="s">
        <v>396</v>
      </c>
      <c r="F73" t="s">
        <v>403</v>
      </c>
      <c r="I73" t="s">
        <v>417</v>
      </c>
      <c r="J73" t="s">
        <v>477</v>
      </c>
      <c r="K73" t="s">
        <v>974</v>
      </c>
      <c r="L73" s="8">
        <f>D73*N73</f>
        <v>0</v>
      </c>
      <c r="N73" s="8">
        <f>IF(E73="HUF", 1, IFERROR(VLOOKUP(A73&amp;E73, '91_Data_ExRates'!A:D, 4, FALSE), 1))</f>
        <v>0</v>
      </c>
    </row>
    <row r="74" spans="1:14">
      <c r="A74" t="s">
        <v>75</v>
      </c>
      <c r="B74" t="s">
        <v>381</v>
      </c>
      <c r="C74" t="s">
        <v>385</v>
      </c>
      <c r="D74">
        <v>1600</v>
      </c>
      <c r="E74" t="s">
        <v>396</v>
      </c>
      <c r="F74" t="s">
        <v>404</v>
      </c>
      <c r="I74" t="s">
        <v>417</v>
      </c>
      <c r="J74" t="s">
        <v>478</v>
      </c>
      <c r="K74" t="s">
        <v>975</v>
      </c>
      <c r="L74" s="8">
        <f>D74*N74</f>
        <v>0</v>
      </c>
      <c r="N74" s="8">
        <f>IF(E74="HUF", 1, IFERROR(VLOOKUP(A74&amp;E74, '91_Data_ExRates'!A:D, 4, FALSE), 1))</f>
        <v>0</v>
      </c>
    </row>
    <row r="75" spans="1:14">
      <c r="A75" t="s">
        <v>76</v>
      </c>
      <c r="B75" t="s">
        <v>381</v>
      </c>
      <c r="C75" t="s">
        <v>385</v>
      </c>
      <c r="D75">
        <v>2000</v>
      </c>
      <c r="E75" t="s">
        <v>396</v>
      </c>
      <c r="F75" t="s">
        <v>401</v>
      </c>
      <c r="I75" t="s">
        <v>417</v>
      </c>
      <c r="J75" t="s">
        <v>479</v>
      </c>
      <c r="K75" t="s">
        <v>976</v>
      </c>
      <c r="L75" s="8">
        <f>D75*N75</f>
        <v>0</v>
      </c>
      <c r="N75" s="8">
        <f>IF(E75="HUF", 1, IFERROR(VLOOKUP(A75&amp;E75, '91_Data_ExRates'!A:D, 4, FALSE), 1))</f>
        <v>0</v>
      </c>
    </row>
    <row r="76" spans="1:14">
      <c r="A76" t="s">
        <v>76</v>
      </c>
      <c r="B76" t="s">
        <v>381</v>
      </c>
      <c r="C76" t="s">
        <v>385</v>
      </c>
      <c r="D76">
        <v>1900</v>
      </c>
      <c r="E76" t="s">
        <v>396</v>
      </c>
      <c r="F76" t="s">
        <v>403</v>
      </c>
      <c r="I76" t="s">
        <v>417</v>
      </c>
      <c r="J76" t="s">
        <v>480</v>
      </c>
      <c r="K76" t="s">
        <v>977</v>
      </c>
      <c r="L76" s="8">
        <f>D76*N76</f>
        <v>0</v>
      </c>
      <c r="N76" s="8">
        <f>IF(E76="HUF", 1, IFERROR(VLOOKUP(A76&amp;E76, '91_Data_ExRates'!A:D, 4, FALSE), 1))</f>
        <v>0</v>
      </c>
    </row>
    <row r="77" spans="1:14">
      <c r="A77" t="s">
        <v>76</v>
      </c>
      <c r="B77" t="s">
        <v>381</v>
      </c>
      <c r="C77" t="s">
        <v>385</v>
      </c>
      <c r="D77">
        <v>720</v>
      </c>
      <c r="E77" t="s">
        <v>396</v>
      </c>
      <c r="F77" t="s">
        <v>403</v>
      </c>
      <c r="I77" t="s">
        <v>417</v>
      </c>
      <c r="J77" t="s">
        <v>481</v>
      </c>
      <c r="K77" t="s">
        <v>978</v>
      </c>
      <c r="L77" s="8">
        <f>D77*N77</f>
        <v>0</v>
      </c>
      <c r="N77" s="8">
        <f>IF(E77="HUF", 1, IFERROR(VLOOKUP(A77&amp;E77, '91_Data_ExRates'!A:D, 4, FALSE), 1))</f>
        <v>0</v>
      </c>
    </row>
    <row r="78" spans="1:14">
      <c r="A78" t="s">
        <v>76</v>
      </c>
      <c r="B78" t="s">
        <v>381</v>
      </c>
      <c r="C78" t="s">
        <v>385</v>
      </c>
      <c r="D78">
        <v>6000</v>
      </c>
      <c r="E78" t="s">
        <v>396</v>
      </c>
      <c r="F78" t="s">
        <v>404</v>
      </c>
      <c r="I78" t="s">
        <v>417</v>
      </c>
      <c r="J78" t="s">
        <v>482</v>
      </c>
      <c r="K78" t="s">
        <v>979</v>
      </c>
      <c r="L78" s="8">
        <f>D78*N78</f>
        <v>0</v>
      </c>
      <c r="N78" s="8">
        <f>IF(E78="HUF", 1, IFERROR(VLOOKUP(A78&amp;E78, '91_Data_ExRates'!A:D, 4, FALSE), 1))</f>
        <v>0</v>
      </c>
    </row>
    <row r="79" spans="1:14">
      <c r="A79" t="s">
        <v>76</v>
      </c>
      <c r="B79" t="s">
        <v>381</v>
      </c>
      <c r="C79" t="s">
        <v>385</v>
      </c>
      <c r="D79">
        <v>6000</v>
      </c>
      <c r="E79" t="s">
        <v>396</v>
      </c>
      <c r="F79" t="s">
        <v>401</v>
      </c>
      <c r="I79" t="s">
        <v>417</v>
      </c>
      <c r="J79" t="s">
        <v>483</v>
      </c>
      <c r="K79" t="s">
        <v>980</v>
      </c>
      <c r="L79" s="8">
        <f>D79*N79</f>
        <v>0</v>
      </c>
      <c r="N79" s="8">
        <f>IF(E79="HUF", 1, IFERROR(VLOOKUP(A79&amp;E79, '91_Data_ExRates'!A:D, 4, FALSE), 1))</f>
        <v>0</v>
      </c>
    </row>
    <row r="80" spans="1:14">
      <c r="A80" t="s">
        <v>77</v>
      </c>
      <c r="B80" t="s">
        <v>381</v>
      </c>
      <c r="C80" t="s">
        <v>384</v>
      </c>
      <c r="D80">
        <v>8500</v>
      </c>
      <c r="E80" t="s">
        <v>396</v>
      </c>
      <c r="F80" t="s">
        <v>404</v>
      </c>
      <c r="I80" t="s">
        <v>417</v>
      </c>
      <c r="J80" t="s">
        <v>484</v>
      </c>
      <c r="K80" t="s">
        <v>981</v>
      </c>
      <c r="L80" s="8">
        <f>D80*N80</f>
        <v>0</v>
      </c>
      <c r="N80" s="8">
        <f>IF(E80="HUF", 1, IFERROR(VLOOKUP(A80&amp;E80, '91_Data_ExRates'!A:D, 4, FALSE), 1))</f>
        <v>0</v>
      </c>
    </row>
    <row r="81" spans="1:14">
      <c r="A81" t="s">
        <v>78</v>
      </c>
      <c r="B81" t="s">
        <v>381</v>
      </c>
      <c r="C81" t="s">
        <v>384</v>
      </c>
      <c r="D81">
        <v>3100</v>
      </c>
      <c r="E81" t="s">
        <v>396</v>
      </c>
      <c r="F81" t="s">
        <v>404</v>
      </c>
      <c r="I81" t="s">
        <v>417</v>
      </c>
      <c r="J81" t="s">
        <v>485</v>
      </c>
      <c r="K81" t="s">
        <v>982</v>
      </c>
      <c r="L81" s="8">
        <f>D81*N81</f>
        <v>0</v>
      </c>
      <c r="N81" s="8">
        <f>IF(E81="HUF", 1, IFERROR(VLOOKUP(A81&amp;E81, '91_Data_ExRates'!A:D, 4, FALSE), 1))</f>
        <v>0</v>
      </c>
    </row>
    <row r="82" spans="1:14">
      <c r="A82" t="s">
        <v>78</v>
      </c>
      <c r="B82" t="s">
        <v>381</v>
      </c>
      <c r="C82" t="s">
        <v>384</v>
      </c>
      <c r="D82">
        <v>3000</v>
      </c>
      <c r="E82" t="s">
        <v>396</v>
      </c>
      <c r="F82" t="s">
        <v>403</v>
      </c>
      <c r="I82" t="s">
        <v>417</v>
      </c>
      <c r="J82" t="s">
        <v>486</v>
      </c>
      <c r="K82" t="s">
        <v>983</v>
      </c>
      <c r="L82" s="8">
        <f>D82*N82</f>
        <v>0</v>
      </c>
      <c r="N82" s="8">
        <f>IF(E82="HUF", 1, IFERROR(VLOOKUP(A82&amp;E82, '91_Data_ExRates'!A:D, 4, FALSE), 1))</f>
        <v>0</v>
      </c>
    </row>
    <row r="83" spans="1:14">
      <c r="A83" t="s">
        <v>79</v>
      </c>
      <c r="B83" t="s">
        <v>382</v>
      </c>
      <c r="C83" t="s">
        <v>384</v>
      </c>
      <c r="D83">
        <v>11900</v>
      </c>
      <c r="E83" t="s">
        <v>396</v>
      </c>
      <c r="F83" t="s">
        <v>405</v>
      </c>
      <c r="I83" t="s">
        <v>417</v>
      </c>
      <c r="J83" t="s">
        <v>487</v>
      </c>
      <c r="K83" t="s">
        <v>984</v>
      </c>
      <c r="L83" s="8">
        <f>D83*N83</f>
        <v>0</v>
      </c>
      <c r="N83" s="8">
        <f>IF(E83="HUF", 1, IFERROR(VLOOKUP(A83&amp;E83, '91_Data_ExRates'!A:D, 4, FALSE), 1))</f>
        <v>0</v>
      </c>
    </row>
    <row r="84" spans="1:14">
      <c r="A84" t="s">
        <v>80</v>
      </c>
      <c r="B84" t="s">
        <v>381</v>
      </c>
      <c r="C84" t="s">
        <v>384</v>
      </c>
      <c r="D84">
        <v>1300</v>
      </c>
      <c r="E84" t="s">
        <v>396</v>
      </c>
      <c r="F84" t="s">
        <v>404</v>
      </c>
      <c r="I84" t="s">
        <v>417</v>
      </c>
      <c r="J84" t="s">
        <v>488</v>
      </c>
      <c r="K84" t="s">
        <v>985</v>
      </c>
      <c r="L84" s="8">
        <f>D84*N84</f>
        <v>0</v>
      </c>
      <c r="N84" s="8">
        <f>IF(E84="HUF", 1, IFERROR(VLOOKUP(A84&amp;E84, '91_Data_ExRates'!A:D, 4, FALSE), 1))</f>
        <v>0</v>
      </c>
    </row>
    <row r="85" spans="1:14">
      <c r="A85" t="s">
        <v>81</v>
      </c>
      <c r="B85" t="s">
        <v>381</v>
      </c>
      <c r="C85" t="s">
        <v>384</v>
      </c>
      <c r="D85">
        <v>31197</v>
      </c>
      <c r="E85" t="s">
        <v>396</v>
      </c>
      <c r="F85" t="s">
        <v>404</v>
      </c>
      <c r="I85" t="s">
        <v>417</v>
      </c>
      <c r="J85" t="s">
        <v>489</v>
      </c>
      <c r="K85" t="s">
        <v>986</v>
      </c>
      <c r="L85" s="8">
        <f>D85*N85</f>
        <v>0</v>
      </c>
      <c r="N85" s="8">
        <f>IF(E85="HUF", 1, IFERROR(VLOOKUP(A85&amp;E85, '91_Data_ExRates'!A:D, 4, FALSE), 1))</f>
        <v>0</v>
      </c>
    </row>
    <row r="86" spans="1:14">
      <c r="A86" t="s">
        <v>82</v>
      </c>
      <c r="B86" t="s">
        <v>382</v>
      </c>
      <c r="C86" t="s">
        <v>384</v>
      </c>
      <c r="D86">
        <v>15000</v>
      </c>
      <c r="E86" t="s">
        <v>396</v>
      </c>
      <c r="F86" t="s">
        <v>405</v>
      </c>
      <c r="I86" t="s">
        <v>417</v>
      </c>
      <c r="J86" t="s">
        <v>490</v>
      </c>
      <c r="K86" t="s">
        <v>987</v>
      </c>
      <c r="L86" s="8">
        <f>D86*N86</f>
        <v>0</v>
      </c>
      <c r="N86" s="8">
        <f>IF(E86="HUF", 1, IFERROR(VLOOKUP(A86&amp;E86, '91_Data_ExRates'!A:D, 4, FALSE), 1))</f>
        <v>0</v>
      </c>
    </row>
    <row r="87" spans="1:14">
      <c r="A87" t="s">
        <v>83</v>
      </c>
      <c r="B87" t="s">
        <v>381</v>
      </c>
      <c r="C87" t="s">
        <v>384</v>
      </c>
      <c r="D87">
        <v>500</v>
      </c>
      <c r="E87" t="s">
        <v>396</v>
      </c>
      <c r="F87" t="s">
        <v>402</v>
      </c>
      <c r="I87" t="s">
        <v>417</v>
      </c>
      <c r="J87" t="s">
        <v>491</v>
      </c>
      <c r="K87" t="s">
        <v>988</v>
      </c>
      <c r="L87" s="8">
        <f>D87*N87</f>
        <v>0</v>
      </c>
      <c r="N87" s="8">
        <f>IF(E87="HUF", 1, IFERROR(VLOOKUP(A87&amp;E87, '91_Data_ExRates'!A:D, 4, FALSE), 1))</f>
        <v>0</v>
      </c>
    </row>
    <row r="88" spans="1:14">
      <c r="A88" t="s">
        <v>84</v>
      </c>
      <c r="B88" t="s">
        <v>381</v>
      </c>
      <c r="C88" t="s">
        <v>384</v>
      </c>
      <c r="D88">
        <v>220</v>
      </c>
      <c r="E88" t="s">
        <v>396</v>
      </c>
      <c r="F88" t="s">
        <v>402</v>
      </c>
      <c r="I88" t="s">
        <v>417</v>
      </c>
      <c r="J88" t="s">
        <v>492</v>
      </c>
      <c r="K88" t="s">
        <v>989</v>
      </c>
      <c r="L88" s="8">
        <f>D88*N88</f>
        <v>0</v>
      </c>
      <c r="N88" s="8">
        <f>IF(E88="HUF", 1, IFERROR(VLOOKUP(A88&amp;E88, '91_Data_ExRates'!A:D, 4, FALSE), 1))</f>
        <v>0</v>
      </c>
    </row>
    <row r="89" spans="1:14">
      <c r="A89" t="s">
        <v>85</v>
      </c>
      <c r="B89" t="s">
        <v>382</v>
      </c>
      <c r="C89" t="s">
        <v>384</v>
      </c>
      <c r="D89">
        <v>37685</v>
      </c>
      <c r="E89" t="s">
        <v>396</v>
      </c>
      <c r="F89" t="s">
        <v>407</v>
      </c>
      <c r="I89" t="s">
        <v>417</v>
      </c>
      <c r="J89" t="s">
        <v>493</v>
      </c>
      <c r="K89" t="s">
        <v>990</v>
      </c>
      <c r="L89" s="8">
        <f>D89*N89</f>
        <v>0</v>
      </c>
      <c r="N89" s="8">
        <f>IF(E89="HUF", 1, IFERROR(VLOOKUP(A89&amp;E89, '91_Data_ExRates'!A:D, 4, FALSE), 1))</f>
        <v>0</v>
      </c>
    </row>
    <row r="90" spans="1:14">
      <c r="A90" t="s">
        <v>85</v>
      </c>
      <c r="B90" t="s">
        <v>381</v>
      </c>
      <c r="C90" t="s">
        <v>384</v>
      </c>
      <c r="D90">
        <v>75370</v>
      </c>
      <c r="E90" t="s">
        <v>396</v>
      </c>
      <c r="F90" t="s">
        <v>402</v>
      </c>
      <c r="I90" t="s">
        <v>417</v>
      </c>
      <c r="J90" t="s">
        <v>494</v>
      </c>
      <c r="K90" t="s">
        <v>991</v>
      </c>
      <c r="L90" s="8">
        <f>D90*N90</f>
        <v>0</v>
      </c>
      <c r="N90" s="8">
        <f>IF(E90="HUF", 1, IFERROR(VLOOKUP(A90&amp;E90, '91_Data_ExRates'!A:D, 4, FALSE), 1))</f>
        <v>0</v>
      </c>
    </row>
    <row r="91" spans="1:14">
      <c r="A91" t="s">
        <v>86</v>
      </c>
      <c r="B91" t="s">
        <v>381</v>
      </c>
      <c r="C91" t="s">
        <v>385</v>
      </c>
      <c r="D91">
        <v>820</v>
      </c>
      <c r="E91" t="s">
        <v>396</v>
      </c>
      <c r="F91" t="s">
        <v>403</v>
      </c>
      <c r="I91" t="s">
        <v>417</v>
      </c>
      <c r="J91" t="s">
        <v>495</v>
      </c>
      <c r="K91" t="s">
        <v>992</v>
      </c>
      <c r="L91" s="8">
        <f>D91*N91</f>
        <v>0</v>
      </c>
      <c r="N91" s="8">
        <f>IF(E91="HUF", 1, IFERROR(VLOOKUP(A91&amp;E91, '91_Data_ExRates'!A:D, 4, FALSE), 1))</f>
        <v>0</v>
      </c>
    </row>
    <row r="92" spans="1:14">
      <c r="A92" t="s">
        <v>86</v>
      </c>
      <c r="B92" t="s">
        <v>381</v>
      </c>
      <c r="C92" t="s">
        <v>385</v>
      </c>
      <c r="D92">
        <v>1900</v>
      </c>
      <c r="E92" t="s">
        <v>396</v>
      </c>
      <c r="F92" t="s">
        <v>406</v>
      </c>
      <c r="I92" t="s">
        <v>417</v>
      </c>
      <c r="J92" t="s">
        <v>496</v>
      </c>
      <c r="K92" t="s">
        <v>993</v>
      </c>
      <c r="L92" s="8">
        <f>D92*N92</f>
        <v>0</v>
      </c>
      <c r="N92" s="8">
        <f>IF(E92="HUF", 1, IFERROR(VLOOKUP(A92&amp;E92, '91_Data_ExRates'!A:D, 4, FALSE), 1))</f>
        <v>0</v>
      </c>
    </row>
    <row r="93" spans="1:14">
      <c r="A93" t="s">
        <v>86</v>
      </c>
      <c r="B93" t="s">
        <v>381</v>
      </c>
      <c r="C93" t="s">
        <v>384</v>
      </c>
      <c r="D93">
        <v>220</v>
      </c>
      <c r="E93" t="s">
        <v>396</v>
      </c>
      <c r="F93" t="s">
        <v>402</v>
      </c>
      <c r="I93" t="s">
        <v>417</v>
      </c>
      <c r="J93" t="s">
        <v>497</v>
      </c>
      <c r="K93" t="s">
        <v>994</v>
      </c>
      <c r="L93" s="8">
        <f>D93*N93</f>
        <v>0</v>
      </c>
      <c r="N93" s="8">
        <f>IF(E93="HUF", 1, IFERROR(VLOOKUP(A93&amp;E93, '91_Data_ExRates'!A:D, 4, FALSE), 1))</f>
        <v>0</v>
      </c>
    </row>
    <row r="94" spans="1:14">
      <c r="A94" t="s">
        <v>87</v>
      </c>
      <c r="B94" t="s">
        <v>382</v>
      </c>
      <c r="C94" t="s">
        <v>384</v>
      </c>
      <c r="D94">
        <v>80000</v>
      </c>
      <c r="E94" t="s">
        <v>396</v>
      </c>
      <c r="F94" t="s">
        <v>409</v>
      </c>
      <c r="I94" t="s">
        <v>417</v>
      </c>
      <c r="K94" t="s">
        <v>995</v>
      </c>
      <c r="L94" s="8">
        <f>D94*N94</f>
        <v>0</v>
      </c>
      <c r="N94" s="8">
        <f>IF(E94="HUF", 1, IFERROR(VLOOKUP(A94&amp;E94, '91_Data_ExRates'!A:D, 4, FALSE), 1))</f>
        <v>0</v>
      </c>
    </row>
    <row r="95" spans="1:14">
      <c r="A95" t="s">
        <v>88</v>
      </c>
      <c r="B95" t="s">
        <v>382</v>
      </c>
      <c r="C95" t="s">
        <v>385</v>
      </c>
      <c r="D95">
        <v>20000</v>
      </c>
      <c r="E95" t="s">
        <v>396</v>
      </c>
      <c r="F95" t="s">
        <v>407</v>
      </c>
      <c r="I95" t="s">
        <v>417</v>
      </c>
      <c r="J95" t="s">
        <v>498</v>
      </c>
      <c r="K95" t="s">
        <v>996</v>
      </c>
      <c r="L95" s="8">
        <f>D95*N95</f>
        <v>0</v>
      </c>
      <c r="N95" s="8">
        <f>IF(E95="HUF", 1, IFERROR(VLOOKUP(A95&amp;E95, '91_Data_ExRates'!A:D, 4, FALSE), 1))</f>
        <v>0</v>
      </c>
    </row>
    <row r="96" spans="1:14">
      <c r="A96" t="s">
        <v>88</v>
      </c>
      <c r="B96" t="s">
        <v>381</v>
      </c>
      <c r="C96" t="s">
        <v>385</v>
      </c>
      <c r="D96">
        <v>12900</v>
      </c>
      <c r="E96" t="s">
        <v>396</v>
      </c>
      <c r="F96" t="s">
        <v>410</v>
      </c>
      <c r="I96" t="s">
        <v>417</v>
      </c>
      <c r="J96" t="s">
        <v>499</v>
      </c>
      <c r="K96" t="s">
        <v>997</v>
      </c>
      <c r="L96" s="8">
        <f>D96*N96</f>
        <v>0</v>
      </c>
      <c r="N96" s="8">
        <f>IF(E96="HUF", 1, IFERROR(VLOOKUP(A96&amp;E96, '91_Data_ExRates'!A:D, 4, FALSE), 1))</f>
        <v>0</v>
      </c>
    </row>
    <row r="97" spans="1:14">
      <c r="A97" t="s">
        <v>89</v>
      </c>
      <c r="B97" t="s">
        <v>381</v>
      </c>
      <c r="C97" t="s">
        <v>385</v>
      </c>
      <c r="D97">
        <v>700</v>
      </c>
      <c r="E97" t="s">
        <v>396</v>
      </c>
      <c r="F97" t="s">
        <v>404</v>
      </c>
      <c r="I97" t="s">
        <v>417</v>
      </c>
      <c r="J97" t="s">
        <v>500</v>
      </c>
      <c r="K97" t="s">
        <v>998</v>
      </c>
      <c r="L97" s="8">
        <f>D97*N97</f>
        <v>0</v>
      </c>
      <c r="N97" s="8">
        <f>IF(E97="HUF", 1, IFERROR(VLOOKUP(A97&amp;E97, '91_Data_ExRates'!A:D, 4, FALSE), 1))</f>
        <v>0</v>
      </c>
    </row>
    <row r="98" spans="1:14">
      <c r="A98" t="s">
        <v>89</v>
      </c>
      <c r="B98" t="s">
        <v>381</v>
      </c>
      <c r="C98" t="s">
        <v>385</v>
      </c>
      <c r="D98">
        <v>1400</v>
      </c>
      <c r="E98" t="s">
        <v>396</v>
      </c>
      <c r="F98" t="s">
        <v>404</v>
      </c>
      <c r="I98" t="s">
        <v>417</v>
      </c>
      <c r="J98" t="s">
        <v>501</v>
      </c>
      <c r="K98" t="s">
        <v>999</v>
      </c>
      <c r="L98" s="8">
        <f>D98*N98</f>
        <v>0</v>
      </c>
      <c r="N98" s="8">
        <f>IF(E98="HUF", 1, IFERROR(VLOOKUP(A98&amp;E98, '91_Data_ExRates'!A:D, 4, FALSE), 1))</f>
        <v>0</v>
      </c>
    </row>
    <row r="99" spans="1:14">
      <c r="A99" t="s">
        <v>89</v>
      </c>
      <c r="B99" t="s">
        <v>381</v>
      </c>
      <c r="C99" t="s">
        <v>385</v>
      </c>
      <c r="D99">
        <v>500</v>
      </c>
      <c r="E99" t="s">
        <v>396</v>
      </c>
      <c r="F99" t="s">
        <v>404</v>
      </c>
      <c r="I99" t="s">
        <v>417</v>
      </c>
      <c r="J99" t="s">
        <v>502</v>
      </c>
      <c r="K99" t="s">
        <v>1000</v>
      </c>
      <c r="L99" s="8">
        <f>D99*N99</f>
        <v>0</v>
      </c>
      <c r="N99" s="8">
        <f>IF(E99="HUF", 1, IFERROR(VLOOKUP(A99&amp;E99, '91_Data_ExRates'!A:D, 4, FALSE), 1))</f>
        <v>0</v>
      </c>
    </row>
    <row r="100" spans="1:14">
      <c r="A100" t="s">
        <v>89</v>
      </c>
      <c r="B100" t="s">
        <v>381</v>
      </c>
      <c r="C100" t="s">
        <v>385</v>
      </c>
      <c r="D100">
        <v>800</v>
      </c>
      <c r="E100" t="s">
        <v>396</v>
      </c>
      <c r="F100" t="s">
        <v>404</v>
      </c>
      <c r="I100" t="s">
        <v>417</v>
      </c>
      <c r="J100" t="s">
        <v>503</v>
      </c>
      <c r="K100" t="s">
        <v>1001</v>
      </c>
      <c r="L100" s="8">
        <f>D100*N100</f>
        <v>0</v>
      </c>
      <c r="N100" s="8">
        <f>IF(E100="HUF", 1, IFERROR(VLOOKUP(A100&amp;E100, '91_Data_ExRates'!A:D, 4, FALSE), 1))</f>
        <v>0</v>
      </c>
    </row>
    <row r="101" spans="1:14">
      <c r="A101" t="s">
        <v>90</v>
      </c>
      <c r="B101" t="s">
        <v>381</v>
      </c>
      <c r="C101" t="s">
        <v>384</v>
      </c>
      <c r="D101">
        <v>45876</v>
      </c>
      <c r="E101" t="s">
        <v>396</v>
      </c>
      <c r="F101" t="s">
        <v>402</v>
      </c>
      <c r="I101" t="s">
        <v>417</v>
      </c>
      <c r="J101" t="s">
        <v>504</v>
      </c>
      <c r="K101" t="s">
        <v>1002</v>
      </c>
      <c r="L101" s="8">
        <f>D101*N101</f>
        <v>0</v>
      </c>
      <c r="N101" s="8">
        <f>IF(E101="HUF", 1, IFERROR(VLOOKUP(A101&amp;E101, '91_Data_ExRates'!A:D, 4, FALSE), 1))</f>
        <v>0</v>
      </c>
    </row>
    <row r="102" spans="1:14">
      <c r="A102" t="s">
        <v>91</v>
      </c>
      <c r="B102" t="s">
        <v>381</v>
      </c>
      <c r="C102" t="s">
        <v>385</v>
      </c>
      <c r="D102">
        <v>3000</v>
      </c>
      <c r="E102" t="s">
        <v>396</v>
      </c>
      <c r="F102" t="s">
        <v>407</v>
      </c>
      <c r="I102" t="s">
        <v>417</v>
      </c>
      <c r="J102" t="s">
        <v>505</v>
      </c>
      <c r="K102" t="s">
        <v>1003</v>
      </c>
      <c r="L102" s="8">
        <f>D102*N102</f>
        <v>0</v>
      </c>
      <c r="N102" s="8">
        <f>IF(E102="HUF", 1, IFERROR(VLOOKUP(A102&amp;E102, '91_Data_ExRates'!A:D, 4, FALSE), 1))</f>
        <v>0</v>
      </c>
    </row>
    <row r="103" spans="1:14">
      <c r="A103" t="s">
        <v>91</v>
      </c>
      <c r="B103" t="s">
        <v>381</v>
      </c>
      <c r="C103" t="s">
        <v>385</v>
      </c>
      <c r="D103">
        <v>1400</v>
      </c>
      <c r="E103" t="s">
        <v>396</v>
      </c>
      <c r="F103" t="s">
        <v>401</v>
      </c>
      <c r="I103" t="s">
        <v>417</v>
      </c>
      <c r="J103" t="s">
        <v>506</v>
      </c>
      <c r="K103" t="s">
        <v>1004</v>
      </c>
      <c r="L103" s="8">
        <f>D103*N103</f>
        <v>0</v>
      </c>
      <c r="N103" s="8">
        <f>IF(E103="HUF", 1, IFERROR(VLOOKUP(A103&amp;E103, '91_Data_ExRates'!A:D, 4, FALSE), 1))</f>
        <v>0</v>
      </c>
    </row>
    <row r="104" spans="1:14">
      <c r="A104" t="s">
        <v>91</v>
      </c>
      <c r="B104" t="s">
        <v>381</v>
      </c>
      <c r="C104" t="s">
        <v>384</v>
      </c>
      <c r="D104">
        <v>220</v>
      </c>
      <c r="E104" t="s">
        <v>396</v>
      </c>
      <c r="F104" t="s">
        <v>402</v>
      </c>
      <c r="I104" t="s">
        <v>417</v>
      </c>
      <c r="J104" t="s">
        <v>507</v>
      </c>
      <c r="K104" t="s">
        <v>1005</v>
      </c>
      <c r="L104" s="8">
        <f>D104*N104</f>
        <v>0</v>
      </c>
      <c r="N104" s="8">
        <f>IF(E104="HUF", 1, IFERROR(VLOOKUP(A104&amp;E104, '91_Data_ExRates'!A:D, 4, FALSE), 1))</f>
        <v>0</v>
      </c>
    </row>
    <row r="105" spans="1:14">
      <c r="A105" t="s">
        <v>91</v>
      </c>
      <c r="B105" t="s">
        <v>381</v>
      </c>
      <c r="C105" t="s">
        <v>384</v>
      </c>
      <c r="D105">
        <v>220</v>
      </c>
      <c r="E105" t="s">
        <v>396</v>
      </c>
      <c r="F105" t="s">
        <v>402</v>
      </c>
      <c r="I105" t="s">
        <v>417</v>
      </c>
      <c r="J105" t="s">
        <v>507</v>
      </c>
      <c r="K105" t="s">
        <v>1006</v>
      </c>
      <c r="L105" s="8">
        <f>D105*N105</f>
        <v>0</v>
      </c>
      <c r="N105" s="8">
        <f>IF(E105="HUF", 1, IFERROR(VLOOKUP(A105&amp;E105, '91_Data_ExRates'!A:D, 4, FALSE), 1))</f>
        <v>0</v>
      </c>
    </row>
    <row r="106" spans="1:14">
      <c r="A106" t="s">
        <v>91</v>
      </c>
      <c r="B106" t="s">
        <v>382</v>
      </c>
      <c r="C106" t="s">
        <v>384</v>
      </c>
      <c r="D106">
        <v>3000</v>
      </c>
      <c r="E106" t="s">
        <v>396</v>
      </c>
      <c r="F106" t="s">
        <v>407</v>
      </c>
      <c r="I106" t="s">
        <v>417</v>
      </c>
      <c r="J106" t="s">
        <v>508</v>
      </c>
      <c r="K106" t="s">
        <v>1007</v>
      </c>
      <c r="L106" s="8">
        <f>D106*N106</f>
        <v>0</v>
      </c>
      <c r="N106" s="8">
        <f>IF(E106="HUF", 1, IFERROR(VLOOKUP(A106&amp;E106, '91_Data_ExRates'!A:D, 4, FALSE), 1))</f>
        <v>0</v>
      </c>
    </row>
    <row r="107" spans="1:14">
      <c r="A107" t="s">
        <v>92</v>
      </c>
      <c r="B107" t="s">
        <v>381</v>
      </c>
      <c r="C107" t="s">
        <v>385</v>
      </c>
      <c r="D107">
        <v>1470</v>
      </c>
      <c r="E107" t="s">
        <v>396</v>
      </c>
      <c r="F107" t="s">
        <v>404</v>
      </c>
      <c r="I107" t="s">
        <v>417</v>
      </c>
      <c r="J107" t="s">
        <v>509</v>
      </c>
      <c r="K107" t="s">
        <v>1008</v>
      </c>
      <c r="L107" s="8">
        <f>D107*N107</f>
        <v>0</v>
      </c>
      <c r="N107" s="8">
        <f>IF(E107="HUF", 1, IFERROR(VLOOKUP(A107&amp;E107, '91_Data_ExRates'!A:D, 4, FALSE), 1))</f>
        <v>0</v>
      </c>
    </row>
    <row r="108" spans="1:14">
      <c r="A108" t="s">
        <v>93</v>
      </c>
      <c r="B108" t="s">
        <v>382</v>
      </c>
      <c r="C108" t="s">
        <v>385</v>
      </c>
      <c r="D108">
        <v>10000</v>
      </c>
      <c r="E108" t="s">
        <v>396</v>
      </c>
      <c r="F108" t="s">
        <v>401</v>
      </c>
      <c r="I108" t="s">
        <v>417</v>
      </c>
      <c r="J108" t="s">
        <v>510</v>
      </c>
      <c r="K108" t="s">
        <v>1009</v>
      </c>
      <c r="L108" s="8">
        <f>D108*N108</f>
        <v>0</v>
      </c>
      <c r="N108" s="8">
        <f>IF(E108="HUF", 1, IFERROR(VLOOKUP(A108&amp;E108, '91_Data_ExRates'!A:D, 4, FALSE), 1))</f>
        <v>0</v>
      </c>
    </row>
    <row r="109" spans="1:14">
      <c r="A109" t="s">
        <v>94</v>
      </c>
      <c r="B109" t="s">
        <v>381</v>
      </c>
      <c r="C109" t="s">
        <v>385</v>
      </c>
      <c r="D109">
        <v>3900</v>
      </c>
      <c r="E109" t="s">
        <v>396</v>
      </c>
      <c r="F109" t="s">
        <v>404</v>
      </c>
      <c r="I109" t="s">
        <v>417</v>
      </c>
      <c r="J109" t="s">
        <v>511</v>
      </c>
      <c r="K109" t="s">
        <v>1010</v>
      </c>
      <c r="L109" s="8">
        <f>D109*N109</f>
        <v>0</v>
      </c>
      <c r="N109" s="8">
        <f>IF(E109="HUF", 1, IFERROR(VLOOKUP(A109&amp;E109, '91_Data_ExRates'!A:D, 4, FALSE), 1))</f>
        <v>0</v>
      </c>
    </row>
    <row r="110" spans="1:14">
      <c r="A110" t="s">
        <v>94</v>
      </c>
      <c r="B110" t="s">
        <v>381</v>
      </c>
      <c r="C110" t="s">
        <v>385</v>
      </c>
      <c r="D110">
        <v>3900</v>
      </c>
      <c r="E110" t="s">
        <v>396</v>
      </c>
      <c r="F110" t="s">
        <v>401</v>
      </c>
      <c r="I110" t="s">
        <v>417</v>
      </c>
      <c r="J110" t="s">
        <v>512</v>
      </c>
      <c r="K110" t="s">
        <v>1011</v>
      </c>
      <c r="L110" s="8">
        <f>D110*N110</f>
        <v>0</v>
      </c>
      <c r="N110" s="8">
        <f>IF(E110="HUF", 1, IFERROR(VLOOKUP(A110&amp;E110, '91_Data_ExRates'!A:D, 4, FALSE), 1))</f>
        <v>0</v>
      </c>
    </row>
    <row r="111" spans="1:14">
      <c r="A111" t="s">
        <v>94</v>
      </c>
      <c r="B111" t="s">
        <v>381</v>
      </c>
      <c r="C111" t="s">
        <v>384</v>
      </c>
      <c r="D111">
        <v>2700</v>
      </c>
      <c r="E111" t="s">
        <v>396</v>
      </c>
      <c r="F111" t="s">
        <v>403</v>
      </c>
      <c r="I111" t="s">
        <v>417</v>
      </c>
      <c r="J111" t="s">
        <v>513</v>
      </c>
      <c r="K111" t="s">
        <v>1012</v>
      </c>
      <c r="L111" s="8">
        <f>D111*N111</f>
        <v>0</v>
      </c>
      <c r="N111" s="8">
        <f>IF(E111="HUF", 1, IFERROR(VLOOKUP(A111&amp;E111, '91_Data_ExRates'!A:D, 4, FALSE), 1))</f>
        <v>0</v>
      </c>
    </row>
    <row r="112" spans="1:14">
      <c r="A112" t="s">
        <v>94</v>
      </c>
      <c r="B112" t="s">
        <v>381</v>
      </c>
      <c r="C112" t="s">
        <v>384</v>
      </c>
      <c r="D112">
        <v>3000</v>
      </c>
      <c r="E112" t="s">
        <v>396</v>
      </c>
      <c r="F112" t="s">
        <v>401</v>
      </c>
      <c r="I112" t="s">
        <v>417</v>
      </c>
      <c r="J112" t="s">
        <v>514</v>
      </c>
      <c r="K112" t="s">
        <v>1013</v>
      </c>
      <c r="L112" s="8">
        <f>D112*N112</f>
        <v>0</v>
      </c>
      <c r="N112" s="8">
        <f>IF(E112="HUF", 1, IFERROR(VLOOKUP(A112&amp;E112, '91_Data_ExRates'!A:D, 4, FALSE), 1))</f>
        <v>0</v>
      </c>
    </row>
    <row r="113" spans="1:14">
      <c r="A113" t="s">
        <v>95</v>
      </c>
      <c r="B113" t="s">
        <v>382</v>
      </c>
      <c r="C113" t="s">
        <v>384</v>
      </c>
      <c r="D113">
        <v>60000</v>
      </c>
      <c r="E113" t="s">
        <v>396</v>
      </c>
      <c r="F113" t="s">
        <v>401</v>
      </c>
      <c r="I113" t="s">
        <v>417</v>
      </c>
      <c r="J113" t="s">
        <v>515</v>
      </c>
      <c r="K113" t="s">
        <v>1014</v>
      </c>
      <c r="L113" s="8">
        <f>D113*N113</f>
        <v>0</v>
      </c>
      <c r="N113" s="8">
        <f>IF(E113="HUF", 1, IFERROR(VLOOKUP(A113&amp;E113, '91_Data_ExRates'!A:D, 4, FALSE), 1))</f>
        <v>0</v>
      </c>
    </row>
    <row r="114" spans="1:14">
      <c r="A114" t="s">
        <v>95</v>
      </c>
      <c r="B114" t="s">
        <v>381</v>
      </c>
      <c r="C114" t="s">
        <v>385</v>
      </c>
      <c r="D114">
        <v>80000</v>
      </c>
      <c r="E114" t="s">
        <v>396</v>
      </c>
      <c r="F114" t="s">
        <v>407</v>
      </c>
      <c r="I114" t="s">
        <v>417</v>
      </c>
      <c r="J114" t="s">
        <v>516</v>
      </c>
      <c r="K114" t="s">
        <v>1015</v>
      </c>
      <c r="L114" s="8">
        <f>D114*N114</f>
        <v>0</v>
      </c>
      <c r="N114" s="8">
        <f>IF(E114="HUF", 1, IFERROR(VLOOKUP(A114&amp;E114, '91_Data_ExRates'!A:D, 4, FALSE), 1))</f>
        <v>0</v>
      </c>
    </row>
    <row r="115" spans="1:14">
      <c r="A115" t="s">
        <v>95</v>
      </c>
      <c r="B115" t="s">
        <v>382</v>
      </c>
      <c r="C115" t="s">
        <v>384</v>
      </c>
      <c r="D115">
        <v>80000</v>
      </c>
      <c r="E115" t="s">
        <v>396</v>
      </c>
      <c r="F115" t="s">
        <v>407</v>
      </c>
      <c r="I115" t="s">
        <v>417</v>
      </c>
      <c r="J115" t="s">
        <v>517</v>
      </c>
      <c r="K115" t="s">
        <v>1016</v>
      </c>
      <c r="L115" s="8">
        <f>D115*N115</f>
        <v>0</v>
      </c>
      <c r="N115" s="8">
        <f>IF(E115="HUF", 1, IFERROR(VLOOKUP(A115&amp;E115, '91_Data_ExRates'!A:D, 4, FALSE), 1))</f>
        <v>0</v>
      </c>
    </row>
    <row r="116" spans="1:14">
      <c r="A116" t="s">
        <v>96</v>
      </c>
      <c r="B116" t="s">
        <v>381</v>
      </c>
      <c r="C116" t="s">
        <v>385</v>
      </c>
      <c r="D116">
        <v>4000</v>
      </c>
      <c r="E116" t="s">
        <v>396</v>
      </c>
      <c r="F116" t="s">
        <v>404</v>
      </c>
      <c r="I116" t="s">
        <v>417</v>
      </c>
      <c r="J116" t="s">
        <v>518</v>
      </c>
      <c r="K116" t="s">
        <v>1017</v>
      </c>
      <c r="L116" s="8">
        <f>D116*N116</f>
        <v>0</v>
      </c>
      <c r="N116" s="8">
        <f>IF(E116="HUF", 1, IFERROR(VLOOKUP(A116&amp;E116, '91_Data_ExRates'!A:D, 4, FALSE), 1))</f>
        <v>0</v>
      </c>
    </row>
    <row r="117" spans="1:14">
      <c r="A117" t="s">
        <v>96</v>
      </c>
      <c r="B117" t="s">
        <v>381</v>
      </c>
      <c r="C117" t="s">
        <v>384</v>
      </c>
      <c r="D117">
        <v>190</v>
      </c>
      <c r="E117" t="s">
        <v>396</v>
      </c>
      <c r="F117" t="s">
        <v>402</v>
      </c>
      <c r="I117" t="s">
        <v>417</v>
      </c>
      <c r="J117" t="s">
        <v>435</v>
      </c>
      <c r="K117" t="s">
        <v>1018</v>
      </c>
      <c r="L117" s="8">
        <f>D117*N117</f>
        <v>0</v>
      </c>
      <c r="N117" s="8">
        <f>IF(E117="HUF", 1, IFERROR(VLOOKUP(A117&amp;E117, '91_Data_ExRates'!A:D, 4, FALSE), 1))</f>
        <v>0</v>
      </c>
    </row>
    <row r="118" spans="1:14">
      <c r="A118" t="s">
        <v>97</v>
      </c>
      <c r="B118" t="s">
        <v>381</v>
      </c>
      <c r="C118" t="s">
        <v>385</v>
      </c>
      <c r="D118">
        <v>1500</v>
      </c>
      <c r="E118" t="s">
        <v>396</v>
      </c>
      <c r="F118" t="s">
        <v>401</v>
      </c>
      <c r="I118" t="s">
        <v>417</v>
      </c>
      <c r="J118" t="s">
        <v>519</v>
      </c>
      <c r="K118" t="s">
        <v>1019</v>
      </c>
      <c r="L118" s="8">
        <f>D118*N118</f>
        <v>0</v>
      </c>
      <c r="N118" s="8">
        <f>IF(E118="HUF", 1, IFERROR(VLOOKUP(A118&amp;E118, '91_Data_ExRates'!A:D, 4, FALSE), 1))</f>
        <v>0</v>
      </c>
    </row>
    <row r="119" spans="1:14">
      <c r="A119" t="s">
        <v>98</v>
      </c>
      <c r="B119" t="s">
        <v>382</v>
      </c>
      <c r="C119" t="s">
        <v>385</v>
      </c>
      <c r="D119">
        <v>20000</v>
      </c>
      <c r="E119" t="s">
        <v>396</v>
      </c>
      <c r="F119" t="s">
        <v>401</v>
      </c>
      <c r="I119" t="s">
        <v>417</v>
      </c>
      <c r="J119" t="s">
        <v>520</v>
      </c>
      <c r="K119" t="s">
        <v>1020</v>
      </c>
      <c r="L119" s="8">
        <f>D119*N119</f>
        <v>0</v>
      </c>
      <c r="N119" s="8">
        <f>IF(E119="HUF", 1, IFERROR(VLOOKUP(A119&amp;E119, '91_Data_ExRates'!A:D, 4, FALSE), 1))</f>
        <v>0</v>
      </c>
    </row>
    <row r="120" spans="1:14">
      <c r="A120" t="s">
        <v>98</v>
      </c>
      <c r="B120" t="s">
        <v>382</v>
      </c>
      <c r="C120" t="s">
        <v>385</v>
      </c>
      <c r="D120">
        <v>50000</v>
      </c>
      <c r="E120" t="s">
        <v>396</v>
      </c>
      <c r="F120" t="s">
        <v>401</v>
      </c>
      <c r="I120" t="s">
        <v>417</v>
      </c>
      <c r="J120" t="s">
        <v>521</v>
      </c>
      <c r="K120" t="s">
        <v>1021</v>
      </c>
      <c r="L120" s="8">
        <f>D120*N120</f>
        <v>0</v>
      </c>
      <c r="N120" s="8">
        <f>IF(E120="HUF", 1, IFERROR(VLOOKUP(A120&amp;E120, '91_Data_ExRates'!A:D, 4, FALSE), 1))</f>
        <v>0</v>
      </c>
    </row>
    <row r="121" spans="1:14">
      <c r="A121" t="s">
        <v>99</v>
      </c>
      <c r="B121" t="s">
        <v>381</v>
      </c>
      <c r="C121" t="s">
        <v>384</v>
      </c>
      <c r="D121">
        <v>2221</v>
      </c>
      <c r="E121" t="s">
        <v>396</v>
      </c>
      <c r="F121" t="s">
        <v>401</v>
      </c>
      <c r="I121" t="s">
        <v>417</v>
      </c>
      <c r="J121" t="s">
        <v>522</v>
      </c>
      <c r="K121" t="s">
        <v>1022</v>
      </c>
      <c r="L121" s="8">
        <f>D121*N121</f>
        <v>0</v>
      </c>
      <c r="N121" s="8">
        <f>IF(E121="HUF", 1, IFERROR(VLOOKUP(A121&amp;E121, '91_Data_ExRates'!A:D, 4, FALSE), 1))</f>
        <v>0</v>
      </c>
    </row>
    <row r="122" spans="1:14">
      <c r="A122" t="s">
        <v>99</v>
      </c>
      <c r="B122" t="s">
        <v>381</v>
      </c>
      <c r="C122" t="s">
        <v>384</v>
      </c>
      <c r="D122">
        <v>5335.97</v>
      </c>
      <c r="E122" t="s">
        <v>396</v>
      </c>
      <c r="F122" t="s">
        <v>407</v>
      </c>
      <c r="I122" t="s">
        <v>417</v>
      </c>
      <c r="J122" t="s">
        <v>523</v>
      </c>
      <c r="K122" t="s">
        <v>1023</v>
      </c>
      <c r="L122" s="8">
        <f>D122*N122</f>
        <v>0</v>
      </c>
      <c r="N122" s="8">
        <f>IF(E122="HUF", 1, IFERROR(VLOOKUP(A122&amp;E122, '91_Data_ExRates'!A:D, 4, FALSE), 1))</f>
        <v>0</v>
      </c>
    </row>
    <row r="123" spans="1:14">
      <c r="A123" t="s">
        <v>100</v>
      </c>
      <c r="B123" t="s">
        <v>381</v>
      </c>
      <c r="C123" t="s">
        <v>384</v>
      </c>
      <c r="D123">
        <v>38321</v>
      </c>
      <c r="E123" t="s">
        <v>396</v>
      </c>
      <c r="F123" t="s">
        <v>402</v>
      </c>
      <c r="I123" t="s">
        <v>417</v>
      </c>
      <c r="J123" t="s">
        <v>524</v>
      </c>
      <c r="K123" t="s">
        <v>1024</v>
      </c>
      <c r="L123" s="8">
        <f>D123*N123</f>
        <v>0</v>
      </c>
      <c r="N123" s="8">
        <f>IF(E123="HUF", 1, IFERROR(VLOOKUP(A123&amp;E123, '91_Data_ExRates'!A:D, 4, FALSE), 1))</f>
        <v>0</v>
      </c>
    </row>
    <row r="124" spans="1:14">
      <c r="A124" t="s">
        <v>101</v>
      </c>
      <c r="B124" t="s">
        <v>381</v>
      </c>
      <c r="C124" t="s">
        <v>388</v>
      </c>
      <c r="D124">
        <v>1.46</v>
      </c>
      <c r="E124" t="s">
        <v>397</v>
      </c>
      <c r="F124" t="s">
        <v>407</v>
      </c>
      <c r="I124" t="s">
        <v>417</v>
      </c>
      <c r="J124" t="s">
        <v>525</v>
      </c>
      <c r="K124" t="s">
        <v>1025</v>
      </c>
      <c r="L124" s="8">
        <f>D124*N124</f>
        <v>0</v>
      </c>
      <c r="N124" s="8">
        <f>IF(E124="HUF", 1, IFERROR(VLOOKUP(A124&amp;E124, '91_Data_ExRates'!A:D, 4, FALSE), 1))</f>
        <v>0</v>
      </c>
    </row>
    <row r="125" spans="1:14">
      <c r="A125" t="s">
        <v>101</v>
      </c>
      <c r="B125" t="s">
        <v>383</v>
      </c>
      <c r="C125" t="s">
        <v>385</v>
      </c>
      <c r="D125">
        <v>60000</v>
      </c>
      <c r="E125" t="s">
        <v>396</v>
      </c>
      <c r="I125" t="s">
        <v>417</v>
      </c>
      <c r="J125" t="s">
        <v>526</v>
      </c>
      <c r="K125" t="s">
        <v>1026</v>
      </c>
      <c r="L125" s="8">
        <f>D125*N125</f>
        <v>0</v>
      </c>
      <c r="N125" s="8">
        <f>IF(E125="HUF", 1, IFERROR(VLOOKUP(A125&amp;E125, '91_Data_ExRates'!A:D, 4, FALSE), 1))</f>
        <v>0</v>
      </c>
    </row>
    <row r="126" spans="1:14">
      <c r="A126" t="s">
        <v>101</v>
      </c>
      <c r="B126" t="s">
        <v>382</v>
      </c>
      <c r="C126" t="s">
        <v>385</v>
      </c>
      <c r="D126">
        <v>30000</v>
      </c>
      <c r="E126" t="s">
        <v>396</v>
      </c>
      <c r="F126" t="s">
        <v>407</v>
      </c>
      <c r="I126" t="s">
        <v>417</v>
      </c>
      <c r="J126" t="s">
        <v>527</v>
      </c>
      <c r="K126" t="s">
        <v>1027</v>
      </c>
      <c r="L126" s="8">
        <f>D126*N126</f>
        <v>0</v>
      </c>
      <c r="N126" s="8">
        <f>IF(E126="HUF", 1, IFERROR(VLOOKUP(A126&amp;E126, '91_Data_ExRates'!A:D, 4, FALSE), 1))</f>
        <v>0</v>
      </c>
    </row>
    <row r="127" spans="1:14">
      <c r="A127" t="s">
        <v>102</v>
      </c>
      <c r="B127" t="s">
        <v>383</v>
      </c>
      <c r="C127" t="s">
        <v>389</v>
      </c>
      <c r="D127">
        <v>50000</v>
      </c>
      <c r="E127" t="s">
        <v>396</v>
      </c>
      <c r="I127" t="s">
        <v>417</v>
      </c>
      <c r="K127" t="s">
        <v>1028</v>
      </c>
      <c r="L127" s="8">
        <f>D127*N127</f>
        <v>0</v>
      </c>
      <c r="N127" s="8">
        <f>IF(E127="HUF", 1, IFERROR(VLOOKUP(A127&amp;E127, '91_Data_ExRates'!A:D, 4, FALSE), 1))</f>
        <v>0</v>
      </c>
    </row>
    <row r="128" spans="1:14">
      <c r="A128" t="s">
        <v>102</v>
      </c>
      <c r="B128" t="s">
        <v>382</v>
      </c>
      <c r="C128" t="s">
        <v>384</v>
      </c>
      <c r="D128">
        <v>36100</v>
      </c>
      <c r="E128" t="s">
        <v>396</v>
      </c>
      <c r="F128" t="s">
        <v>407</v>
      </c>
      <c r="I128" t="s">
        <v>417</v>
      </c>
      <c r="J128" t="s">
        <v>528</v>
      </c>
      <c r="K128" t="s">
        <v>1029</v>
      </c>
      <c r="L128" s="8">
        <f>D128*N128</f>
        <v>0</v>
      </c>
      <c r="N128" s="8">
        <f>IF(E128="HUF", 1, IFERROR(VLOOKUP(A128&amp;E128, '91_Data_ExRates'!A:D, 4, FALSE), 1))</f>
        <v>0</v>
      </c>
    </row>
    <row r="129" spans="1:14">
      <c r="A129" t="s">
        <v>103</v>
      </c>
      <c r="B129" t="s">
        <v>381</v>
      </c>
      <c r="C129" t="s">
        <v>385</v>
      </c>
      <c r="D129">
        <v>3540</v>
      </c>
      <c r="E129" t="s">
        <v>396</v>
      </c>
      <c r="F129" t="s">
        <v>406</v>
      </c>
      <c r="I129" t="s">
        <v>417</v>
      </c>
      <c r="J129" t="s">
        <v>529</v>
      </c>
      <c r="K129" t="s">
        <v>1030</v>
      </c>
      <c r="L129" s="8">
        <f>D129*N129</f>
        <v>0</v>
      </c>
      <c r="N129" s="8">
        <f>IF(E129="HUF", 1, IFERROR(VLOOKUP(A129&amp;E129, '91_Data_ExRates'!A:D, 4, FALSE), 1))</f>
        <v>0</v>
      </c>
    </row>
    <row r="130" spans="1:14">
      <c r="A130" t="s">
        <v>103</v>
      </c>
      <c r="B130" t="s">
        <v>381</v>
      </c>
      <c r="C130" t="s">
        <v>384</v>
      </c>
      <c r="D130">
        <v>3990</v>
      </c>
      <c r="E130" t="s">
        <v>396</v>
      </c>
      <c r="F130" t="s">
        <v>406</v>
      </c>
      <c r="I130" t="s">
        <v>417</v>
      </c>
      <c r="J130" t="s">
        <v>530</v>
      </c>
      <c r="K130" t="s">
        <v>1031</v>
      </c>
      <c r="L130" s="8">
        <f>D130*N130</f>
        <v>0</v>
      </c>
      <c r="N130" s="8">
        <f>IF(E130="HUF", 1, IFERROR(VLOOKUP(A130&amp;E130, '91_Data_ExRates'!A:D, 4, FALSE), 1))</f>
        <v>0</v>
      </c>
    </row>
    <row r="131" spans="1:14">
      <c r="A131" t="s">
        <v>104</v>
      </c>
      <c r="B131" t="s">
        <v>381</v>
      </c>
      <c r="C131" t="s">
        <v>384</v>
      </c>
      <c r="D131">
        <v>8641</v>
      </c>
      <c r="E131" t="s">
        <v>396</v>
      </c>
      <c r="F131" t="s">
        <v>401</v>
      </c>
      <c r="I131" t="s">
        <v>417</v>
      </c>
      <c r="J131" t="s">
        <v>531</v>
      </c>
      <c r="K131" t="s">
        <v>1032</v>
      </c>
      <c r="L131" s="8">
        <f>D131*N131</f>
        <v>0</v>
      </c>
      <c r="N131" s="8">
        <f>IF(E131="HUF", 1, IFERROR(VLOOKUP(A131&amp;E131, '91_Data_ExRates'!A:D, 4, FALSE), 1))</f>
        <v>0</v>
      </c>
    </row>
    <row r="132" spans="1:14">
      <c r="A132" t="s">
        <v>105</v>
      </c>
      <c r="B132" t="s">
        <v>382</v>
      </c>
      <c r="C132" t="s">
        <v>385</v>
      </c>
      <c r="D132">
        <v>20000</v>
      </c>
      <c r="E132" t="s">
        <v>396</v>
      </c>
      <c r="F132" t="s">
        <v>401</v>
      </c>
      <c r="I132" t="s">
        <v>417</v>
      </c>
      <c r="J132" t="s">
        <v>532</v>
      </c>
      <c r="K132" t="s">
        <v>1033</v>
      </c>
      <c r="L132" s="8">
        <f>D132*N132</f>
        <v>0</v>
      </c>
      <c r="N132" s="8">
        <f>IF(E132="HUF", 1, IFERROR(VLOOKUP(A132&amp;E132, '91_Data_ExRates'!A:D, 4, FALSE), 1))</f>
        <v>0</v>
      </c>
    </row>
    <row r="133" spans="1:14">
      <c r="A133" t="s">
        <v>106</v>
      </c>
      <c r="B133" t="s">
        <v>381</v>
      </c>
      <c r="C133" t="s">
        <v>390</v>
      </c>
      <c r="D133">
        <v>4.5</v>
      </c>
      <c r="E133" t="s">
        <v>398</v>
      </c>
      <c r="F133" t="s">
        <v>403</v>
      </c>
      <c r="I133" t="s">
        <v>417</v>
      </c>
      <c r="J133" t="s">
        <v>533</v>
      </c>
      <c r="K133" t="s">
        <v>1034</v>
      </c>
      <c r="L133" s="8">
        <f>D133*N133</f>
        <v>0</v>
      </c>
      <c r="N133" s="8">
        <f>IF(E133="HUF", 1, IFERROR(VLOOKUP(A133&amp;E133, '91_Data_ExRates'!A:D, 4, FALSE), 1))</f>
        <v>0</v>
      </c>
    </row>
    <row r="134" spans="1:14">
      <c r="A134" t="s">
        <v>106</v>
      </c>
      <c r="B134" t="s">
        <v>381</v>
      </c>
      <c r="C134" t="s">
        <v>390</v>
      </c>
      <c r="D134">
        <v>27.1</v>
      </c>
      <c r="E134" t="s">
        <v>398</v>
      </c>
      <c r="F134" t="s">
        <v>403</v>
      </c>
      <c r="I134" t="s">
        <v>417</v>
      </c>
      <c r="J134" t="s">
        <v>534</v>
      </c>
      <c r="K134" t="s">
        <v>1035</v>
      </c>
      <c r="L134" s="8">
        <f>D134*N134</f>
        <v>0</v>
      </c>
      <c r="N134" s="8">
        <f>IF(E134="HUF", 1, IFERROR(VLOOKUP(A134&amp;E134, '91_Data_ExRates'!A:D, 4, FALSE), 1))</f>
        <v>0</v>
      </c>
    </row>
    <row r="135" spans="1:14">
      <c r="A135" t="s">
        <v>106</v>
      </c>
      <c r="B135" t="s">
        <v>381</v>
      </c>
      <c r="C135" t="s">
        <v>384</v>
      </c>
      <c r="D135">
        <v>3694.55</v>
      </c>
      <c r="E135" t="s">
        <v>396</v>
      </c>
      <c r="F135" t="s">
        <v>403</v>
      </c>
      <c r="I135" t="s">
        <v>417</v>
      </c>
      <c r="J135" t="s">
        <v>535</v>
      </c>
      <c r="K135" t="s">
        <v>1036</v>
      </c>
      <c r="L135" s="8">
        <f>D135*N135</f>
        <v>0</v>
      </c>
      <c r="N135" s="8">
        <f>IF(E135="HUF", 1, IFERROR(VLOOKUP(A135&amp;E135, '91_Data_ExRates'!A:D, 4, FALSE), 1))</f>
        <v>0</v>
      </c>
    </row>
    <row r="136" spans="1:14">
      <c r="A136" t="s">
        <v>106</v>
      </c>
      <c r="B136" t="s">
        <v>381</v>
      </c>
      <c r="C136" t="s">
        <v>390</v>
      </c>
      <c r="D136">
        <v>12</v>
      </c>
      <c r="E136" t="s">
        <v>398</v>
      </c>
      <c r="F136" t="s">
        <v>404</v>
      </c>
      <c r="I136" t="s">
        <v>417</v>
      </c>
      <c r="J136" t="s">
        <v>536</v>
      </c>
      <c r="K136" t="s">
        <v>1037</v>
      </c>
      <c r="L136" s="8">
        <f>D136*N136</f>
        <v>0</v>
      </c>
      <c r="N136" s="8">
        <f>IF(E136="HUF", 1, IFERROR(VLOOKUP(A136&amp;E136, '91_Data_ExRates'!A:D, 4, FALSE), 1))</f>
        <v>0</v>
      </c>
    </row>
    <row r="137" spans="1:14">
      <c r="A137" t="s">
        <v>106</v>
      </c>
      <c r="B137" t="s">
        <v>381</v>
      </c>
      <c r="C137" t="s">
        <v>390</v>
      </c>
      <c r="D137">
        <v>30.9</v>
      </c>
      <c r="E137" t="s">
        <v>398</v>
      </c>
      <c r="F137" t="s">
        <v>403</v>
      </c>
      <c r="I137" t="s">
        <v>417</v>
      </c>
      <c r="J137" t="s">
        <v>537</v>
      </c>
      <c r="K137" t="s">
        <v>1038</v>
      </c>
      <c r="L137" s="8">
        <f>D137*N137</f>
        <v>0</v>
      </c>
      <c r="N137" s="8">
        <f>IF(E137="HUF", 1, IFERROR(VLOOKUP(A137&amp;E137, '91_Data_ExRates'!A:D, 4, FALSE), 1))</f>
        <v>0</v>
      </c>
    </row>
    <row r="138" spans="1:14">
      <c r="A138" t="s">
        <v>106</v>
      </c>
      <c r="B138" t="s">
        <v>381</v>
      </c>
      <c r="C138" t="s">
        <v>390</v>
      </c>
      <c r="D138">
        <v>3</v>
      </c>
      <c r="E138" t="s">
        <v>398</v>
      </c>
      <c r="F138" t="s">
        <v>402</v>
      </c>
      <c r="I138" t="s">
        <v>417</v>
      </c>
      <c r="J138" t="s">
        <v>538</v>
      </c>
      <c r="K138" t="s">
        <v>1039</v>
      </c>
      <c r="L138" s="8">
        <f>D138*N138</f>
        <v>0</v>
      </c>
      <c r="N138" s="8">
        <f>IF(E138="HUF", 1, IFERROR(VLOOKUP(A138&amp;E138, '91_Data_ExRates'!A:D, 4, FALSE), 1))</f>
        <v>0</v>
      </c>
    </row>
    <row r="139" spans="1:14">
      <c r="A139" t="s">
        <v>106</v>
      </c>
      <c r="B139" t="s">
        <v>383</v>
      </c>
      <c r="C139" t="s">
        <v>388</v>
      </c>
      <c r="D139">
        <v>20</v>
      </c>
      <c r="E139" t="s">
        <v>397</v>
      </c>
      <c r="I139" t="s">
        <v>417</v>
      </c>
      <c r="J139" t="s">
        <v>539</v>
      </c>
      <c r="K139" t="s">
        <v>1040</v>
      </c>
      <c r="L139" s="8">
        <f>D139*N139</f>
        <v>0</v>
      </c>
      <c r="N139" s="8">
        <f>IF(E139="HUF", 1, IFERROR(VLOOKUP(A139&amp;E139, '91_Data_ExRates'!A:D, 4, FALSE), 1))</f>
        <v>0</v>
      </c>
    </row>
    <row r="140" spans="1:14">
      <c r="A140" t="s">
        <v>106</v>
      </c>
      <c r="B140" t="s">
        <v>383</v>
      </c>
      <c r="C140" t="s">
        <v>388</v>
      </c>
      <c r="D140">
        <v>130</v>
      </c>
      <c r="E140" t="s">
        <v>397</v>
      </c>
      <c r="I140" t="s">
        <v>417</v>
      </c>
      <c r="J140" t="s">
        <v>540</v>
      </c>
      <c r="K140" t="s">
        <v>1041</v>
      </c>
      <c r="L140" s="8">
        <f>D140*N140</f>
        <v>0</v>
      </c>
      <c r="N140" s="8">
        <f>IF(E140="HUF", 1, IFERROR(VLOOKUP(A140&amp;E140, '91_Data_ExRates'!A:D, 4, FALSE), 1))</f>
        <v>0</v>
      </c>
    </row>
    <row r="141" spans="1:14">
      <c r="A141" t="s">
        <v>107</v>
      </c>
      <c r="B141" t="s">
        <v>381</v>
      </c>
      <c r="C141" t="s">
        <v>390</v>
      </c>
      <c r="D141">
        <v>4.85</v>
      </c>
      <c r="E141" t="s">
        <v>398</v>
      </c>
      <c r="F141" t="s">
        <v>403</v>
      </c>
      <c r="I141" t="s">
        <v>417</v>
      </c>
      <c r="J141" t="s">
        <v>541</v>
      </c>
      <c r="K141" t="s">
        <v>1042</v>
      </c>
      <c r="L141" s="8">
        <f>D141*N141</f>
        <v>0</v>
      </c>
      <c r="N141" s="8">
        <f>IF(E141="HUF", 1, IFERROR(VLOOKUP(A141&amp;E141, '91_Data_ExRates'!A:D, 4, FALSE), 1))</f>
        <v>0</v>
      </c>
    </row>
    <row r="142" spans="1:14">
      <c r="A142" t="s">
        <v>107</v>
      </c>
      <c r="B142" t="s">
        <v>381</v>
      </c>
      <c r="C142" t="s">
        <v>390</v>
      </c>
      <c r="D142">
        <v>3</v>
      </c>
      <c r="E142" t="s">
        <v>398</v>
      </c>
      <c r="F142" t="s">
        <v>402</v>
      </c>
      <c r="I142" t="s">
        <v>417</v>
      </c>
      <c r="J142" t="s">
        <v>542</v>
      </c>
      <c r="K142" t="s">
        <v>1043</v>
      </c>
      <c r="L142" s="8">
        <f>D142*N142</f>
        <v>0</v>
      </c>
      <c r="N142" s="8">
        <f>IF(E142="HUF", 1, IFERROR(VLOOKUP(A142&amp;E142, '91_Data_ExRates'!A:D, 4, FALSE), 1))</f>
        <v>0</v>
      </c>
    </row>
    <row r="143" spans="1:14">
      <c r="A143" t="s">
        <v>107</v>
      </c>
      <c r="B143" t="s">
        <v>381</v>
      </c>
      <c r="C143" t="s">
        <v>390</v>
      </c>
      <c r="D143">
        <v>32</v>
      </c>
      <c r="E143" t="s">
        <v>398</v>
      </c>
      <c r="F143" t="s">
        <v>404</v>
      </c>
      <c r="I143" t="s">
        <v>417</v>
      </c>
      <c r="J143" t="s">
        <v>543</v>
      </c>
      <c r="K143" t="s">
        <v>1044</v>
      </c>
      <c r="L143" s="8">
        <f>D143*N143</f>
        <v>0</v>
      </c>
      <c r="N143" s="8">
        <f>IF(E143="HUF", 1, IFERROR(VLOOKUP(A143&amp;E143, '91_Data_ExRates'!A:D, 4, FALSE), 1))</f>
        <v>0</v>
      </c>
    </row>
    <row r="144" spans="1:14">
      <c r="A144" t="s">
        <v>107</v>
      </c>
      <c r="B144" t="s">
        <v>381</v>
      </c>
      <c r="C144" t="s">
        <v>390</v>
      </c>
      <c r="D144">
        <v>41</v>
      </c>
      <c r="E144" t="s">
        <v>398</v>
      </c>
      <c r="F144" t="s">
        <v>403</v>
      </c>
      <c r="I144" t="s">
        <v>417</v>
      </c>
      <c r="J144" t="s">
        <v>544</v>
      </c>
      <c r="K144" t="s">
        <v>1045</v>
      </c>
      <c r="L144" s="8">
        <f>D144*N144</f>
        <v>0</v>
      </c>
      <c r="N144" s="8">
        <f>IF(E144="HUF", 1, IFERROR(VLOOKUP(A144&amp;E144, '91_Data_ExRates'!A:D, 4, FALSE), 1))</f>
        <v>0</v>
      </c>
    </row>
    <row r="145" spans="1:14">
      <c r="A145" t="s">
        <v>107</v>
      </c>
      <c r="B145" t="s">
        <v>381</v>
      </c>
      <c r="C145" t="s">
        <v>390</v>
      </c>
      <c r="D145">
        <v>9</v>
      </c>
      <c r="E145" t="s">
        <v>398</v>
      </c>
      <c r="F145" t="s">
        <v>404</v>
      </c>
      <c r="I145" t="s">
        <v>417</v>
      </c>
      <c r="J145" t="s">
        <v>545</v>
      </c>
      <c r="K145" t="s">
        <v>1046</v>
      </c>
      <c r="L145" s="8">
        <f>D145*N145</f>
        <v>0</v>
      </c>
      <c r="N145" s="8">
        <f>IF(E145="HUF", 1, IFERROR(VLOOKUP(A145&amp;E145, '91_Data_ExRates'!A:D, 4, FALSE), 1))</f>
        <v>0</v>
      </c>
    </row>
    <row r="146" spans="1:14">
      <c r="A146" t="s">
        <v>107</v>
      </c>
      <c r="B146" t="s">
        <v>381</v>
      </c>
      <c r="C146" t="s">
        <v>390</v>
      </c>
      <c r="D146">
        <v>10</v>
      </c>
      <c r="E146" t="s">
        <v>398</v>
      </c>
      <c r="F146" t="s">
        <v>404</v>
      </c>
      <c r="I146" t="s">
        <v>417</v>
      </c>
      <c r="J146" t="s">
        <v>546</v>
      </c>
      <c r="K146" t="s">
        <v>1047</v>
      </c>
      <c r="L146" s="8">
        <f>D146*N146</f>
        <v>0</v>
      </c>
      <c r="N146" s="8">
        <f>IF(E146="HUF", 1, IFERROR(VLOOKUP(A146&amp;E146, '91_Data_ExRates'!A:D, 4, FALSE), 1))</f>
        <v>0</v>
      </c>
    </row>
    <row r="147" spans="1:14">
      <c r="A147" t="s">
        <v>107</v>
      </c>
      <c r="B147" t="s">
        <v>381</v>
      </c>
      <c r="C147" t="s">
        <v>384</v>
      </c>
      <c r="D147">
        <v>6350.78</v>
      </c>
      <c r="E147" t="s">
        <v>396</v>
      </c>
      <c r="F147" t="s">
        <v>403</v>
      </c>
      <c r="I147" t="s">
        <v>417</v>
      </c>
      <c r="J147" t="s">
        <v>547</v>
      </c>
      <c r="K147" t="s">
        <v>1048</v>
      </c>
      <c r="L147" s="8">
        <f>D147*N147</f>
        <v>0</v>
      </c>
      <c r="N147" s="8">
        <f>IF(E147="HUF", 1, IFERROR(VLOOKUP(A147&amp;E147, '91_Data_ExRates'!A:D, 4, FALSE), 1))</f>
        <v>0</v>
      </c>
    </row>
    <row r="148" spans="1:14">
      <c r="A148" t="s">
        <v>108</v>
      </c>
      <c r="B148" t="s">
        <v>381</v>
      </c>
      <c r="C148" t="s">
        <v>390</v>
      </c>
      <c r="D148">
        <v>16</v>
      </c>
      <c r="E148" t="s">
        <v>398</v>
      </c>
      <c r="F148" t="s">
        <v>402</v>
      </c>
      <c r="I148" t="s">
        <v>417</v>
      </c>
      <c r="J148" t="s">
        <v>548</v>
      </c>
      <c r="K148" t="s">
        <v>1049</v>
      </c>
      <c r="L148" s="8">
        <f>D148*N148</f>
        <v>0</v>
      </c>
      <c r="N148" s="8">
        <f>IF(E148="HUF", 1, IFERROR(VLOOKUP(A148&amp;E148, '91_Data_ExRates'!A:D, 4, FALSE), 1))</f>
        <v>0</v>
      </c>
    </row>
    <row r="149" spans="1:14">
      <c r="A149" t="s">
        <v>108</v>
      </c>
      <c r="B149" t="s">
        <v>381</v>
      </c>
      <c r="C149" t="s">
        <v>390</v>
      </c>
      <c r="D149">
        <v>8</v>
      </c>
      <c r="E149" t="s">
        <v>398</v>
      </c>
      <c r="F149" t="s">
        <v>407</v>
      </c>
      <c r="I149" t="s">
        <v>417</v>
      </c>
      <c r="J149" t="s">
        <v>549</v>
      </c>
      <c r="K149" t="s">
        <v>1050</v>
      </c>
      <c r="L149" s="8">
        <f>D149*N149</f>
        <v>0</v>
      </c>
      <c r="N149" s="8">
        <f>IF(E149="HUF", 1, IFERROR(VLOOKUP(A149&amp;E149, '91_Data_ExRates'!A:D, 4, FALSE), 1))</f>
        <v>0</v>
      </c>
    </row>
    <row r="150" spans="1:14">
      <c r="A150" t="s">
        <v>108</v>
      </c>
      <c r="B150" t="s">
        <v>381</v>
      </c>
      <c r="C150" t="s">
        <v>390</v>
      </c>
      <c r="D150">
        <v>3</v>
      </c>
      <c r="E150" t="s">
        <v>398</v>
      </c>
      <c r="F150" t="s">
        <v>401</v>
      </c>
      <c r="I150" t="s">
        <v>417</v>
      </c>
      <c r="J150" t="s">
        <v>550</v>
      </c>
      <c r="K150" t="s">
        <v>1051</v>
      </c>
      <c r="L150" s="8">
        <f>D150*N150</f>
        <v>0</v>
      </c>
      <c r="N150" s="8">
        <f>IF(E150="HUF", 1, IFERROR(VLOOKUP(A150&amp;E150, '91_Data_ExRates'!A:D, 4, FALSE), 1))</f>
        <v>0</v>
      </c>
    </row>
    <row r="151" spans="1:14">
      <c r="A151" t="s">
        <v>108</v>
      </c>
      <c r="B151" t="s">
        <v>381</v>
      </c>
      <c r="C151" t="s">
        <v>390</v>
      </c>
      <c r="D151">
        <v>16</v>
      </c>
      <c r="E151" t="s">
        <v>398</v>
      </c>
      <c r="F151" t="s">
        <v>402</v>
      </c>
      <c r="I151" t="s">
        <v>417</v>
      </c>
      <c r="J151" t="s">
        <v>551</v>
      </c>
      <c r="K151" t="s">
        <v>1052</v>
      </c>
      <c r="L151" s="8">
        <f>D151*N151</f>
        <v>0</v>
      </c>
      <c r="N151" s="8">
        <f>IF(E151="HUF", 1, IFERROR(VLOOKUP(A151&amp;E151, '91_Data_ExRates'!A:D, 4, FALSE), 1))</f>
        <v>0</v>
      </c>
    </row>
    <row r="152" spans="1:14">
      <c r="A152" t="s">
        <v>108</v>
      </c>
      <c r="B152" t="s">
        <v>381</v>
      </c>
      <c r="C152" t="s">
        <v>390</v>
      </c>
      <c r="D152">
        <v>3.6</v>
      </c>
      <c r="E152" t="s">
        <v>398</v>
      </c>
      <c r="F152" t="s">
        <v>403</v>
      </c>
      <c r="I152" t="s">
        <v>417</v>
      </c>
      <c r="J152" t="s">
        <v>552</v>
      </c>
      <c r="K152" t="s">
        <v>1053</v>
      </c>
      <c r="L152" s="8">
        <f>D152*N152</f>
        <v>0</v>
      </c>
      <c r="N152" s="8">
        <f>IF(E152="HUF", 1, IFERROR(VLOOKUP(A152&amp;E152, '91_Data_ExRates'!A:D, 4, FALSE), 1))</f>
        <v>0</v>
      </c>
    </row>
    <row r="153" spans="1:14">
      <c r="A153" t="s">
        <v>109</v>
      </c>
      <c r="B153" t="s">
        <v>381</v>
      </c>
      <c r="C153" t="s">
        <v>390</v>
      </c>
      <c r="D153">
        <v>4</v>
      </c>
      <c r="E153" t="s">
        <v>398</v>
      </c>
      <c r="F153" t="s">
        <v>403</v>
      </c>
      <c r="I153" t="s">
        <v>417</v>
      </c>
      <c r="J153" t="s">
        <v>553</v>
      </c>
      <c r="K153" t="s">
        <v>1054</v>
      </c>
      <c r="L153" s="8">
        <f>D153*N153</f>
        <v>0</v>
      </c>
      <c r="N153" s="8">
        <f>IF(E153="HUF", 1, IFERROR(VLOOKUP(A153&amp;E153, '91_Data_ExRates'!A:D, 4, FALSE), 1))</f>
        <v>0</v>
      </c>
    </row>
    <row r="154" spans="1:14">
      <c r="A154" t="s">
        <v>109</v>
      </c>
      <c r="B154" t="s">
        <v>381</v>
      </c>
      <c r="C154" t="s">
        <v>390</v>
      </c>
      <c r="D154">
        <v>25.9</v>
      </c>
      <c r="E154" t="s">
        <v>398</v>
      </c>
      <c r="F154" t="s">
        <v>403</v>
      </c>
      <c r="I154" t="s">
        <v>417</v>
      </c>
      <c r="J154" t="s">
        <v>554</v>
      </c>
      <c r="K154" t="s">
        <v>1055</v>
      </c>
      <c r="L154" s="8">
        <f>D154*N154</f>
        <v>0</v>
      </c>
      <c r="N154" s="8">
        <f>IF(E154="HUF", 1, IFERROR(VLOOKUP(A154&amp;E154, '91_Data_ExRates'!A:D, 4, FALSE), 1))</f>
        <v>0</v>
      </c>
    </row>
    <row r="155" spans="1:14">
      <c r="A155" t="s">
        <v>109</v>
      </c>
      <c r="B155" t="s">
        <v>381</v>
      </c>
      <c r="C155" t="s">
        <v>390</v>
      </c>
      <c r="D155">
        <v>3</v>
      </c>
      <c r="E155" t="s">
        <v>398</v>
      </c>
      <c r="F155" t="s">
        <v>402</v>
      </c>
      <c r="I155" t="s">
        <v>417</v>
      </c>
      <c r="J155" t="s">
        <v>555</v>
      </c>
      <c r="K155" t="s">
        <v>1056</v>
      </c>
      <c r="L155" s="8">
        <f>D155*N155</f>
        <v>0</v>
      </c>
      <c r="N155" s="8">
        <f>IF(E155="HUF", 1, IFERROR(VLOOKUP(A155&amp;E155, '91_Data_ExRates'!A:D, 4, FALSE), 1))</f>
        <v>0</v>
      </c>
    </row>
    <row r="156" spans="1:14">
      <c r="A156" t="s">
        <v>109</v>
      </c>
      <c r="B156" t="s">
        <v>381</v>
      </c>
      <c r="C156" t="s">
        <v>390</v>
      </c>
      <c r="D156">
        <v>8</v>
      </c>
      <c r="E156" t="s">
        <v>398</v>
      </c>
      <c r="F156" t="s">
        <v>404</v>
      </c>
      <c r="I156" t="s">
        <v>417</v>
      </c>
      <c r="J156" t="s">
        <v>556</v>
      </c>
      <c r="K156" t="s">
        <v>1057</v>
      </c>
      <c r="L156" s="8">
        <f>D156*N156</f>
        <v>0</v>
      </c>
      <c r="N156" s="8">
        <f>IF(E156="HUF", 1, IFERROR(VLOOKUP(A156&amp;E156, '91_Data_ExRates'!A:D, 4, FALSE), 1))</f>
        <v>0</v>
      </c>
    </row>
    <row r="157" spans="1:14">
      <c r="A157" t="s">
        <v>109</v>
      </c>
      <c r="B157" t="s">
        <v>381</v>
      </c>
      <c r="C157" t="s">
        <v>390</v>
      </c>
      <c r="D157">
        <v>15.65</v>
      </c>
      <c r="E157" t="s">
        <v>398</v>
      </c>
      <c r="F157" t="s">
        <v>401</v>
      </c>
      <c r="I157" t="s">
        <v>417</v>
      </c>
      <c r="J157" t="s">
        <v>557</v>
      </c>
      <c r="K157" t="s">
        <v>1058</v>
      </c>
      <c r="L157" s="8">
        <f>D157*N157</f>
        <v>0</v>
      </c>
      <c r="N157" s="8">
        <f>IF(E157="HUF", 1, IFERROR(VLOOKUP(A157&amp;E157, '91_Data_ExRates'!A:D, 4, FALSE), 1))</f>
        <v>0</v>
      </c>
    </row>
    <row r="158" spans="1:14">
      <c r="A158" t="s">
        <v>110</v>
      </c>
      <c r="B158" t="s">
        <v>381</v>
      </c>
      <c r="C158" t="s">
        <v>384</v>
      </c>
      <c r="D158">
        <v>220</v>
      </c>
      <c r="E158" t="s">
        <v>396</v>
      </c>
      <c r="F158" t="s">
        <v>402</v>
      </c>
      <c r="I158" t="s">
        <v>417</v>
      </c>
      <c r="J158" t="s">
        <v>497</v>
      </c>
      <c r="K158" t="s">
        <v>1059</v>
      </c>
      <c r="L158" s="8">
        <f>D158*N158</f>
        <v>0</v>
      </c>
      <c r="N158" s="8">
        <f>IF(E158="HUF", 1, IFERROR(VLOOKUP(A158&amp;E158, '91_Data_ExRates'!A:D, 4, FALSE), 1))</f>
        <v>0</v>
      </c>
    </row>
    <row r="159" spans="1:14">
      <c r="A159" t="s">
        <v>111</v>
      </c>
      <c r="B159" t="s">
        <v>382</v>
      </c>
      <c r="C159" t="s">
        <v>384</v>
      </c>
      <c r="D159">
        <v>9034</v>
      </c>
      <c r="E159" t="s">
        <v>396</v>
      </c>
      <c r="F159" t="s">
        <v>405</v>
      </c>
      <c r="I159" t="s">
        <v>417</v>
      </c>
      <c r="J159" t="s">
        <v>558</v>
      </c>
      <c r="K159" t="s">
        <v>1060</v>
      </c>
      <c r="L159" s="8">
        <f>D159*N159</f>
        <v>0</v>
      </c>
      <c r="N159" s="8">
        <f>IF(E159="HUF", 1, IFERROR(VLOOKUP(A159&amp;E159, '91_Data_ExRates'!A:D, 4, FALSE), 1))</f>
        <v>0</v>
      </c>
    </row>
    <row r="160" spans="1:14">
      <c r="A160" t="s">
        <v>112</v>
      </c>
      <c r="B160" t="s">
        <v>381</v>
      </c>
      <c r="C160" t="s">
        <v>384</v>
      </c>
      <c r="D160">
        <v>220</v>
      </c>
      <c r="E160" t="s">
        <v>396</v>
      </c>
      <c r="F160" t="s">
        <v>402</v>
      </c>
      <c r="I160" t="s">
        <v>417</v>
      </c>
      <c r="J160" t="s">
        <v>507</v>
      </c>
      <c r="K160" t="s">
        <v>1061</v>
      </c>
      <c r="L160" s="8">
        <f>D160*N160</f>
        <v>0</v>
      </c>
      <c r="N160" s="8">
        <f>IF(E160="HUF", 1, IFERROR(VLOOKUP(A160&amp;E160, '91_Data_ExRates'!A:D, 4, FALSE), 1))</f>
        <v>0</v>
      </c>
    </row>
    <row r="161" spans="1:14">
      <c r="A161" t="s">
        <v>113</v>
      </c>
      <c r="B161" t="s">
        <v>381</v>
      </c>
      <c r="C161" t="s">
        <v>385</v>
      </c>
      <c r="D161">
        <v>700</v>
      </c>
      <c r="E161" t="s">
        <v>396</v>
      </c>
      <c r="F161" t="s">
        <v>404</v>
      </c>
      <c r="I161" t="s">
        <v>417</v>
      </c>
      <c r="J161" t="s">
        <v>559</v>
      </c>
      <c r="K161" t="s">
        <v>1062</v>
      </c>
      <c r="L161" s="8">
        <f>D161*N161</f>
        <v>0</v>
      </c>
      <c r="N161" s="8">
        <f>IF(E161="HUF", 1, IFERROR(VLOOKUP(A161&amp;E161, '91_Data_ExRates'!A:D, 4, FALSE), 1))</f>
        <v>0</v>
      </c>
    </row>
    <row r="162" spans="1:14">
      <c r="A162" t="s">
        <v>114</v>
      </c>
      <c r="B162" t="s">
        <v>382</v>
      </c>
      <c r="C162" t="s">
        <v>384</v>
      </c>
      <c r="D162">
        <v>10400</v>
      </c>
      <c r="E162" t="s">
        <v>396</v>
      </c>
      <c r="F162" t="s">
        <v>407</v>
      </c>
      <c r="I162" t="s">
        <v>417</v>
      </c>
      <c r="J162" t="s">
        <v>560</v>
      </c>
      <c r="K162" t="s">
        <v>1063</v>
      </c>
      <c r="L162" s="8">
        <f>D162*N162</f>
        <v>0</v>
      </c>
      <c r="N162" s="8">
        <f>IF(E162="HUF", 1, IFERROR(VLOOKUP(A162&amp;E162, '91_Data_ExRates'!A:D, 4, FALSE), 1))</f>
        <v>0</v>
      </c>
    </row>
    <row r="163" spans="1:14">
      <c r="A163" t="s">
        <v>114</v>
      </c>
      <c r="B163" t="s">
        <v>383</v>
      </c>
      <c r="C163" t="s">
        <v>384</v>
      </c>
      <c r="D163">
        <v>390625</v>
      </c>
      <c r="E163" t="s">
        <v>396</v>
      </c>
      <c r="I163" t="s">
        <v>417</v>
      </c>
      <c r="K163" t="s">
        <v>1064</v>
      </c>
      <c r="L163" s="8">
        <f>D163*N163</f>
        <v>0</v>
      </c>
      <c r="N163" s="8">
        <f>IF(E163="HUF", 1, IFERROR(VLOOKUP(A163&amp;E163, '91_Data_ExRates'!A:D, 4, FALSE), 1))</f>
        <v>0</v>
      </c>
    </row>
    <row r="164" spans="1:14">
      <c r="A164" t="s">
        <v>115</v>
      </c>
      <c r="B164" t="s">
        <v>381</v>
      </c>
      <c r="C164" t="s">
        <v>385</v>
      </c>
      <c r="D164">
        <v>3940</v>
      </c>
      <c r="E164" t="s">
        <v>396</v>
      </c>
      <c r="F164" t="s">
        <v>403</v>
      </c>
      <c r="I164" t="s">
        <v>417</v>
      </c>
      <c r="J164" t="s">
        <v>561</v>
      </c>
      <c r="K164" t="s">
        <v>1065</v>
      </c>
      <c r="L164" s="8">
        <f>D164*N164</f>
        <v>0</v>
      </c>
      <c r="N164" s="8">
        <f>IF(E164="HUF", 1, IFERROR(VLOOKUP(A164&amp;E164, '91_Data_ExRates'!A:D, 4, FALSE), 1))</f>
        <v>0</v>
      </c>
    </row>
    <row r="165" spans="1:14">
      <c r="A165" t="s">
        <v>115</v>
      </c>
      <c r="B165" t="s">
        <v>381</v>
      </c>
      <c r="C165" t="s">
        <v>384</v>
      </c>
      <c r="D165">
        <v>5500</v>
      </c>
      <c r="E165" t="s">
        <v>396</v>
      </c>
      <c r="F165" t="s">
        <v>407</v>
      </c>
      <c r="I165" t="s">
        <v>417</v>
      </c>
      <c r="J165" t="s">
        <v>562</v>
      </c>
      <c r="K165" t="s">
        <v>1066</v>
      </c>
      <c r="L165" s="8">
        <f>D165*N165</f>
        <v>0</v>
      </c>
      <c r="N165" s="8">
        <f>IF(E165="HUF", 1, IFERROR(VLOOKUP(A165&amp;E165, '91_Data_ExRates'!A:D, 4, FALSE), 1))</f>
        <v>0</v>
      </c>
    </row>
    <row r="166" spans="1:14">
      <c r="A166" t="s">
        <v>116</v>
      </c>
      <c r="B166" t="s">
        <v>383</v>
      </c>
      <c r="C166" t="s">
        <v>391</v>
      </c>
      <c r="D166">
        <v>516.22</v>
      </c>
      <c r="E166" t="s">
        <v>399</v>
      </c>
      <c r="I166" t="s">
        <v>417</v>
      </c>
      <c r="J166" t="s">
        <v>563</v>
      </c>
      <c r="K166" t="s">
        <v>1067</v>
      </c>
      <c r="L166" s="8">
        <f>D166*N166</f>
        <v>0</v>
      </c>
      <c r="N166" s="8">
        <f>IF(E166="HUF", 1, IFERROR(VLOOKUP(A166&amp;E166, '91_Data_ExRates'!A:D, 4, FALSE), 1))</f>
        <v>0</v>
      </c>
    </row>
    <row r="167" spans="1:14">
      <c r="A167" t="s">
        <v>117</v>
      </c>
      <c r="B167" t="s">
        <v>382</v>
      </c>
      <c r="C167" t="s">
        <v>384</v>
      </c>
      <c r="D167">
        <v>10011</v>
      </c>
      <c r="E167" t="s">
        <v>396</v>
      </c>
      <c r="F167" t="s">
        <v>405</v>
      </c>
      <c r="I167" t="s">
        <v>417</v>
      </c>
      <c r="J167" t="s">
        <v>564</v>
      </c>
      <c r="K167" t="s">
        <v>1068</v>
      </c>
      <c r="L167" s="8">
        <f>D167*N167</f>
        <v>0</v>
      </c>
      <c r="N167" s="8">
        <f>IF(E167="HUF", 1, IFERROR(VLOOKUP(A167&amp;E167, '91_Data_ExRates'!A:D, 4, FALSE), 1))</f>
        <v>0</v>
      </c>
    </row>
    <row r="168" spans="1:14">
      <c r="A168" t="s">
        <v>118</v>
      </c>
      <c r="B168" t="s">
        <v>381</v>
      </c>
      <c r="C168" t="s">
        <v>384</v>
      </c>
      <c r="D168">
        <v>1044</v>
      </c>
      <c r="E168" t="s">
        <v>396</v>
      </c>
      <c r="F168" t="s">
        <v>404</v>
      </c>
      <c r="I168" t="s">
        <v>417</v>
      </c>
      <c r="J168" t="s">
        <v>565</v>
      </c>
      <c r="K168" t="s">
        <v>1069</v>
      </c>
      <c r="L168" s="8">
        <f>D168*N168</f>
        <v>0</v>
      </c>
      <c r="N168" s="8">
        <f>IF(E168="HUF", 1, IFERROR(VLOOKUP(A168&amp;E168, '91_Data_ExRates'!A:D, 4, FALSE), 1))</f>
        <v>0</v>
      </c>
    </row>
    <row r="169" spans="1:14">
      <c r="A169" t="s">
        <v>119</v>
      </c>
      <c r="B169" t="s">
        <v>382</v>
      </c>
      <c r="C169" t="s">
        <v>385</v>
      </c>
      <c r="D169">
        <v>30000</v>
      </c>
      <c r="E169" t="s">
        <v>396</v>
      </c>
      <c r="F169" t="s">
        <v>401</v>
      </c>
      <c r="I169" t="s">
        <v>417</v>
      </c>
      <c r="J169" t="s">
        <v>566</v>
      </c>
      <c r="K169" t="s">
        <v>1070</v>
      </c>
      <c r="L169" s="8">
        <f>D169*N169</f>
        <v>0</v>
      </c>
      <c r="N169" s="8">
        <f>IF(E169="HUF", 1, IFERROR(VLOOKUP(A169&amp;E169, '91_Data_ExRates'!A:D, 4, FALSE), 1))</f>
        <v>0</v>
      </c>
    </row>
    <row r="170" spans="1:14">
      <c r="A170" t="s">
        <v>119</v>
      </c>
      <c r="B170" t="s">
        <v>382</v>
      </c>
      <c r="C170" t="s">
        <v>385</v>
      </c>
      <c r="D170">
        <v>2500</v>
      </c>
      <c r="E170" t="s">
        <v>396</v>
      </c>
      <c r="F170" t="s">
        <v>401</v>
      </c>
      <c r="I170" t="s">
        <v>417</v>
      </c>
      <c r="J170" t="s">
        <v>567</v>
      </c>
      <c r="K170" t="s">
        <v>1071</v>
      </c>
      <c r="L170" s="8">
        <f>D170*N170</f>
        <v>0</v>
      </c>
      <c r="N170" s="8">
        <f>IF(E170="HUF", 1, IFERROR(VLOOKUP(A170&amp;E170, '91_Data_ExRates'!A:D, 4, FALSE), 1))</f>
        <v>0</v>
      </c>
    </row>
    <row r="171" spans="1:14">
      <c r="A171" t="s">
        <v>120</v>
      </c>
      <c r="B171" t="s">
        <v>381</v>
      </c>
      <c r="C171" t="s">
        <v>384</v>
      </c>
      <c r="D171">
        <v>2090</v>
      </c>
      <c r="E171" t="s">
        <v>396</v>
      </c>
      <c r="F171" t="s">
        <v>403</v>
      </c>
      <c r="I171" t="s">
        <v>417</v>
      </c>
      <c r="J171" t="s">
        <v>568</v>
      </c>
      <c r="K171" t="s">
        <v>1072</v>
      </c>
      <c r="L171" s="8">
        <f>D171*N171</f>
        <v>0</v>
      </c>
      <c r="N171" s="8">
        <f>IF(E171="HUF", 1, IFERROR(VLOOKUP(A171&amp;E171, '91_Data_ExRates'!A:D, 4, FALSE), 1))</f>
        <v>0</v>
      </c>
    </row>
    <row r="172" spans="1:14">
      <c r="A172" t="s">
        <v>120</v>
      </c>
      <c r="B172" t="s">
        <v>381</v>
      </c>
      <c r="C172" t="s">
        <v>385</v>
      </c>
      <c r="D172">
        <v>5200</v>
      </c>
      <c r="E172" t="s">
        <v>396</v>
      </c>
      <c r="F172" t="s">
        <v>403</v>
      </c>
      <c r="I172" t="s">
        <v>417</v>
      </c>
      <c r="J172" t="s">
        <v>569</v>
      </c>
      <c r="K172" t="s">
        <v>1073</v>
      </c>
      <c r="L172" s="8">
        <f>D172*N172</f>
        <v>0</v>
      </c>
      <c r="N172" s="8">
        <f>IF(E172="HUF", 1, IFERROR(VLOOKUP(A172&amp;E172, '91_Data_ExRates'!A:D, 4, FALSE), 1))</f>
        <v>0</v>
      </c>
    </row>
    <row r="173" spans="1:14">
      <c r="A173" t="s">
        <v>120</v>
      </c>
      <c r="B173" t="s">
        <v>381</v>
      </c>
      <c r="C173" t="s">
        <v>384</v>
      </c>
      <c r="D173">
        <v>2720</v>
      </c>
      <c r="E173" t="s">
        <v>396</v>
      </c>
      <c r="F173" t="s">
        <v>404</v>
      </c>
      <c r="I173" t="s">
        <v>417</v>
      </c>
      <c r="J173" t="s">
        <v>570</v>
      </c>
      <c r="K173" t="s">
        <v>1074</v>
      </c>
      <c r="L173" s="8">
        <f>D173*N173</f>
        <v>0</v>
      </c>
      <c r="N173" s="8">
        <f>IF(E173="HUF", 1, IFERROR(VLOOKUP(A173&amp;E173, '91_Data_ExRates'!A:D, 4, FALSE), 1))</f>
        <v>0</v>
      </c>
    </row>
    <row r="174" spans="1:14">
      <c r="A174" t="s">
        <v>120</v>
      </c>
      <c r="B174" t="s">
        <v>383</v>
      </c>
      <c r="C174" t="s">
        <v>385</v>
      </c>
      <c r="D174">
        <v>4039</v>
      </c>
      <c r="E174" t="s">
        <v>396</v>
      </c>
      <c r="I174" t="s">
        <v>417</v>
      </c>
      <c r="J174" t="s">
        <v>571</v>
      </c>
      <c r="K174" t="s">
        <v>1075</v>
      </c>
      <c r="L174" s="8">
        <f>D174*N174</f>
        <v>0</v>
      </c>
      <c r="N174" s="8">
        <f>IF(E174="HUF", 1, IFERROR(VLOOKUP(A174&amp;E174, '91_Data_ExRates'!A:D, 4, FALSE), 1))</f>
        <v>0</v>
      </c>
    </row>
    <row r="175" spans="1:14">
      <c r="A175" t="s">
        <v>120</v>
      </c>
      <c r="B175" t="s">
        <v>381</v>
      </c>
      <c r="C175" t="s">
        <v>385</v>
      </c>
      <c r="D175">
        <v>5150</v>
      </c>
      <c r="E175" t="s">
        <v>396</v>
      </c>
      <c r="F175" t="s">
        <v>403</v>
      </c>
      <c r="I175" t="s">
        <v>417</v>
      </c>
      <c r="J175" t="s">
        <v>572</v>
      </c>
      <c r="K175" t="s">
        <v>1076</v>
      </c>
      <c r="L175" s="8">
        <f>D175*N175</f>
        <v>0</v>
      </c>
      <c r="N175" s="8">
        <f>IF(E175="HUF", 1, IFERROR(VLOOKUP(A175&amp;E175, '91_Data_ExRates'!A:D, 4, FALSE), 1))</f>
        <v>0</v>
      </c>
    </row>
    <row r="176" spans="1:14">
      <c r="A176" t="s">
        <v>121</v>
      </c>
      <c r="B176" t="s">
        <v>381</v>
      </c>
      <c r="C176" t="s">
        <v>385</v>
      </c>
      <c r="D176">
        <v>1300</v>
      </c>
      <c r="E176" t="s">
        <v>396</v>
      </c>
      <c r="F176" t="s">
        <v>404</v>
      </c>
      <c r="I176" t="s">
        <v>417</v>
      </c>
      <c r="J176" t="s">
        <v>573</v>
      </c>
      <c r="K176" t="s">
        <v>1077</v>
      </c>
      <c r="L176" s="8">
        <f>D176*N176</f>
        <v>0</v>
      </c>
      <c r="N176" s="8">
        <f>IF(E176="HUF", 1, IFERROR(VLOOKUP(A176&amp;E176, '91_Data_ExRates'!A:D, 4, FALSE), 1))</f>
        <v>0</v>
      </c>
    </row>
    <row r="177" spans="1:14">
      <c r="A177" t="s">
        <v>122</v>
      </c>
      <c r="B177" t="s">
        <v>381</v>
      </c>
      <c r="C177" t="s">
        <v>385</v>
      </c>
      <c r="D177">
        <v>2200</v>
      </c>
      <c r="E177" t="s">
        <v>396</v>
      </c>
      <c r="F177" t="s">
        <v>404</v>
      </c>
      <c r="I177" t="s">
        <v>417</v>
      </c>
      <c r="J177" t="s">
        <v>574</v>
      </c>
      <c r="K177" t="s">
        <v>1078</v>
      </c>
      <c r="L177" s="8">
        <f>D177*N177</f>
        <v>0</v>
      </c>
      <c r="N177" s="8">
        <f>IF(E177="HUF", 1, IFERROR(VLOOKUP(A177&amp;E177, '91_Data_ExRates'!A:D, 4, FALSE), 1))</f>
        <v>0</v>
      </c>
    </row>
    <row r="178" spans="1:14">
      <c r="A178" t="s">
        <v>122</v>
      </c>
      <c r="B178" t="s">
        <v>381</v>
      </c>
      <c r="C178" t="s">
        <v>384</v>
      </c>
      <c r="D178">
        <v>1870</v>
      </c>
      <c r="E178" t="s">
        <v>396</v>
      </c>
      <c r="F178" t="s">
        <v>403</v>
      </c>
      <c r="I178" t="s">
        <v>417</v>
      </c>
      <c r="J178" t="s">
        <v>575</v>
      </c>
      <c r="K178" t="s">
        <v>1079</v>
      </c>
      <c r="L178" s="8">
        <f>D178*N178</f>
        <v>0</v>
      </c>
      <c r="N178" s="8">
        <f>IF(E178="HUF", 1, IFERROR(VLOOKUP(A178&amp;E178, '91_Data_ExRates'!A:D, 4, FALSE), 1))</f>
        <v>0</v>
      </c>
    </row>
    <row r="179" spans="1:14">
      <c r="A179" t="s">
        <v>122</v>
      </c>
      <c r="B179" t="s">
        <v>381</v>
      </c>
      <c r="C179" t="s">
        <v>385</v>
      </c>
      <c r="D179">
        <v>3390</v>
      </c>
      <c r="E179" t="s">
        <v>396</v>
      </c>
      <c r="F179" t="s">
        <v>403</v>
      </c>
      <c r="I179" t="s">
        <v>417</v>
      </c>
      <c r="J179" t="s">
        <v>576</v>
      </c>
      <c r="K179" t="s">
        <v>1080</v>
      </c>
      <c r="L179" s="8">
        <f>D179*N179</f>
        <v>0</v>
      </c>
      <c r="N179" s="8">
        <f>IF(E179="HUF", 1, IFERROR(VLOOKUP(A179&amp;E179, '91_Data_ExRates'!A:D, 4, FALSE), 1))</f>
        <v>0</v>
      </c>
    </row>
    <row r="180" spans="1:14">
      <c r="A180" t="s">
        <v>122</v>
      </c>
      <c r="B180" t="s">
        <v>381</v>
      </c>
      <c r="C180" t="s">
        <v>385</v>
      </c>
      <c r="D180">
        <v>2100</v>
      </c>
      <c r="E180" t="s">
        <v>396</v>
      </c>
      <c r="F180" t="s">
        <v>403</v>
      </c>
      <c r="I180" t="s">
        <v>417</v>
      </c>
      <c r="J180" t="s">
        <v>577</v>
      </c>
      <c r="K180" t="s">
        <v>1081</v>
      </c>
      <c r="L180" s="8">
        <f>D180*N180</f>
        <v>0</v>
      </c>
      <c r="N180" s="8">
        <f>IF(E180="HUF", 1, IFERROR(VLOOKUP(A180&amp;E180, '91_Data_ExRates'!A:D, 4, FALSE), 1))</f>
        <v>0</v>
      </c>
    </row>
    <row r="181" spans="1:14">
      <c r="A181" t="s">
        <v>122</v>
      </c>
      <c r="B181" t="s">
        <v>381</v>
      </c>
      <c r="C181" t="s">
        <v>385</v>
      </c>
      <c r="D181">
        <v>1300</v>
      </c>
      <c r="E181" t="s">
        <v>396</v>
      </c>
      <c r="F181" t="s">
        <v>404</v>
      </c>
      <c r="I181" t="s">
        <v>417</v>
      </c>
      <c r="J181" t="s">
        <v>573</v>
      </c>
      <c r="K181" t="s">
        <v>1082</v>
      </c>
      <c r="L181" s="8">
        <f>D181*N181</f>
        <v>0</v>
      </c>
      <c r="N181" s="8">
        <f>IF(E181="HUF", 1, IFERROR(VLOOKUP(A181&amp;E181, '91_Data_ExRates'!A:D, 4, FALSE), 1))</f>
        <v>0</v>
      </c>
    </row>
    <row r="182" spans="1:14">
      <c r="A182" t="s">
        <v>122</v>
      </c>
      <c r="B182" t="s">
        <v>381</v>
      </c>
      <c r="C182" t="s">
        <v>385</v>
      </c>
      <c r="D182">
        <v>1200</v>
      </c>
      <c r="E182" t="s">
        <v>396</v>
      </c>
      <c r="F182" t="s">
        <v>404</v>
      </c>
      <c r="I182" t="s">
        <v>417</v>
      </c>
      <c r="J182" t="s">
        <v>578</v>
      </c>
      <c r="K182" t="s">
        <v>1083</v>
      </c>
      <c r="L182" s="8">
        <f>D182*N182</f>
        <v>0</v>
      </c>
      <c r="N182" s="8">
        <f>IF(E182="HUF", 1, IFERROR(VLOOKUP(A182&amp;E182, '91_Data_ExRates'!A:D, 4, FALSE), 1))</f>
        <v>0</v>
      </c>
    </row>
    <row r="183" spans="1:14">
      <c r="A183" t="s">
        <v>123</v>
      </c>
      <c r="B183" t="s">
        <v>381</v>
      </c>
      <c r="C183" t="s">
        <v>385</v>
      </c>
      <c r="D183">
        <v>1300</v>
      </c>
      <c r="E183" t="s">
        <v>396</v>
      </c>
      <c r="F183" t="s">
        <v>404</v>
      </c>
      <c r="I183" t="s">
        <v>417</v>
      </c>
      <c r="J183" t="s">
        <v>579</v>
      </c>
      <c r="K183" t="s">
        <v>1084</v>
      </c>
      <c r="L183" s="8">
        <f>D183*N183</f>
        <v>0</v>
      </c>
      <c r="N183" s="8">
        <f>IF(E183="HUF", 1, IFERROR(VLOOKUP(A183&amp;E183, '91_Data_ExRates'!A:D, 4, FALSE), 1))</f>
        <v>0</v>
      </c>
    </row>
    <row r="184" spans="1:14">
      <c r="A184" t="s">
        <v>123</v>
      </c>
      <c r="B184" t="s">
        <v>381</v>
      </c>
      <c r="C184" t="s">
        <v>384</v>
      </c>
      <c r="D184">
        <v>2200</v>
      </c>
      <c r="E184" t="s">
        <v>396</v>
      </c>
      <c r="F184" t="s">
        <v>403</v>
      </c>
      <c r="I184" t="s">
        <v>417</v>
      </c>
      <c r="J184" t="s">
        <v>580</v>
      </c>
      <c r="K184" t="s">
        <v>1085</v>
      </c>
      <c r="L184" s="8">
        <f>D184*N184</f>
        <v>0</v>
      </c>
      <c r="N184" s="8">
        <f>IF(E184="HUF", 1, IFERROR(VLOOKUP(A184&amp;E184, '91_Data_ExRates'!A:D, 4, FALSE), 1))</f>
        <v>0</v>
      </c>
    </row>
    <row r="185" spans="1:14">
      <c r="A185" t="s">
        <v>124</v>
      </c>
      <c r="B185" t="s">
        <v>381</v>
      </c>
      <c r="C185" t="s">
        <v>385</v>
      </c>
      <c r="D185">
        <v>3600</v>
      </c>
      <c r="E185" t="s">
        <v>396</v>
      </c>
      <c r="F185" t="s">
        <v>406</v>
      </c>
      <c r="I185" t="s">
        <v>417</v>
      </c>
      <c r="J185" t="s">
        <v>581</v>
      </c>
      <c r="K185" t="s">
        <v>1086</v>
      </c>
      <c r="L185" s="8">
        <f>D185*N185</f>
        <v>0</v>
      </c>
      <c r="N185" s="8">
        <f>IF(E185="HUF", 1, IFERROR(VLOOKUP(A185&amp;E185, '91_Data_ExRates'!A:D, 4, FALSE), 1))</f>
        <v>0</v>
      </c>
    </row>
    <row r="186" spans="1:14">
      <c r="A186" t="s">
        <v>125</v>
      </c>
      <c r="B186" t="s">
        <v>381</v>
      </c>
      <c r="C186" t="s">
        <v>385</v>
      </c>
      <c r="D186">
        <v>945</v>
      </c>
      <c r="E186" t="s">
        <v>396</v>
      </c>
      <c r="F186" t="s">
        <v>402</v>
      </c>
      <c r="I186" t="s">
        <v>417</v>
      </c>
      <c r="J186" t="s">
        <v>582</v>
      </c>
      <c r="K186" t="s">
        <v>1087</v>
      </c>
      <c r="L186" s="8">
        <f>D186*N186</f>
        <v>0</v>
      </c>
      <c r="N186" s="8">
        <f>IF(E186="HUF", 1, IFERROR(VLOOKUP(A186&amp;E186, '91_Data_ExRates'!A:D, 4, FALSE), 1))</f>
        <v>0</v>
      </c>
    </row>
    <row r="187" spans="1:14">
      <c r="A187" t="s">
        <v>125</v>
      </c>
      <c r="B187" t="s">
        <v>381</v>
      </c>
      <c r="C187" t="s">
        <v>384</v>
      </c>
      <c r="D187">
        <v>220</v>
      </c>
      <c r="E187" t="s">
        <v>396</v>
      </c>
      <c r="F187" t="s">
        <v>402</v>
      </c>
      <c r="I187" t="s">
        <v>417</v>
      </c>
      <c r="J187" t="s">
        <v>583</v>
      </c>
      <c r="K187" t="s">
        <v>1088</v>
      </c>
      <c r="L187" s="8">
        <f>D187*N187</f>
        <v>0</v>
      </c>
      <c r="N187" s="8">
        <f>IF(E187="HUF", 1, IFERROR(VLOOKUP(A187&amp;E187, '91_Data_ExRates'!A:D, 4, FALSE), 1))</f>
        <v>0</v>
      </c>
    </row>
    <row r="188" spans="1:14">
      <c r="A188" t="s">
        <v>126</v>
      </c>
      <c r="B188" t="s">
        <v>381</v>
      </c>
      <c r="C188" t="s">
        <v>384</v>
      </c>
      <c r="D188">
        <v>190</v>
      </c>
      <c r="E188" t="s">
        <v>396</v>
      </c>
      <c r="F188" t="s">
        <v>402</v>
      </c>
      <c r="I188" t="s">
        <v>417</v>
      </c>
      <c r="J188" t="s">
        <v>435</v>
      </c>
      <c r="K188" t="s">
        <v>1089</v>
      </c>
      <c r="L188" s="8">
        <f>D188*N188</f>
        <v>0</v>
      </c>
      <c r="N188" s="8">
        <f>IF(E188="HUF", 1, IFERROR(VLOOKUP(A188&amp;E188, '91_Data_ExRates'!A:D, 4, FALSE), 1))</f>
        <v>0</v>
      </c>
    </row>
    <row r="189" spans="1:14">
      <c r="A189" t="s">
        <v>127</v>
      </c>
      <c r="B189" t="s">
        <v>381</v>
      </c>
      <c r="C189" t="s">
        <v>385</v>
      </c>
      <c r="D189">
        <v>1615</v>
      </c>
      <c r="E189" t="s">
        <v>396</v>
      </c>
      <c r="F189" t="s">
        <v>404</v>
      </c>
      <c r="I189" t="s">
        <v>417</v>
      </c>
      <c r="J189" t="s">
        <v>584</v>
      </c>
      <c r="K189" t="s">
        <v>1090</v>
      </c>
      <c r="L189" s="8">
        <f>D189*N189</f>
        <v>0</v>
      </c>
      <c r="N189" s="8">
        <f>IF(E189="HUF", 1, IFERROR(VLOOKUP(A189&amp;E189, '91_Data_ExRates'!A:D, 4, FALSE), 1))</f>
        <v>0</v>
      </c>
    </row>
    <row r="190" spans="1:14">
      <c r="A190" t="s">
        <v>127</v>
      </c>
      <c r="B190" t="s">
        <v>381</v>
      </c>
      <c r="C190" t="s">
        <v>385</v>
      </c>
      <c r="D190">
        <v>1900</v>
      </c>
      <c r="E190" t="s">
        <v>396</v>
      </c>
      <c r="F190" t="s">
        <v>406</v>
      </c>
      <c r="I190" t="s">
        <v>417</v>
      </c>
      <c r="J190" t="s">
        <v>585</v>
      </c>
      <c r="K190" t="s">
        <v>1091</v>
      </c>
      <c r="L190" s="8">
        <f>D190*N190</f>
        <v>0</v>
      </c>
      <c r="N190" s="8">
        <f>IF(E190="HUF", 1, IFERROR(VLOOKUP(A190&amp;E190, '91_Data_ExRates'!A:D, 4, FALSE), 1))</f>
        <v>0</v>
      </c>
    </row>
    <row r="191" spans="1:14">
      <c r="A191" t="s">
        <v>127</v>
      </c>
      <c r="B191" t="s">
        <v>381</v>
      </c>
      <c r="C191" t="s">
        <v>385</v>
      </c>
      <c r="D191">
        <v>2030</v>
      </c>
      <c r="E191" t="s">
        <v>396</v>
      </c>
      <c r="F191" t="s">
        <v>401</v>
      </c>
      <c r="I191" t="s">
        <v>417</v>
      </c>
      <c r="J191" t="s">
        <v>586</v>
      </c>
      <c r="K191" t="s">
        <v>1092</v>
      </c>
      <c r="L191" s="8">
        <f>D191*N191</f>
        <v>0</v>
      </c>
      <c r="N191" s="8">
        <f>IF(E191="HUF", 1, IFERROR(VLOOKUP(A191&amp;E191, '91_Data_ExRates'!A:D, 4, FALSE), 1))</f>
        <v>0</v>
      </c>
    </row>
    <row r="192" spans="1:14">
      <c r="A192" t="s">
        <v>128</v>
      </c>
      <c r="B192" t="s">
        <v>381</v>
      </c>
      <c r="C192" t="s">
        <v>384</v>
      </c>
      <c r="D192">
        <v>190</v>
      </c>
      <c r="E192" t="s">
        <v>396</v>
      </c>
      <c r="F192" t="s">
        <v>402</v>
      </c>
      <c r="I192" t="s">
        <v>417</v>
      </c>
      <c r="J192" t="s">
        <v>497</v>
      </c>
      <c r="K192" t="s">
        <v>1093</v>
      </c>
      <c r="L192" s="8">
        <f>D192*N192</f>
        <v>0</v>
      </c>
      <c r="N192" s="8">
        <f>IF(E192="HUF", 1, IFERROR(VLOOKUP(A192&amp;E192, '91_Data_ExRates'!A:D, 4, FALSE), 1))</f>
        <v>0</v>
      </c>
    </row>
    <row r="193" spans="1:14">
      <c r="A193" t="s">
        <v>129</v>
      </c>
      <c r="B193" t="s">
        <v>381</v>
      </c>
      <c r="C193" t="s">
        <v>384</v>
      </c>
      <c r="D193">
        <v>9721.26</v>
      </c>
      <c r="E193" t="s">
        <v>396</v>
      </c>
      <c r="F193" t="s">
        <v>404</v>
      </c>
      <c r="I193" t="s">
        <v>417</v>
      </c>
      <c r="J193" t="s">
        <v>587</v>
      </c>
      <c r="K193" t="s">
        <v>1094</v>
      </c>
      <c r="L193" s="8">
        <f>D193*N193</f>
        <v>0</v>
      </c>
      <c r="N193" s="8">
        <f>IF(E193="HUF", 1, IFERROR(VLOOKUP(A193&amp;E193, '91_Data_ExRates'!A:D, 4, FALSE), 1))</f>
        <v>0</v>
      </c>
    </row>
    <row r="194" spans="1:14">
      <c r="A194" t="s">
        <v>130</v>
      </c>
      <c r="B194" t="s">
        <v>381</v>
      </c>
      <c r="C194" t="s">
        <v>384</v>
      </c>
      <c r="D194">
        <v>2080</v>
      </c>
      <c r="E194" t="s">
        <v>396</v>
      </c>
      <c r="F194" t="s">
        <v>401</v>
      </c>
      <c r="I194" t="s">
        <v>417</v>
      </c>
      <c r="J194" t="s">
        <v>588</v>
      </c>
      <c r="K194" t="s">
        <v>1095</v>
      </c>
      <c r="L194" s="8">
        <f>D194*N194</f>
        <v>0</v>
      </c>
      <c r="N194" s="8">
        <f>IF(E194="HUF", 1, IFERROR(VLOOKUP(A194&amp;E194, '91_Data_ExRates'!A:D, 4, FALSE), 1))</f>
        <v>0</v>
      </c>
    </row>
    <row r="195" spans="1:14">
      <c r="A195" t="s">
        <v>130</v>
      </c>
      <c r="B195" t="s">
        <v>381</v>
      </c>
      <c r="C195" t="s">
        <v>385</v>
      </c>
      <c r="D195">
        <v>7000</v>
      </c>
      <c r="E195" t="s">
        <v>396</v>
      </c>
      <c r="F195" t="s">
        <v>401</v>
      </c>
      <c r="I195" t="s">
        <v>417</v>
      </c>
      <c r="J195" t="s">
        <v>589</v>
      </c>
      <c r="K195" t="s">
        <v>1096</v>
      </c>
      <c r="L195" s="8">
        <f>D195*N195</f>
        <v>0</v>
      </c>
      <c r="N195" s="8">
        <f>IF(E195="HUF", 1, IFERROR(VLOOKUP(A195&amp;E195, '91_Data_ExRates'!A:D, 4, FALSE), 1))</f>
        <v>0</v>
      </c>
    </row>
    <row r="196" spans="1:14">
      <c r="A196" t="s">
        <v>130</v>
      </c>
      <c r="B196" t="s">
        <v>381</v>
      </c>
      <c r="C196" t="s">
        <v>385</v>
      </c>
      <c r="D196">
        <v>7070</v>
      </c>
      <c r="E196" t="s">
        <v>396</v>
      </c>
      <c r="F196" t="s">
        <v>401</v>
      </c>
      <c r="I196" t="s">
        <v>417</v>
      </c>
      <c r="J196" t="s">
        <v>590</v>
      </c>
      <c r="K196" t="s">
        <v>1097</v>
      </c>
      <c r="L196" s="8">
        <f>D196*N196</f>
        <v>0</v>
      </c>
      <c r="N196" s="8">
        <f>IF(E196="HUF", 1, IFERROR(VLOOKUP(A196&amp;E196, '91_Data_ExRates'!A:D, 4, FALSE), 1))</f>
        <v>0</v>
      </c>
    </row>
    <row r="197" spans="1:14">
      <c r="A197" t="s">
        <v>131</v>
      </c>
      <c r="B197" t="s">
        <v>381</v>
      </c>
      <c r="C197" t="s">
        <v>385</v>
      </c>
      <c r="D197">
        <v>1500</v>
      </c>
      <c r="E197" t="s">
        <v>396</v>
      </c>
      <c r="F197" t="s">
        <v>410</v>
      </c>
      <c r="I197" t="s">
        <v>417</v>
      </c>
      <c r="J197" t="s">
        <v>591</v>
      </c>
      <c r="K197" t="s">
        <v>1098</v>
      </c>
      <c r="L197" s="8">
        <f>D197*N197</f>
        <v>0</v>
      </c>
      <c r="N197" s="8">
        <f>IF(E197="HUF", 1, IFERROR(VLOOKUP(A197&amp;E197, '91_Data_ExRates'!A:D, 4, FALSE), 1))</f>
        <v>0</v>
      </c>
    </row>
    <row r="198" spans="1:14">
      <c r="A198" t="s">
        <v>131</v>
      </c>
      <c r="B198" t="s">
        <v>381</v>
      </c>
      <c r="C198" t="s">
        <v>384</v>
      </c>
      <c r="D198">
        <v>500</v>
      </c>
      <c r="E198" t="s">
        <v>396</v>
      </c>
      <c r="F198" t="s">
        <v>402</v>
      </c>
      <c r="I198" t="s">
        <v>417</v>
      </c>
      <c r="J198" t="s">
        <v>592</v>
      </c>
      <c r="K198" t="s">
        <v>1099</v>
      </c>
      <c r="L198" s="8">
        <f>D198*N198</f>
        <v>0</v>
      </c>
      <c r="N198" s="8">
        <f>IF(E198="HUF", 1, IFERROR(VLOOKUP(A198&amp;E198, '91_Data_ExRates'!A:D, 4, FALSE), 1))</f>
        <v>0</v>
      </c>
    </row>
    <row r="199" spans="1:14">
      <c r="A199" t="s">
        <v>132</v>
      </c>
      <c r="B199" t="s">
        <v>381</v>
      </c>
      <c r="C199" t="s">
        <v>384</v>
      </c>
      <c r="D199">
        <v>220</v>
      </c>
      <c r="E199" t="s">
        <v>396</v>
      </c>
      <c r="F199" t="s">
        <v>402</v>
      </c>
      <c r="I199" t="s">
        <v>417</v>
      </c>
      <c r="J199" t="s">
        <v>593</v>
      </c>
      <c r="K199" t="s">
        <v>1100</v>
      </c>
      <c r="L199" s="8">
        <f>D199*N199</f>
        <v>0</v>
      </c>
      <c r="N199" s="8">
        <f>IF(E199="HUF", 1, IFERROR(VLOOKUP(A199&amp;E199, '91_Data_ExRates'!A:D, 4, FALSE), 1))</f>
        <v>0</v>
      </c>
    </row>
    <row r="200" spans="1:14">
      <c r="A200" t="s">
        <v>133</v>
      </c>
      <c r="B200" t="s">
        <v>381</v>
      </c>
      <c r="C200" t="s">
        <v>385</v>
      </c>
      <c r="D200">
        <v>480</v>
      </c>
      <c r="E200" t="s">
        <v>396</v>
      </c>
      <c r="F200" t="s">
        <v>403</v>
      </c>
      <c r="I200" t="s">
        <v>417</v>
      </c>
      <c r="J200" t="s">
        <v>594</v>
      </c>
      <c r="K200" t="s">
        <v>1101</v>
      </c>
      <c r="L200" s="8">
        <f>D200*N200</f>
        <v>0</v>
      </c>
      <c r="N200" s="8">
        <f>IF(E200="HUF", 1, IFERROR(VLOOKUP(A200&amp;E200, '91_Data_ExRates'!A:D, 4, FALSE), 1))</f>
        <v>0</v>
      </c>
    </row>
    <row r="201" spans="1:14">
      <c r="A201" t="s">
        <v>134</v>
      </c>
      <c r="B201" t="s">
        <v>381</v>
      </c>
      <c r="C201" t="s">
        <v>384</v>
      </c>
      <c r="D201">
        <v>350</v>
      </c>
      <c r="E201" t="s">
        <v>396</v>
      </c>
      <c r="F201" t="s">
        <v>403</v>
      </c>
      <c r="I201" t="s">
        <v>417</v>
      </c>
      <c r="J201" t="s">
        <v>595</v>
      </c>
      <c r="K201" t="s">
        <v>1102</v>
      </c>
      <c r="L201" s="8">
        <f>D201*N201</f>
        <v>0</v>
      </c>
      <c r="N201" s="8">
        <f>IF(E201="HUF", 1, IFERROR(VLOOKUP(A201&amp;E201, '91_Data_ExRates'!A:D, 4, FALSE), 1))</f>
        <v>0</v>
      </c>
    </row>
    <row r="202" spans="1:14">
      <c r="A202" t="s">
        <v>135</v>
      </c>
      <c r="B202" t="s">
        <v>381</v>
      </c>
      <c r="C202" t="s">
        <v>384</v>
      </c>
      <c r="D202">
        <v>790</v>
      </c>
      <c r="E202" t="s">
        <v>396</v>
      </c>
      <c r="F202" t="s">
        <v>403</v>
      </c>
      <c r="I202" t="s">
        <v>417</v>
      </c>
      <c r="J202" t="s">
        <v>596</v>
      </c>
      <c r="K202" t="s">
        <v>1103</v>
      </c>
      <c r="L202" s="8">
        <f>D202*N202</f>
        <v>0</v>
      </c>
      <c r="N202" s="8">
        <f>IF(E202="HUF", 1, IFERROR(VLOOKUP(A202&amp;E202, '91_Data_ExRates'!A:D, 4, FALSE), 1))</f>
        <v>0</v>
      </c>
    </row>
    <row r="203" spans="1:14">
      <c r="A203" t="s">
        <v>135</v>
      </c>
      <c r="B203" t="s">
        <v>381</v>
      </c>
      <c r="C203" t="s">
        <v>384</v>
      </c>
      <c r="D203">
        <v>4077</v>
      </c>
      <c r="E203" t="s">
        <v>396</v>
      </c>
      <c r="F203" t="s">
        <v>404</v>
      </c>
      <c r="I203" t="s">
        <v>417</v>
      </c>
      <c r="J203" t="s">
        <v>597</v>
      </c>
      <c r="K203" t="s">
        <v>1104</v>
      </c>
      <c r="L203" s="8">
        <f>D203*N203</f>
        <v>0</v>
      </c>
      <c r="N203" s="8">
        <f>IF(E203="HUF", 1, IFERROR(VLOOKUP(A203&amp;E203, '91_Data_ExRates'!A:D, 4, FALSE), 1))</f>
        <v>0</v>
      </c>
    </row>
    <row r="204" spans="1:14">
      <c r="A204" t="s">
        <v>136</v>
      </c>
      <c r="B204" t="s">
        <v>381</v>
      </c>
      <c r="C204" t="s">
        <v>384</v>
      </c>
      <c r="D204">
        <v>1500</v>
      </c>
      <c r="E204" t="s">
        <v>396</v>
      </c>
      <c r="F204" t="s">
        <v>404</v>
      </c>
      <c r="I204" t="s">
        <v>417</v>
      </c>
      <c r="J204" t="s">
        <v>598</v>
      </c>
      <c r="K204" t="s">
        <v>1105</v>
      </c>
      <c r="L204" s="8">
        <f>D204*N204</f>
        <v>0</v>
      </c>
      <c r="N204" s="8">
        <f>IF(E204="HUF", 1, IFERROR(VLOOKUP(A204&amp;E204, '91_Data_ExRates'!A:D, 4, FALSE), 1))</f>
        <v>0</v>
      </c>
    </row>
    <row r="205" spans="1:14">
      <c r="A205" t="s">
        <v>137</v>
      </c>
      <c r="B205" t="s">
        <v>381</v>
      </c>
      <c r="C205" t="s">
        <v>385</v>
      </c>
      <c r="D205">
        <v>1600</v>
      </c>
      <c r="E205" t="s">
        <v>396</v>
      </c>
      <c r="F205" t="s">
        <v>404</v>
      </c>
      <c r="I205" t="s">
        <v>417</v>
      </c>
      <c r="J205" t="s">
        <v>599</v>
      </c>
      <c r="K205" t="s">
        <v>1106</v>
      </c>
      <c r="L205" s="8">
        <f>D205*N205</f>
        <v>0</v>
      </c>
      <c r="N205" s="8">
        <f>IF(E205="HUF", 1, IFERROR(VLOOKUP(A205&amp;E205, '91_Data_ExRates'!A:D, 4, FALSE), 1))</f>
        <v>0</v>
      </c>
    </row>
    <row r="206" spans="1:14">
      <c r="A206" t="s">
        <v>138</v>
      </c>
      <c r="B206" t="s">
        <v>381</v>
      </c>
      <c r="C206" t="s">
        <v>384</v>
      </c>
      <c r="D206">
        <v>220</v>
      </c>
      <c r="E206" t="s">
        <v>396</v>
      </c>
      <c r="F206" t="s">
        <v>402</v>
      </c>
      <c r="I206" t="s">
        <v>417</v>
      </c>
      <c r="J206" t="s">
        <v>435</v>
      </c>
      <c r="K206" t="s">
        <v>1107</v>
      </c>
      <c r="L206" s="8">
        <f>D206*N206</f>
        <v>0</v>
      </c>
      <c r="N206" s="8">
        <f>IF(E206="HUF", 1, IFERROR(VLOOKUP(A206&amp;E206, '91_Data_ExRates'!A:D, 4, FALSE), 1))</f>
        <v>0</v>
      </c>
    </row>
    <row r="207" spans="1:14">
      <c r="A207" t="s">
        <v>139</v>
      </c>
      <c r="B207" t="s">
        <v>381</v>
      </c>
      <c r="C207" t="s">
        <v>385</v>
      </c>
      <c r="D207">
        <v>800</v>
      </c>
      <c r="E207" t="s">
        <v>396</v>
      </c>
      <c r="F207" t="s">
        <v>403</v>
      </c>
      <c r="I207" t="s">
        <v>417</v>
      </c>
      <c r="J207" t="s">
        <v>600</v>
      </c>
      <c r="K207" t="s">
        <v>1108</v>
      </c>
      <c r="L207" s="8">
        <f>D207*N207</f>
        <v>0</v>
      </c>
      <c r="N207" s="8">
        <f>IF(E207="HUF", 1, IFERROR(VLOOKUP(A207&amp;E207, '91_Data_ExRates'!A:D, 4, FALSE), 1))</f>
        <v>0</v>
      </c>
    </row>
    <row r="208" spans="1:14">
      <c r="A208" t="s">
        <v>140</v>
      </c>
      <c r="B208" t="s">
        <v>381</v>
      </c>
      <c r="C208" t="s">
        <v>385</v>
      </c>
      <c r="D208">
        <v>2900</v>
      </c>
      <c r="E208" t="s">
        <v>396</v>
      </c>
      <c r="F208" t="s">
        <v>404</v>
      </c>
      <c r="I208" t="s">
        <v>417</v>
      </c>
      <c r="J208" t="s">
        <v>601</v>
      </c>
      <c r="K208" t="s">
        <v>1109</v>
      </c>
      <c r="L208" s="8">
        <f>D208*N208</f>
        <v>0</v>
      </c>
      <c r="N208" s="8">
        <f>IF(E208="HUF", 1, IFERROR(VLOOKUP(A208&amp;E208, '91_Data_ExRates'!A:D, 4, FALSE), 1))</f>
        <v>0</v>
      </c>
    </row>
    <row r="209" spans="1:14">
      <c r="A209" t="s">
        <v>140</v>
      </c>
      <c r="B209" t="s">
        <v>381</v>
      </c>
      <c r="C209" t="s">
        <v>385</v>
      </c>
      <c r="D209">
        <v>610</v>
      </c>
      <c r="E209" t="s">
        <v>396</v>
      </c>
      <c r="F209" t="s">
        <v>404</v>
      </c>
      <c r="I209" t="s">
        <v>417</v>
      </c>
      <c r="J209" t="s">
        <v>602</v>
      </c>
      <c r="K209" t="s">
        <v>1110</v>
      </c>
      <c r="L209" s="8">
        <f>D209*N209</f>
        <v>0</v>
      </c>
      <c r="N209" s="8">
        <f>IF(E209="HUF", 1, IFERROR(VLOOKUP(A209&amp;E209, '91_Data_ExRates'!A:D, 4, FALSE), 1))</f>
        <v>0</v>
      </c>
    </row>
    <row r="210" spans="1:14">
      <c r="A210" t="s">
        <v>140</v>
      </c>
      <c r="B210" t="s">
        <v>381</v>
      </c>
      <c r="C210" t="s">
        <v>385</v>
      </c>
      <c r="D210">
        <v>850</v>
      </c>
      <c r="E210" t="s">
        <v>396</v>
      </c>
      <c r="F210" t="s">
        <v>404</v>
      </c>
      <c r="I210" t="s">
        <v>417</v>
      </c>
      <c r="J210" t="s">
        <v>603</v>
      </c>
      <c r="K210" t="s">
        <v>1111</v>
      </c>
      <c r="L210" s="8">
        <f>D210*N210</f>
        <v>0</v>
      </c>
      <c r="N210" s="8">
        <f>IF(E210="HUF", 1, IFERROR(VLOOKUP(A210&amp;E210, '91_Data_ExRates'!A:D, 4, FALSE), 1))</f>
        <v>0</v>
      </c>
    </row>
    <row r="211" spans="1:14">
      <c r="A211" t="s">
        <v>141</v>
      </c>
      <c r="B211" t="s">
        <v>381</v>
      </c>
      <c r="C211" t="s">
        <v>384</v>
      </c>
      <c r="D211">
        <v>1890</v>
      </c>
      <c r="E211" t="s">
        <v>396</v>
      </c>
      <c r="F211" t="s">
        <v>402</v>
      </c>
      <c r="I211" t="s">
        <v>417</v>
      </c>
      <c r="J211" t="s">
        <v>604</v>
      </c>
      <c r="K211" t="s">
        <v>1112</v>
      </c>
      <c r="L211" s="8">
        <f>D211*N211</f>
        <v>0</v>
      </c>
      <c r="N211" s="8">
        <f>IF(E211="HUF", 1, IFERROR(VLOOKUP(A211&amp;E211, '91_Data_ExRates'!A:D, 4, FALSE), 1))</f>
        <v>0</v>
      </c>
    </row>
    <row r="212" spans="1:14">
      <c r="A212" t="s">
        <v>142</v>
      </c>
      <c r="B212" t="s">
        <v>381</v>
      </c>
      <c r="C212" t="s">
        <v>385</v>
      </c>
      <c r="D212">
        <v>2000</v>
      </c>
      <c r="E212" t="s">
        <v>396</v>
      </c>
      <c r="F212" t="s">
        <v>410</v>
      </c>
      <c r="I212" t="s">
        <v>417</v>
      </c>
      <c r="J212" t="s">
        <v>605</v>
      </c>
      <c r="K212" t="s">
        <v>1113</v>
      </c>
      <c r="L212" s="8">
        <f>D212*N212</f>
        <v>0</v>
      </c>
      <c r="N212" s="8">
        <f>IF(E212="HUF", 1, IFERROR(VLOOKUP(A212&amp;E212, '91_Data_ExRates'!A:D, 4, FALSE), 1))</f>
        <v>0</v>
      </c>
    </row>
    <row r="213" spans="1:14">
      <c r="A213" t="s">
        <v>143</v>
      </c>
      <c r="B213" t="s">
        <v>381</v>
      </c>
      <c r="C213" t="s">
        <v>385</v>
      </c>
      <c r="D213">
        <v>3080</v>
      </c>
      <c r="E213" t="s">
        <v>396</v>
      </c>
      <c r="F213" t="s">
        <v>403</v>
      </c>
      <c r="I213" t="s">
        <v>417</v>
      </c>
      <c r="J213" t="s">
        <v>606</v>
      </c>
      <c r="K213" t="s">
        <v>1114</v>
      </c>
      <c r="L213" s="8">
        <f>D213*N213</f>
        <v>0</v>
      </c>
      <c r="N213" s="8">
        <f>IF(E213="HUF", 1, IFERROR(VLOOKUP(A213&amp;E213, '91_Data_ExRates'!A:D, 4, FALSE), 1))</f>
        <v>0</v>
      </c>
    </row>
    <row r="214" spans="1:14">
      <c r="A214" t="s">
        <v>144</v>
      </c>
      <c r="B214" t="s">
        <v>381</v>
      </c>
      <c r="C214" t="s">
        <v>392</v>
      </c>
      <c r="D214">
        <v>8737</v>
      </c>
      <c r="E214" t="s">
        <v>396</v>
      </c>
      <c r="F214" t="s">
        <v>404</v>
      </c>
      <c r="I214" t="s">
        <v>417</v>
      </c>
      <c r="J214" t="s">
        <v>607</v>
      </c>
      <c r="K214" t="s">
        <v>1115</v>
      </c>
      <c r="L214" s="8">
        <f>D214*N214</f>
        <v>0</v>
      </c>
      <c r="N214" s="8">
        <f>IF(E214="HUF", 1, IFERROR(VLOOKUP(A214&amp;E214, '91_Data_ExRates'!A:D, 4, FALSE), 1))</f>
        <v>0</v>
      </c>
    </row>
    <row r="215" spans="1:14">
      <c r="A215" t="s">
        <v>144</v>
      </c>
      <c r="B215" t="s">
        <v>381</v>
      </c>
      <c r="C215" t="s">
        <v>384</v>
      </c>
      <c r="D215">
        <v>6819</v>
      </c>
      <c r="E215" t="s">
        <v>396</v>
      </c>
      <c r="F215" t="s">
        <v>404</v>
      </c>
      <c r="I215" t="s">
        <v>417</v>
      </c>
      <c r="J215" t="s">
        <v>608</v>
      </c>
      <c r="K215" t="s">
        <v>1116</v>
      </c>
      <c r="L215" s="8">
        <f>D215*N215</f>
        <v>0</v>
      </c>
      <c r="N215" s="8">
        <f>IF(E215="HUF", 1, IFERROR(VLOOKUP(A215&amp;E215, '91_Data_ExRates'!A:D, 4, FALSE), 1))</f>
        <v>0</v>
      </c>
    </row>
    <row r="216" spans="1:14">
      <c r="A216" t="s">
        <v>144</v>
      </c>
      <c r="B216" t="s">
        <v>381</v>
      </c>
      <c r="C216" t="s">
        <v>385</v>
      </c>
      <c r="D216">
        <v>2890</v>
      </c>
      <c r="E216" t="s">
        <v>396</v>
      </c>
      <c r="F216" t="s">
        <v>403</v>
      </c>
      <c r="I216" t="s">
        <v>417</v>
      </c>
      <c r="J216" t="s">
        <v>609</v>
      </c>
      <c r="K216" t="s">
        <v>1117</v>
      </c>
      <c r="L216" s="8">
        <f>D216*N216</f>
        <v>0</v>
      </c>
      <c r="N216" s="8">
        <f>IF(E216="HUF", 1, IFERROR(VLOOKUP(A216&amp;E216, '91_Data_ExRates'!A:D, 4, FALSE), 1))</f>
        <v>0</v>
      </c>
    </row>
    <row r="217" spans="1:14">
      <c r="A217" t="s">
        <v>145</v>
      </c>
      <c r="B217" t="s">
        <v>381</v>
      </c>
      <c r="C217" t="s">
        <v>385</v>
      </c>
      <c r="D217">
        <v>1850</v>
      </c>
      <c r="E217" t="s">
        <v>396</v>
      </c>
      <c r="F217" t="s">
        <v>403</v>
      </c>
      <c r="I217" t="s">
        <v>417</v>
      </c>
      <c r="J217" t="s">
        <v>610</v>
      </c>
      <c r="K217" t="s">
        <v>1118</v>
      </c>
      <c r="L217" s="8">
        <f>D217*N217</f>
        <v>0</v>
      </c>
      <c r="N217" s="8">
        <f>IF(E217="HUF", 1, IFERROR(VLOOKUP(A217&amp;E217, '91_Data_ExRates'!A:D, 4, FALSE), 1))</f>
        <v>0</v>
      </c>
    </row>
    <row r="218" spans="1:14">
      <c r="A218" t="s">
        <v>146</v>
      </c>
      <c r="B218" t="s">
        <v>383</v>
      </c>
      <c r="C218" t="s">
        <v>384</v>
      </c>
      <c r="D218">
        <v>70000</v>
      </c>
      <c r="E218" t="s">
        <v>396</v>
      </c>
      <c r="I218" t="s">
        <v>417</v>
      </c>
      <c r="K218" t="s">
        <v>1119</v>
      </c>
      <c r="L218" s="8">
        <f>D218*N218</f>
        <v>0</v>
      </c>
      <c r="N218" s="8">
        <f>IF(E218="HUF", 1, IFERROR(VLOOKUP(A218&amp;E218, '91_Data_ExRates'!A:D, 4, FALSE), 1))</f>
        <v>0</v>
      </c>
    </row>
    <row r="219" spans="1:14">
      <c r="A219" t="s">
        <v>147</v>
      </c>
      <c r="B219" t="s">
        <v>383</v>
      </c>
      <c r="C219" t="s">
        <v>385</v>
      </c>
      <c r="D219">
        <v>14000</v>
      </c>
      <c r="E219" t="s">
        <v>396</v>
      </c>
      <c r="I219" t="s">
        <v>417</v>
      </c>
      <c r="J219" t="s">
        <v>611</v>
      </c>
      <c r="K219" t="s">
        <v>1120</v>
      </c>
      <c r="L219" s="8">
        <f>D219*N219</f>
        <v>0</v>
      </c>
      <c r="N219" s="8">
        <f>IF(E219="HUF", 1, IFERROR(VLOOKUP(A219&amp;E219, '91_Data_ExRates'!A:D, 4, FALSE), 1))</f>
        <v>0</v>
      </c>
    </row>
    <row r="220" spans="1:14">
      <c r="A220" t="s">
        <v>148</v>
      </c>
      <c r="B220" t="s">
        <v>381</v>
      </c>
      <c r="C220" t="s">
        <v>385</v>
      </c>
      <c r="D220">
        <v>4000</v>
      </c>
      <c r="E220" t="s">
        <v>396</v>
      </c>
      <c r="F220" t="s">
        <v>401</v>
      </c>
      <c r="I220" t="s">
        <v>417</v>
      </c>
      <c r="J220" t="s">
        <v>612</v>
      </c>
      <c r="K220" t="s">
        <v>1121</v>
      </c>
      <c r="L220" s="8">
        <f>D220*N220</f>
        <v>0</v>
      </c>
      <c r="N220" s="8">
        <f>IF(E220="HUF", 1, IFERROR(VLOOKUP(A220&amp;E220, '91_Data_ExRates'!A:D, 4, FALSE), 1))</f>
        <v>0</v>
      </c>
    </row>
    <row r="221" spans="1:14">
      <c r="A221" t="s">
        <v>149</v>
      </c>
      <c r="B221" t="s">
        <v>381</v>
      </c>
      <c r="C221" t="s">
        <v>385</v>
      </c>
      <c r="D221">
        <v>920</v>
      </c>
      <c r="E221" t="s">
        <v>396</v>
      </c>
      <c r="F221" t="s">
        <v>404</v>
      </c>
      <c r="I221" t="s">
        <v>417</v>
      </c>
      <c r="J221" t="s">
        <v>613</v>
      </c>
      <c r="K221" t="s">
        <v>1122</v>
      </c>
      <c r="L221" s="8">
        <f>D221*N221</f>
        <v>0</v>
      </c>
      <c r="N221" s="8">
        <f>IF(E221="HUF", 1, IFERROR(VLOOKUP(A221&amp;E221, '91_Data_ExRates'!A:D, 4, FALSE), 1))</f>
        <v>0</v>
      </c>
    </row>
    <row r="222" spans="1:14">
      <c r="A222" t="s">
        <v>149</v>
      </c>
      <c r="B222" t="s">
        <v>381</v>
      </c>
      <c r="C222" t="s">
        <v>385</v>
      </c>
      <c r="D222">
        <v>1600</v>
      </c>
      <c r="E222" t="s">
        <v>396</v>
      </c>
      <c r="F222" t="s">
        <v>403</v>
      </c>
      <c r="I222" t="s">
        <v>417</v>
      </c>
      <c r="J222" t="s">
        <v>614</v>
      </c>
      <c r="K222" t="s">
        <v>1123</v>
      </c>
      <c r="L222" s="8">
        <f>D222*N222</f>
        <v>0</v>
      </c>
      <c r="N222" s="8">
        <f>IF(E222="HUF", 1, IFERROR(VLOOKUP(A222&amp;E222, '91_Data_ExRates'!A:D, 4, FALSE), 1))</f>
        <v>0</v>
      </c>
    </row>
    <row r="223" spans="1:14">
      <c r="A223" t="s">
        <v>149</v>
      </c>
      <c r="B223" t="s">
        <v>381</v>
      </c>
      <c r="C223" t="s">
        <v>385</v>
      </c>
      <c r="D223">
        <v>2280</v>
      </c>
      <c r="E223" t="s">
        <v>396</v>
      </c>
      <c r="F223" t="s">
        <v>404</v>
      </c>
      <c r="I223" t="s">
        <v>417</v>
      </c>
      <c r="J223" t="s">
        <v>615</v>
      </c>
      <c r="K223" t="s">
        <v>1124</v>
      </c>
      <c r="L223" s="8">
        <f>D223*N223</f>
        <v>0</v>
      </c>
      <c r="N223" s="8">
        <f>IF(E223="HUF", 1, IFERROR(VLOOKUP(A223&amp;E223, '91_Data_ExRates'!A:D, 4, FALSE), 1))</f>
        <v>0</v>
      </c>
    </row>
    <row r="224" spans="1:14">
      <c r="A224" t="s">
        <v>150</v>
      </c>
      <c r="B224" t="s">
        <v>381</v>
      </c>
      <c r="C224" t="s">
        <v>384</v>
      </c>
      <c r="D224">
        <v>899</v>
      </c>
      <c r="E224" t="s">
        <v>396</v>
      </c>
      <c r="F224" t="s">
        <v>401</v>
      </c>
      <c r="I224" t="s">
        <v>417</v>
      </c>
      <c r="J224" t="s">
        <v>616</v>
      </c>
      <c r="K224" t="s">
        <v>1125</v>
      </c>
      <c r="L224" s="8">
        <f>D224*N224</f>
        <v>0</v>
      </c>
      <c r="N224" s="8">
        <f>IF(E224="HUF", 1, IFERROR(VLOOKUP(A224&amp;E224, '91_Data_ExRates'!A:D, 4, FALSE), 1))</f>
        <v>0</v>
      </c>
    </row>
    <row r="225" spans="1:14">
      <c r="A225" t="s">
        <v>151</v>
      </c>
      <c r="B225" t="s">
        <v>381</v>
      </c>
      <c r="C225" t="s">
        <v>384</v>
      </c>
      <c r="D225">
        <v>1890</v>
      </c>
      <c r="E225" t="s">
        <v>396</v>
      </c>
      <c r="F225" t="s">
        <v>402</v>
      </c>
      <c r="I225" t="s">
        <v>417</v>
      </c>
      <c r="J225" t="s">
        <v>604</v>
      </c>
      <c r="K225" t="s">
        <v>1126</v>
      </c>
      <c r="L225" s="8">
        <f>D225*N225</f>
        <v>0</v>
      </c>
      <c r="N225" s="8">
        <f>IF(E225="HUF", 1, IFERROR(VLOOKUP(A225&amp;E225, '91_Data_ExRates'!A:D, 4, FALSE), 1))</f>
        <v>0</v>
      </c>
    </row>
    <row r="226" spans="1:14">
      <c r="A226" t="s">
        <v>152</v>
      </c>
      <c r="B226" t="s">
        <v>381</v>
      </c>
      <c r="C226" t="s">
        <v>384</v>
      </c>
      <c r="D226">
        <v>250</v>
      </c>
      <c r="E226" t="s">
        <v>396</v>
      </c>
      <c r="F226" t="s">
        <v>403</v>
      </c>
      <c r="I226" t="s">
        <v>417</v>
      </c>
      <c r="J226" t="s">
        <v>617</v>
      </c>
      <c r="K226" t="s">
        <v>1127</v>
      </c>
      <c r="L226" s="8">
        <f>D226*N226</f>
        <v>0</v>
      </c>
      <c r="N226" s="8">
        <f>IF(E226="HUF", 1, IFERROR(VLOOKUP(A226&amp;E226, '91_Data_ExRates'!A:D, 4, FALSE), 1))</f>
        <v>0</v>
      </c>
    </row>
    <row r="227" spans="1:14">
      <c r="A227" t="s">
        <v>153</v>
      </c>
      <c r="B227" t="s">
        <v>381</v>
      </c>
      <c r="C227" t="s">
        <v>384</v>
      </c>
      <c r="D227">
        <v>45583</v>
      </c>
      <c r="E227" t="s">
        <v>396</v>
      </c>
      <c r="F227" t="s">
        <v>410</v>
      </c>
      <c r="I227" t="s">
        <v>417</v>
      </c>
      <c r="J227" t="s">
        <v>618</v>
      </c>
      <c r="K227" t="s">
        <v>1128</v>
      </c>
      <c r="L227" s="8">
        <f>D227*N227</f>
        <v>0</v>
      </c>
      <c r="N227" s="8">
        <f>IF(E227="HUF", 1, IFERROR(VLOOKUP(A227&amp;E227, '91_Data_ExRates'!A:D, 4, FALSE), 1))</f>
        <v>0</v>
      </c>
    </row>
    <row r="228" spans="1:14">
      <c r="A228" t="s">
        <v>154</v>
      </c>
      <c r="B228" t="s">
        <v>381</v>
      </c>
      <c r="C228" t="s">
        <v>384</v>
      </c>
      <c r="D228">
        <v>1700</v>
      </c>
      <c r="E228" t="s">
        <v>396</v>
      </c>
      <c r="F228" t="s">
        <v>406</v>
      </c>
      <c r="I228" t="s">
        <v>417</v>
      </c>
      <c r="J228" t="s">
        <v>619</v>
      </c>
      <c r="K228" t="s">
        <v>1129</v>
      </c>
      <c r="L228" s="8">
        <f>D228*N228</f>
        <v>0</v>
      </c>
      <c r="N228" s="8">
        <f>IF(E228="HUF", 1, IFERROR(VLOOKUP(A228&amp;E228, '91_Data_ExRates'!A:D, 4, FALSE), 1))</f>
        <v>0</v>
      </c>
    </row>
    <row r="229" spans="1:14">
      <c r="A229" t="s">
        <v>155</v>
      </c>
      <c r="B229" t="s">
        <v>383</v>
      </c>
      <c r="C229" t="s">
        <v>384</v>
      </c>
      <c r="D229">
        <v>70000</v>
      </c>
      <c r="E229" t="s">
        <v>396</v>
      </c>
      <c r="I229" t="s">
        <v>417</v>
      </c>
      <c r="K229" t="s">
        <v>1130</v>
      </c>
      <c r="L229" s="8">
        <f>D229*N229</f>
        <v>0</v>
      </c>
      <c r="N229" s="8">
        <f>IF(E229="HUF", 1, IFERROR(VLOOKUP(A229&amp;E229, '91_Data_ExRates'!A:D, 4, FALSE), 1))</f>
        <v>0</v>
      </c>
    </row>
    <row r="230" spans="1:14">
      <c r="A230" t="s">
        <v>156</v>
      </c>
      <c r="B230" t="s">
        <v>382</v>
      </c>
      <c r="C230" t="s">
        <v>385</v>
      </c>
      <c r="D230">
        <v>25000</v>
      </c>
      <c r="E230" t="s">
        <v>396</v>
      </c>
      <c r="F230" t="s">
        <v>401</v>
      </c>
      <c r="I230" t="s">
        <v>417</v>
      </c>
      <c r="J230" t="s">
        <v>620</v>
      </c>
      <c r="K230" t="s">
        <v>1131</v>
      </c>
      <c r="L230" s="8">
        <f>D230*N230</f>
        <v>0</v>
      </c>
      <c r="N230" s="8">
        <f>IF(E230="HUF", 1, IFERROR(VLOOKUP(A230&amp;E230, '91_Data_ExRates'!A:D, 4, FALSE), 1))</f>
        <v>0</v>
      </c>
    </row>
    <row r="231" spans="1:14">
      <c r="A231" t="s">
        <v>157</v>
      </c>
      <c r="B231" t="s">
        <v>381</v>
      </c>
      <c r="C231" t="s">
        <v>385</v>
      </c>
      <c r="D231">
        <v>6300</v>
      </c>
      <c r="E231" t="s">
        <v>396</v>
      </c>
      <c r="F231" t="s">
        <v>403</v>
      </c>
      <c r="I231" t="s">
        <v>417</v>
      </c>
      <c r="J231" t="s">
        <v>621</v>
      </c>
      <c r="K231" t="s">
        <v>1132</v>
      </c>
      <c r="L231" s="8">
        <f>D231*N231</f>
        <v>0</v>
      </c>
      <c r="N231" s="8">
        <f>IF(E231="HUF", 1, IFERROR(VLOOKUP(A231&amp;E231, '91_Data_ExRates'!A:D, 4, FALSE), 1))</f>
        <v>0</v>
      </c>
    </row>
    <row r="232" spans="1:14">
      <c r="A232" t="s">
        <v>158</v>
      </c>
      <c r="B232" t="s">
        <v>383</v>
      </c>
      <c r="C232" t="s">
        <v>385</v>
      </c>
      <c r="D232">
        <v>260000</v>
      </c>
      <c r="E232" t="s">
        <v>396</v>
      </c>
      <c r="I232" t="s">
        <v>417</v>
      </c>
      <c r="K232" t="s">
        <v>1133</v>
      </c>
      <c r="L232" s="8">
        <f>D232*N232</f>
        <v>0</v>
      </c>
      <c r="N232" s="8">
        <f>IF(E232="HUF", 1, IFERROR(VLOOKUP(A232&amp;E232, '91_Data_ExRates'!A:D, 4, FALSE), 1))</f>
        <v>0</v>
      </c>
    </row>
    <row r="233" spans="1:14">
      <c r="A233" t="s">
        <v>159</v>
      </c>
      <c r="B233" t="s">
        <v>381</v>
      </c>
      <c r="C233" t="s">
        <v>385</v>
      </c>
      <c r="D233">
        <v>3300</v>
      </c>
      <c r="E233" t="s">
        <v>396</v>
      </c>
      <c r="F233" t="s">
        <v>401</v>
      </c>
      <c r="I233" t="s">
        <v>417</v>
      </c>
      <c r="J233" t="s">
        <v>622</v>
      </c>
      <c r="K233" t="s">
        <v>1134</v>
      </c>
      <c r="L233" s="8">
        <f>D233*N233</f>
        <v>0</v>
      </c>
      <c r="N233" s="8">
        <f>IF(E233="HUF", 1, IFERROR(VLOOKUP(A233&amp;E233, '91_Data_ExRates'!A:D, 4, FALSE), 1))</f>
        <v>0</v>
      </c>
    </row>
    <row r="234" spans="1:14">
      <c r="A234" t="s">
        <v>159</v>
      </c>
      <c r="B234" t="s">
        <v>381</v>
      </c>
      <c r="C234" t="s">
        <v>385</v>
      </c>
      <c r="D234">
        <v>1900</v>
      </c>
      <c r="E234" t="s">
        <v>396</v>
      </c>
      <c r="F234" t="s">
        <v>401</v>
      </c>
      <c r="I234" t="s">
        <v>417</v>
      </c>
      <c r="J234" t="s">
        <v>623</v>
      </c>
      <c r="K234" t="s">
        <v>1135</v>
      </c>
      <c r="L234" s="8">
        <f>D234*N234</f>
        <v>0</v>
      </c>
      <c r="N234" s="8">
        <f>IF(E234="HUF", 1, IFERROR(VLOOKUP(A234&amp;E234, '91_Data_ExRates'!A:D, 4, FALSE), 1))</f>
        <v>0</v>
      </c>
    </row>
    <row r="235" spans="1:14">
      <c r="A235" t="s">
        <v>159</v>
      </c>
      <c r="B235" t="s">
        <v>381</v>
      </c>
      <c r="C235" t="s">
        <v>385</v>
      </c>
      <c r="D235">
        <v>6150</v>
      </c>
      <c r="E235" t="s">
        <v>396</v>
      </c>
      <c r="F235" t="s">
        <v>401</v>
      </c>
      <c r="I235" t="s">
        <v>417</v>
      </c>
      <c r="J235" t="s">
        <v>624</v>
      </c>
      <c r="K235" t="s">
        <v>1136</v>
      </c>
      <c r="L235" s="8">
        <f>D235*N235</f>
        <v>0</v>
      </c>
      <c r="N235" s="8">
        <f>IF(E235="HUF", 1, IFERROR(VLOOKUP(A235&amp;E235, '91_Data_ExRates'!A:D, 4, FALSE), 1))</f>
        <v>0</v>
      </c>
    </row>
    <row r="236" spans="1:14">
      <c r="A236" t="s">
        <v>159</v>
      </c>
      <c r="B236" t="s">
        <v>381</v>
      </c>
      <c r="C236" t="s">
        <v>385</v>
      </c>
      <c r="D236">
        <v>1100</v>
      </c>
      <c r="E236" t="s">
        <v>396</v>
      </c>
      <c r="F236" t="s">
        <v>404</v>
      </c>
      <c r="I236" t="s">
        <v>417</v>
      </c>
      <c r="J236" t="s">
        <v>625</v>
      </c>
      <c r="K236" t="s">
        <v>1137</v>
      </c>
      <c r="L236" s="8">
        <f>D236*N236</f>
        <v>0</v>
      </c>
      <c r="N236" s="8">
        <f>IF(E236="HUF", 1, IFERROR(VLOOKUP(A236&amp;E236, '91_Data_ExRates'!A:D, 4, FALSE), 1))</f>
        <v>0</v>
      </c>
    </row>
    <row r="237" spans="1:14">
      <c r="A237" t="s">
        <v>159</v>
      </c>
      <c r="B237" t="s">
        <v>381</v>
      </c>
      <c r="C237" t="s">
        <v>385</v>
      </c>
      <c r="D237">
        <v>6150</v>
      </c>
      <c r="E237" t="s">
        <v>396</v>
      </c>
      <c r="F237" t="s">
        <v>404</v>
      </c>
      <c r="I237" t="s">
        <v>417</v>
      </c>
      <c r="J237" t="s">
        <v>626</v>
      </c>
      <c r="K237" t="s">
        <v>1138</v>
      </c>
      <c r="L237" s="8">
        <f>D237*N237</f>
        <v>0</v>
      </c>
      <c r="N237" s="8">
        <f>IF(E237="HUF", 1, IFERROR(VLOOKUP(A237&amp;E237, '91_Data_ExRates'!A:D, 4, FALSE), 1))</f>
        <v>0</v>
      </c>
    </row>
    <row r="238" spans="1:14">
      <c r="A238" t="s">
        <v>159</v>
      </c>
      <c r="B238" t="s">
        <v>381</v>
      </c>
      <c r="C238" t="s">
        <v>385</v>
      </c>
      <c r="D238">
        <v>1700</v>
      </c>
      <c r="E238" t="s">
        <v>396</v>
      </c>
      <c r="F238" t="s">
        <v>404</v>
      </c>
      <c r="I238" t="s">
        <v>417</v>
      </c>
      <c r="J238" t="s">
        <v>627</v>
      </c>
      <c r="K238" t="s">
        <v>1139</v>
      </c>
      <c r="L238" s="8">
        <f>D238*N238</f>
        <v>0</v>
      </c>
      <c r="N238" s="8">
        <f>IF(E238="HUF", 1, IFERROR(VLOOKUP(A238&amp;E238, '91_Data_ExRates'!A:D, 4, FALSE), 1))</f>
        <v>0</v>
      </c>
    </row>
    <row r="239" spans="1:14">
      <c r="A239" t="s">
        <v>159</v>
      </c>
      <c r="B239" t="s">
        <v>381</v>
      </c>
      <c r="C239" t="s">
        <v>385</v>
      </c>
      <c r="D239">
        <v>3300</v>
      </c>
      <c r="E239" t="s">
        <v>396</v>
      </c>
      <c r="F239" t="s">
        <v>403</v>
      </c>
      <c r="I239" t="s">
        <v>417</v>
      </c>
      <c r="J239" t="s">
        <v>628</v>
      </c>
      <c r="K239" t="s">
        <v>1140</v>
      </c>
      <c r="L239" s="8">
        <f>D239*N239</f>
        <v>0</v>
      </c>
      <c r="N239" s="8">
        <f>IF(E239="HUF", 1, IFERROR(VLOOKUP(A239&amp;E239, '91_Data_ExRates'!A:D, 4, FALSE), 1))</f>
        <v>0</v>
      </c>
    </row>
    <row r="240" spans="1:14">
      <c r="A240" t="s">
        <v>159</v>
      </c>
      <c r="B240" t="s">
        <v>381</v>
      </c>
      <c r="C240" t="s">
        <v>385</v>
      </c>
      <c r="D240">
        <v>1900</v>
      </c>
      <c r="E240" t="s">
        <v>396</v>
      </c>
      <c r="F240" t="s">
        <v>404</v>
      </c>
      <c r="I240" t="s">
        <v>417</v>
      </c>
      <c r="J240" t="s">
        <v>629</v>
      </c>
      <c r="K240" t="s">
        <v>1141</v>
      </c>
      <c r="L240" s="8">
        <f>D240*N240</f>
        <v>0</v>
      </c>
      <c r="N240" s="8">
        <f>IF(E240="HUF", 1, IFERROR(VLOOKUP(A240&amp;E240, '91_Data_ExRates'!A:D, 4, FALSE), 1))</f>
        <v>0</v>
      </c>
    </row>
    <row r="241" spans="1:14">
      <c r="A241" t="s">
        <v>159</v>
      </c>
      <c r="B241" t="s">
        <v>381</v>
      </c>
      <c r="C241" t="s">
        <v>385</v>
      </c>
      <c r="D241">
        <v>2100</v>
      </c>
      <c r="E241" t="s">
        <v>396</v>
      </c>
      <c r="F241" t="s">
        <v>401</v>
      </c>
      <c r="I241" t="s">
        <v>417</v>
      </c>
      <c r="J241" t="s">
        <v>630</v>
      </c>
      <c r="K241" t="s">
        <v>1142</v>
      </c>
      <c r="L241" s="8">
        <f>D241*N241</f>
        <v>0</v>
      </c>
      <c r="N241" s="8">
        <f>IF(E241="HUF", 1, IFERROR(VLOOKUP(A241&amp;E241, '91_Data_ExRates'!A:D, 4, FALSE), 1))</f>
        <v>0</v>
      </c>
    </row>
    <row r="242" spans="1:14">
      <c r="A242" t="s">
        <v>159</v>
      </c>
      <c r="B242" t="s">
        <v>381</v>
      </c>
      <c r="C242" t="s">
        <v>384</v>
      </c>
      <c r="D242">
        <v>1080</v>
      </c>
      <c r="E242" t="s">
        <v>396</v>
      </c>
      <c r="F242" t="s">
        <v>404</v>
      </c>
      <c r="I242" t="s">
        <v>417</v>
      </c>
      <c r="J242" t="s">
        <v>631</v>
      </c>
      <c r="K242" t="s">
        <v>1143</v>
      </c>
      <c r="L242" s="8">
        <f>D242*N242</f>
        <v>0</v>
      </c>
      <c r="N242" s="8">
        <f>IF(E242="HUF", 1, IFERROR(VLOOKUP(A242&amp;E242, '91_Data_ExRates'!A:D, 4, FALSE), 1))</f>
        <v>0</v>
      </c>
    </row>
    <row r="243" spans="1:14">
      <c r="A243" t="s">
        <v>159</v>
      </c>
      <c r="B243" t="s">
        <v>381</v>
      </c>
      <c r="C243" t="s">
        <v>385</v>
      </c>
      <c r="D243">
        <v>1100</v>
      </c>
      <c r="E243" t="s">
        <v>396</v>
      </c>
      <c r="F243" t="s">
        <v>401</v>
      </c>
      <c r="I243" t="s">
        <v>417</v>
      </c>
      <c r="J243" t="s">
        <v>625</v>
      </c>
      <c r="K243" t="s">
        <v>1144</v>
      </c>
      <c r="L243" s="8">
        <f>D243*N243</f>
        <v>0</v>
      </c>
      <c r="N243" s="8">
        <f>IF(E243="HUF", 1, IFERROR(VLOOKUP(A243&amp;E243, '91_Data_ExRates'!A:D, 4, FALSE), 1))</f>
        <v>0</v>
      </c>
    </row>
    <row r="244" spans="1:14">
      <c r="A244" t="s">
        <v>159</v>
      </c>
      <c r="B244" t="s">
        <v>381</v>
      </c>
      <c r="C244" t="s">
        <v>384</v>
      </c>
      <c r="D244">
        <v>1080</v>
      </c>
      <c r="E244" t="s">
        <v>396</v>
      </c>
      <c r="F244" t="s">
        <v>401</v>
      </c>
      <c r="I244" t="s">
        <v>417</v>
      </c>
      <c r="J244" t="s">
        <v>631</v>
      </c>
      <c r="K244" t="s">
        <v>1145</v>
      </c>
      <c r="L244" s="8">
        <f>D244*N244</f>
        <v>0</v>
      </c>
      <c r="N244" s="8">
        <f>IF(E244="HUF", 1, IFERROR(VLOOKUP(A244&amp;E244, '91_Data_ExRates'!A:D, 4, FALSE), 1))</f>
        <v>0</v>
      </c>
    </row>
    <row r="245" spans="1:14">
      <c r="A245" t="s">
        <v>160</v>
      </c>
      <c r="B245" t="s">
        <v>382</v>
      </c>
      <c r="C245" t="s">
        <v>385</v>
      </c>
      <c r="D245">
        <v>50000</v>
      </c>
      <c r="E245" t="s">
        <v>396</v>
      </c>
      <c r="F245" t="s">
        <v>401</v>
      </c>
      <c r="I245" t="s">
        <v>417</v>
      </c>
      <c r="J245" t="s">
        <v>632</v>
      </c>
      <c r="K245" t="s">
        <v>1146</v>
      </c>
      <c r="L245" s="8">
        <f>D245*N245</f>
        <v>0</v>
      </c>
      <c r="N245" s="8">
        <f>IF(E245="HUF", 1, IFERROR(VLOOKUP(A245&amp;E245, '91_Data_ExRates'!A:D, 4, FALSE), 1))</f>
        <v>0</v>
      </c>
    </row>
    <row r="246" spans="1:14">
      <c r="A246" t="s">
        <v>161</v>
      </c>
      <c r="B246" t="s">
        <v>382</v>
      </c>
      <c r="C246" t="s">
        <v>385</v>
      </c>
      <c r="D246">
        <v>50000</v>
      </c>
      <c r="E246" t="s">
        <v>396</v>
      </c>
      <c r="F246" t="s">
        <v>401</v>
      </c>
      <c r="I246" t="s">
        <v>417</v>
      </c>
      <c r="J246" t="s">
        <v>633</v>
      </c>
      <c r="K246" t="s">
        <v>1147</v>
      </c>
      <c r="L246" s="8">
        <f>D246*N246</f>
        <v>0</v>
      </c>
      <c r="N246" s="8">
        <f>IF(E246="HUF", 1, IFERROR(VLOOKUP(A246&amp;E246, '91_Data_ExRates'!A:D, 4, FALSE), 1))</f>
        <v>0</v>
      </c>
    </row>
    <row r="247" spans="1:14">
      <c r="A247" t="s">
        <v>162</v>
      </c>
      <c r="B247" t="s">
        <v>381</v>
      </c>
      <c r="C247" t="s">
        <v>384</v>
      </c>
      <c r="D247">
        <v>14717</v>
      </c>
      <c r="E247" t="s">
        <v>396</v>
      </c>
      <c r="F247" t="s">
        <v>404</v>
      </c>
      <c r="I247" t="s">
        <v>417</v>
      </c>
      <c r="J247" t="s">
        <v>634</v>
      </c>
      <c r="K247" t="s">
        <v>1148</v>
      </c>
      <c r="L247" s="8">
        <f>D247*N247</f>
        <v>0</v>
      </c>
      <c r="N247" s="8">
        <f>IF(E247="HUF", 1, IFERROR(VLOOKUP(A247&amp;E247, '91_Data_ExRates'!A:D, 4, FALSE), 1))</f>
        <v>0</v>
      </c>
    </row>
    <row r="248" spans="1:14">
      <c r="A248" t="s">
        <v>162</v>
      </c>
      <c r="B248" t="s">
        <v>381</v>
      </c>
      <c r="C248" t="s">
        <v>384</v>
      </c>
      <c r="D248">
        <v>480</v>
      </c>
      <c r="E248" t="s">
        <v>396</v>
      </c>
      <c r="F248" t="s">
        <v>403</v>
      </c>
      <c r="I248" t="s">
        <v>417</v>
      </c>
      <c r="J248" t="s">
        <v>635</v>
      </c>
      <c r="K248" t="s">
        <v>1149</v>
      </c>
      <c r="L248" s="8">
        <f>D248*N248</f>
        <v>0</v>
      </c>
      <c r="N248" s="8">
        <f>IF(E248="HUF", 1, IFERROR(VLOOKUP(A248&amp;E248, '91_Data_ExRates'!A:D, 4, FALSE), 1))</f>
        <v>0</v>
      </c>
    </row>
    <row r="249" spans="1:14">
      <c r="A249" t="s">
        <v>163</v>
      </c>
      <c r="B249" t="s">
        <v>382</v>
      </c>
      <c r="C249" t="s">
        <v>385</v>
      </c>
      <c r="D249">
        <v>15000</v>
      </c>
      <c r="E249" t="s">
        <v>396</v>
      </c>
      <c r="F249" t="s">
        <v>401</v>
      </c>
      <c r="I249" t="s">
        <v>417</v>
      </c>
      <c r="J249" t="s">
        <v>636</v>
      </c>
      <c r="K249" t="s">
        <v>1150</v>
      </c>
      <c r="L249" s="8">
        <f>D249*N249</f>
        <v>0</v>
      </c>
      <c r="N249" s="8">
        <f>IF(E249="HUF", 1, IFERROR(VLOOKUP(A249&amp;E249, '91_Data_ExRates'!A:D, 4, FALSE), 1))</f>
        <v>0</v>
      </c>
    </row>
    <row r="250" spans="1:14">
      <c r="A250" t="s">
        <v>164</v>
      </c>
      <c r="B250" t="s">
        <v>381</v>
      </c>
      <c r="C250" t="s">
        <v>384</v>
      </c>
      <c r="D250">
        <v>1890</v>
      </c>
      <c r="E250" t="s">
        <v>396</v>
      </c>
      <c r="F250" t="s">
        <v>402</v>
      </c>
      <c r="I250" t="s">
        <v>417</v>
      </c>
      <c r="J250" t="s">
        <v>604</v>
      </c>
      <c r="K250" t="s">
        <v>1151</v>
      </c>
      <c r="L250" s="8">
        <f>D250*N250</f>
        <v>0</v>
      </c>
      <c r="N250" s="8">
        <f>IF(E250="HUF", 1, IFERROR(VLOOKUP(A250&amp;E250, '91_Data_ExRates'!A:D, 4, FALSE), 1))</f>
        <v>0</v>
      </c>
    </row>
    <row r="251" spans="1:14">
      <c r="A251" t="s">
        <v>165</v>
      </c>
      <c r="B251" t="s">
        <v>381</v>
      </c>
      <c r="C251" t="s">
        <v>384</v>
      </c>
      <c r="D251">
        <v>6780</v>
      </c>
      <c r="E251" t="s">
        <v>396</v>
      </c>
      <c r="F251" t="s">
        <v>401</v>
      </c>
      <c r="I251" t="s">
        <v>417</v>
      </c>
      <c r="J251" t="s">
        <v>637</v>
      </c>
      <c r="K251" t="s">
        <v>1152</v>
      </c>
      <c r="L251" s="8">
        <f>D251*N251</f>
        <v>0</v>
      </c>
      <c r="N251" s="8">
        <f>IF(E251="HUF", 1, IFERROR(VLOOKUP(A251&amp;E251, '91_Data_ExRates'!A:D, 4, FALSE), 1))</f>
        <v>0</v>
      </c>
    </row>
    <row r="252" spans="1:14">
      <c r="A252" t="s">
        <v>166</v>
      </c>
      <c r="B252" t="s">
        <v>381</v>
      </c>
      <c r="C252" t="s">
        <v>385</v>
      </c>
      <c r="D252">
        <v>4200</v>
      </c>
      <c r="E252" t="s">
        <v>396</v>
      </c>
      <c r="F252" t="s">
        <v>404</v>
      </c>
      <c r="I252" t="s">
        <v>417</v>
      </c>
      <c r="J252" t="s">
        <v>638</v>
      </c>
      <c r="K252" t="s">
        <v>1153</v>
      </c>
      <c r="L252" s="8">
        <f>D252*N252</f>
        <v>0</v>
      </c>
      <c r="N252" s="8">
        <f>IF(E252="HUF", 1, IFERROR(VLOOKUP(A252&amp;E252, '91_Data_ExRates'!A:D, 4, FALSE), 1))</f>
        <v>0</v>
      </c>
    </row>
    <row r="253" spans="1:14">
      <c r="A253" t="s">
        <v>167</v>
      </c>
      <c r="B253" t="s">
        <v>381</v>
      </c>
      <c r="C253" t="s">
        <v>384</v>
      </c>
      <c r="D253">
        <v>3416</v>
      </c>
      <c r="E253" t="s">
        <v>396</v>
      </c>
      <c r="F253" t="s">
        <v>404</v>
      </c>
      <c r="I253" t="s">
        <v>417</v>
      </c>
      <c r="J253" t="s">
        <v>639</v>
      </c>
      <c r="K253" t="s">
        <v>1154</v>
      </c>
      <c r="L253" s="8">
        <f>D253*N253</f>
        <v>0</v>
      </c>
      <c r="N253" s="8">
        <f>IF(E253="HUF", 1, IFERROR(VLOOKUP(A253&amp;E253, '91_Data_ExRates'!A:D, 4, FALSE), 1))</f>
        <v>0</v>
      </c>
    </row>
    <row r="254" spans="1:14">
      <c r="A254" t="s">
        <v>167</v>
      </c>
      <c r="B254" t="s">
        <v>381</v>
      </c>
      <c r="C254" t="s">
        <v>384</v>
      </c>
      <c r="D254">
        <v>3145</v>
      </c>
      <c r="E254" t="s">
        <v>396</v>
      </c>
      <c r="F254" t="s">
        <v>401</v>
      </c>
      <c r="I254" t="s">
        <v>417</v>
      </c>
      <c r="J254" t="s">
        <v>640</v>
      </c>
      <c r="K254" t="s">
        <v>1155</v>
      </c>
      <c r="L254" s="8">
        <f>D254*N254</f>
        <v>0</v>
      </c>
      <c r="N254" s="8">
        <f>IF(E254="HUF", 1, IFERROR(VLOOKUP(A254&amp;E254, '91_Data_ExRates'!A:D, 4, FALSE), 1))</f>
        <v>0</v>
      </c>
    </row>
    <row r="255" spans="1:14">
      <c r="A255" t="s">
        <v>168</v>
      </c>
      <c r="B255" t="s">
        <v>383</v>
      </c>
      <c r="C255" t="s">
        <v>384</v>
      </c>
      <c r="D255">
        <v>70000</v>
      </c>
      <c r="E255" t="s">
        <v>396</v>
      </c>
      <c r="I255" t="s">
        <v>417</v>
      </c>
      <c r="J255" t="s">
        <v>641</v>
      </c>
      <c r="K255" t="s">
        <v>1156</v>
      </c>
      <c r="L255" s="8">
        <f>D255*N255</f>
        <v>0</v>
      </c>
      <c r="N255" s="8">
        <f>IF(E255="HUF", 1, IFERROR(VLOOKUP(A255&amp;E255, '91_Data_ExRates'!A:D, 4, FALSE), 1))</f>
        <v>0</v>
      </c>
    </row>
    <row r="256" spans="1:14">
      <c r="A256" t="s">
        <v>168</v>
      </c>
      <c r="B256" t="s">
        <v>381</v>
      </c>
      <c r="C256" t="s">
        <v>385</v>
      </c>
      <c r="D256">
        <v>2700</v>
      </c>
      <c r="E256" t="s">
        <v>396</v>
      </c>
      <c r="F256" t="s">
        <v>404</v>
      </c>
      <c r="I256" t="s">
        <v>417</v>
      </c>
      <c r="J256" t="s">
        <v>642</v>
      </c>
      <c r="K256" t="s">
        <v>1157</v>
      </c>
      <c r="L256" s="8">
        <f>D256*N256</f>
        <v>0</v>
      </c>
      <c r="N256" s="8">
        <f>IF(E256="HUF", 1, IFERROR(VLOOKUP(A256&amp;E256, '91_Data_ExRates'!A:D, 4, FALSE), 1))</f>
        <v>0</v>
      </c>
    </row>
    <row r="257" spans="1:14">
      <c r="A257" t="s">
        <v>169</v>
      </c>
      <c r="B257" t="s">
        <v>381</v>
      </c>
      <c r="C257" t="s">
        <v>385</v>
      </c>
      <c r="D257">
        <v>3000</v>
      </c>
      <c r="E257" t="s">
        <v>396</v>
      </c>
      <c r="F257" t="s">
        <v>404</v>
      </c>
      <c r="I257" t="s">
        <v>417</v>
      </c>
      <c r="J257" t="s">
        <v>643</v>
      </c>
      <c r="K257" t="s">
        <v>1158</v>
      </c>
      <c r="L257" s="8">
        <f>D257*N257</f>
        <v>0</v>
      </c>
      <c r="N257" s="8">
        <f>IF(E257="HUF", 1, IFERROR(VLOOKUP(A257&amp;E257, '91_Data_ExRates'!A:D, 4, FALSE), 1))</f>
        <v>0</v>
      </c>
    </row>
    <row r="258" spans="1:14">
      <c r="A258" t="s">
        <v>169</v>
      </c>
      <c r="B258" t="s">
        <v>381</v>
      </c>
      <c r="C258" t="s">
        <v>385</v>
      </c>
      <c r="D258">
        <v>2780</v>
      </c>
      <c r="E258" t="s">
        <v>396</v>
      </c>
      <c r="F258" t="s">
        <v>403</v>
      </c>
      <c r="I258" t="s">
        <v>417</v>
      </c>
      <c r="J258" t="s">
        <v>644</v>
      </c>
      <c r="K258" t="s">
        <v>1159</v>
      </c>
      <c r="L258" s="8">
        <f>D258*N258</f>
        <v>0</v>
      </c>
      <c r="N258" s="8">
        <f>IF(E258="HUF", 1, IFERROR(VLOOKUP(A258&amp;E258, '91_Data_ExRates'!A:D, 4, FALSE), 1))</f>
        <v>0</v>
      </c>
    </row>
    <row r="259" spans="1:14">
      <c r="A259" t="s">
        <v>169</v>
      </c>
      <c r="B259" t="s">
        <v>381</v>
      </c>
      <c r="C259" t="s">
        <v>385</v>
      </c>
      <c r="D259">
        <v>1400</v>
      </c>
      <c r="E259" t="s">
        <v>396</v>
      </c>
      <c r="F259" t="s">
        <v>404</v>
      </c>
      <c r="I259" t="s">
        <v>417</v>
      </c>
      <c r="J259" t="s">
        <v>645</v>
      </c>
      <c r="K259" t="s">
        <v>1160</v>
      </c>
      <c r="L259" s="8">
        <f>D259*N259</f>
        <v>0</v>
      </c>
      <c r="N259" s="8">
        <f>IF(E259="HUF", 1, IFERROR(VLOOKUP(A259&amp;E259, '91_Data_ExRates'!A:D, 4, FALSE), 1))</f>
        <v>0</v>
      </c>
    </row>
    <row r="260" spans="1:14">
      <c r="A260" t="s">
        <v>170</v>
      </c>
      <c r="B260" t="s">
        <v>381</v>
      </c>
      <c r="C260" t="s">
        <v>384</v>
      </c>
      <c r="D260">
        <v>17200</v>
      </c>
      <c r="E260" t="s">
        <v>396</v>
      </c>
      <c r="F260" t="s">
        <v>411</v>
      </c>
      <c r="I260" t="s">
        <v>417</v>
      </c>
      <c r="J260" t="s">
        <v>646</v>
      </c>
      <c r="K260" t="s">
        <v>1161</v>
      </c>
      <c r="L260" s="8">
        <f>D260*N260</f>
        <v>0</v>
      </c>
      <c r="N260" s="8">
        <f>IF(E260="HUF", 1, IFERROR(VLOOKUP(A260&amp;E260, '91_Data_ExRates'!A:D, 4, FALSE), 1))</f>
        <v>0</v>
      </c>
    </row>
    <row r="261" spans="1:14">
      <c r="A261" t="s">
        <v>171</v>
      </c>
      <c r="B261" t="s">
        <v>382</v>
      </c>
      <c r="C261" t="s">
        <v>384</v>
      </c>
      <c r="D261">
        <v>30000</v>
      </c>
      <c r="E261" t="s">
        <v>396</v>
      </c>
      <c r="F261" t="s">
        <v>405</v>
      </c>
      <c r="I261" t="s">
        <v>417</v>
      </c>
      <c r="J261" t="s">
        <v>647</v>
      </c>
      <c r="K261" t="s">
        <v>1162</v>
      </c>
      <c r="L261" s="8">
        <f>D261*N261</f>
        <v>0</v>
      </c>
      <c r="N261" s="8">
        <f>IF(E261="HUF", 1, IFERROR(VLOOKUP(A261&amp;E261, '91_Data_ExRates'!A:D, 4, FALSE), 1))</f>
        <v>0</v>
      </c>
    </row>
    <row r="262" spans="1:14">
      <c r="A262" t="s">
        <v>172</v>
      </c>
      <c r="B262" t="s">
        <v>381</v>
      </c>
      <c r="C262" t="s">
        <v>384</v>
      </c>
      <c r="D262">
        <v>945</v>
      </c>
      <c r="E262" t="s">
        <v>396</v>
      </c>
      <c r="F262" t="s">
        <v>402</v>
      </c>
      <c r="I262" t="s">
        <v>417</v>
      </c>
      <c r="J262" t="s">
        <v>648</v>
      </c>
      <c r="K262" t="s">
        <v>1163</v>
      </c>
      <c r="L262" s="8">
        <f>D262*N262</f>
        <v>0</v>
      </c>
      <c r="N262" s="8">
        <f>IF(E262="HUF", 1, IFERROR(VLOOKUP(A262&amp;E262, '91_Data_ExRates'!A:D, 4, FALSE), 1))</f>
        <v>0</v>
      </c>
    </row>
    <row r="263" spans="1:14">
      <c r="A263" t="s">
        <v>173</v>
      </c>
      <c r="B263" t="s">
        <v>381</v>
      </c>
      <c r="C263" t="s">
        <v>385</v>
      </c>
      <c r="D263">
        <v>1530</v>
      </c>
      <c r="E263" t="s">
        <v>396</v>
      </c>
      <c r="F263" t="s">
        <v>404</v>
      </c>
      <c r="I263" t="s">
        <v>417</v>
      </c>
      <c r="J263" t="s">
        <v>649</v>
      </c>
      <c r="K263" t="s">
        <v>1164</v>
      </c>
      <c r="L263" s="8">
        <f>D263*N263</f>
        <v>0</v>
      </c>
      <c r="N263" s="8">
        <f>IF(E263="HUF", 1, IFERROR(VLOOKUP(A263&amp;E263, '91_Data_ExRates'!A:D, 4, FALSE), 1))</f>
        <v>0</v>
      </c>
    </row>
    <row r="264" spans="1:14">
      <c r="A264" t="s">
        <v>173</v>
      </c>
      <c r="B264" t="s">
        <v>381</v>
      </c>
      <c r="C264" t="s">
        <v>385</v>
      </c>
      <c r="D264">
        <v>2180</v>
      </c>
      <c r="E264" t="s">
        <v>396</v>
      </c>
      <c r="F264" t="s">
        <v>404</v>
      </c>
      <c r="I264" t="s">
        <v>417</v>
      </c>
      <c r="J264" t="s">
        <v>650</v>
      </c>
      <c r="K264" t="s">
        <v>1165</v>
      </c>
      <c r="L264" s="8">
        <f>D264*N264</f>
        <v>0</v>
      </c>
      <c r="N264" s="8">
        <f>IF(E264="HUF", 1, IFERROR(VLOOKUP(A264&amp;E264, '91_Data_ExRates'!A:D, 4, FALSE), 1))</f>
        <v>0</v>
      </c>
    </row>
    <row r="265" spans="1:14">
      <c r="A265" t="s">
        <v>173</v>
      </c>
      <c r="B265" t="s">
        <v>381</v>
      </c>
      <c r="C265" t="s">
        <v>385</v>
      </c>
      <c r="D265">
        <v>1850</v>
      </c>
      <c r="E265" t="s">
        <v>396</v>
      </c>
      <c r="F265" t="s">
        <v>403</v>
      </c>
      <c r="I265" t="s">
        <v>417</v>
      </c>
      <c r="J265" t="s">
        <v>474</v>
      </c>
      <c r="K265" t="s">
        <v>1166</v>
      </c>
      <c r="L265" s="8">
        <f>D265*N265</f>
        <v>0</v>
      </c>
      <c r="N265" s="8">
        <f>IF(E265="HUF", 1, IFERROR(VLOOKUP(A265&amp;E265, '91_Data_ExRates'!A:D, 4, FALSE), 1))</f>
        <v>0</v>
      </c>
    </row>
    <row r="266" spans="1:14">
      <c r="A266" t="s">
        <v>174</v>
      </c>
      <c r="B266" t="s">
        <v>381</v>
      </c>
      <c r="C266" t="s">
        <v>385</v>
      </c>
      <c r="D266">
        <v>1890</v>
      </c>
      <c r="E266" t="s">
        <v>396</v>
      </c>
      <c r="F266" t="s">
        <v>406</v>
      </c>
      <c r="I266" t="s">
        <v>417</v>
      </c>
      <c r="J266" t="s">
        <v>431</v>
      </c>
      <c r="K266" t="s">
        <v>1167</v>
      </c>
      <c r="L266" s="8">
        <f>D266*N266</f>
        <v>0</v>
      </c>
      <c r="N266" s="8">
        <f>IF(E266="HUF", 1, IFERROR(VLOOKUP(A266&amp;E266, '91_Data_ExRates'!A:D, 4, FALSE), 1))</f>
        <v>0</v>
      </c>
    </row>
    <row r="267" spans="1:14">
      <c r="A267" t="s">
        <v>174</v>
      </c>
      <c r="B267" t="s">
        <v>381</v>
      </c>
      <c r="C267" t="s">
        <v>385</v>
      </c>
      <c r="D267">
        <v>5000</v>
      </c>
      <c r="E267" t="s">
        <v>396</v>
      </c>
      <c r="F267" t="s">
        <v>401</v>
      </c>
      <c r="I267" t="s">
        <v>417</v>
      </c>
      <c r="J267" t="s">
        <v>651</v>
      </c>
      <c r="K267" t="s">
        <v>1168</v>
      </c>
      <c r="L267" s="8">
        <f>D267*N267</f>
        <v>0</v>
      </c>
      <c r="N267" s="8">
        <f>IF(E267="HUF", 1, IFERROR(VLOOKUP(A267&amp;E267, '91_Data_ExRates'!A:D, 4, FALSE), 1))</f>
        <v>0</v>
      </c>
    </row>
    <row r="268" spans="1:14">
      <c r="A268" t="s">
        <v>174</v>
      </c>
      <c r="B268" t="s">
        <v>381</v>
      </c>
      <c r="C268" t="s">
        <v>385</v>
      </c>
      <c r="D268">
        <v>540</v>
      </c>
      <c r="E268" t="s">
        <v>396</v>
      </c>
      <c r="F268" t="s">
        <v>401</v>
      </c>
      <c r="I268" t="s">
        <v>417</v>
      </c>
      <c r="J268" t="s">
        <v>652</v>
      </c>
      <c r="K268" t="s">
        <v>1169</v>
      </c>
      <c r="L268" s="8">
        <f>D268*N268</f>
        <v>0</v>
      </c>
      <c r="N268" s="8">
        <f>IF(E268="HUF", 1, IFERROR(VLOOKUP(A268&amp;E268, '91_Data_ExRates'!A:D, 4, FALSE), 1))</f>
        <v>0</v>
      </c>
    </row>
    <row r="269" spans="1:14">
      <c r="A269" t="s">
        <v>175</v>
      </c>
      <c r="B269" t="s">
        <v>381</v>
      </c>
      <c r="C269" t="s">
        <v>385</v>
      </c>
      <c r="D269">
        <v>1400</v>
      </c>
      <c r="E269" t="s">
        <v>396</v>
      </c>
      <c r="F269" t="s">
        <v>404</v>
      </c>
      <c r="I269" t="s">
        <v>417</v>
      </c>
      <c r="J269" t="s">
        <v>653</v>
      </c>
      <c r="K269" t="s">
        <v>1170</v>
      </c>
      <c r="L269" s="8">
        <f>D269*N269</f>
        <v>0</v>
      </c>
      <c r="N269" s="8">
        <f>IF(E269="HUF", 1, IFERROR(VLOOKUP(A269&amp;E269, '91_Data_ExRates'!A:D, 4, FALSE), 1))</f>
        <v>0</v>
      </c>
    </row>
    <row r="270" spans="1:14">
      <c r="A270" t="s">
        <v>175</v>
      </c>
      <c r="B270" t="s">
        <v>381</v>
      </c>
      <c r="C270" t="s">
        <v>384</v>
      </c>
      <c r="D270">
        <v>710</v>
      </c>
      <c r="E270" t="s">
        <v>396</v>
      </c>
      <c r="F270" t="s">
        <v>404</v>
      </c>
      <c r="I270" t="s">
        <v>417</v>
      </c>
      <c r="J270" t="s">
        <v>654</v>
      </c>
      <c r="K270" t="s">
        <v>1171</v>
      </c>
      <c r="L270" s="8">
        <f>D270*N270</f>
        <v>0</v>
      </c>
      <c r="N270" s="8">
        <f>IF(E270="HUF", 1, IFERROR(VLOOKUP(A270&amp;E270, '91_Data_ExRates'!A:D, 4, FALSE), 1))</f>
        <v>0</v>
      </c>
    </row>
    <row r="271" spans="1:14">
      <c r="A271" t="s">
        <v>176</v>
      </c>
      <c r="B271" t="s">
        <v>381</v>
      </c>
      <c r="C271" t="s">
        <v>384</v>
      </c>
      <c r="D271">
        <v>10000</v>
      </c>
      <c r="E271" t="s">
        <v>396</v>
      </c>
      <c r="F271" t="s">
        <v>401</v>
      </c>
      <c r="I271" t="s">
        <v>417</v>
      </c>
      <c r="J271" t="s">
        <v>655</v>
      </c>
      <c r="K271" t="s">
        <v>1172</v>
      </c>
      <c r="L271" s="8">
        <f>D271*N271</f>
        <v>0</v>
      </c>
      <c r="N271" s="8">
        <f>IF(E271="HUF", 1, IFERROR(VLOOKUP(A271&amp;E271, '91_Data_ExRates'!A:D, 4, FALSE), 1))</f>
        <v>0</v>
      </c>
    </row>
    <row r="272" spans="1:14">
      <c r="A272" t="s">
        <v>176</v>
      </c>
      <c r="B272" t="s">
        <v>381</v>
      </c>
      <c r="C272" t="s">
        <v>384</v>
      </c>
      <c r="D272">
        <v>20984</v>
      </c>
      <c r="E272" t="s">
        <v>396</v>
      </c>
      <c r="F272" t="s">
        <v>411</v>
      </c>
      <c r="I272" t="s">
        <v>417</v>
      </c>
      <c r="J272" t="s">
        <v>656</v>
      </c>
      <c r="K272" t="s">
        <v>1173</v>
      </c>
      <c r="L272" s="8">
        <f>D272*N272</f>
        <v>0</v>
      </c>
      <c r="N272" s="8">
        <f>IF(E272="HUF", 1, IFERROR(VLOOKUP(A272&amp;E272, '91_Data_ExRates'!A:D, 4, FALSE), 1))</f>
        <v>0</v>
      </c>
    </row>
    <row r="273" spans="1:14">
      <c r="A273" t="s">
        <v>177</v>
      </c>
      <c r="B273" t="s">
        <v>382</v>
      </c>
      <c r="C273" t="s">
        <v>385</v>
      </c>
      <c r="D273">
        <v>80000</v>
      </c>
      <c r="E273" t="s">
        <v>396</v>
      </c>
      <c r="F273" t="s">
        <v>401</v>
      </c>
      <c r="I273" t="s">
        <v>417</v>
      </c>
      <c r="J273" t="s">
        <v>657</v>
      </c>
      <c r="K273" t="s">
        <v>1174</v>
      </c>
      <c r="L273" s="8">
        <f>D273*N273</f>
        <v>0</v>
      </c>
      <c r="N273" s="8">
        <f>IF(E273="HUF", 1, IFERROR(VLOOKUP(A273&amp;E273, '91_Data_ExRates'!A:D, 4, FALSE), 1))</f>
        <v>0</v>
      </c>
    </row>
    <row r="274" spans="1:14">
      <c r="A274" t="s">
        <v>178</v>
      </c>
      <c r="B274" t="s">
        <v>382</v>
      </c>
      <c r="C274" t="s">
        <v>385</v>
      </c>
      <c r="D274">
        <v>50000</v>
      </c>
      <c r="E274" t="s">
        <v>396</v>
      </c>
      <c r="F274" t="s">
        <v>401</v>
      </c>
      <c r="I274" t="s">
        <v>417</v>
      </c>
      <c r="J274" t="s">
        <v>658</v>
      </c>
      <c r="K274" t="s">
        <v>1175</v>
      </c>
      <c r="L274" s="8">
        <f>D274*N274</f>
        <v>0</v>
      </c>
      <c r="N274" s="8">
        <f>IF(E274="HUF", 1, IFERROR(VLOOKUP(A274&amp;E274, '91_Data_ExRates'!A:D, 4, FALSE), 1))</f>
        <v>0</v>
      </c>
    </row>
    <row r="275" spans="1:14">
      <c r="A275" t="s">
        <v>179</v>
      </c>
      <c r="B275" t="s">
        <v>381</v>
      </c>
      <c r="C275" t="s">
        <v>384</v>
      </c>
      <c r="D275">
        <v>350</v>
      </c>
      <c r="E275" t="s">
        <v>396</v>
      </c>
      <c r="F275" t="s">
        <v>407</v>
      </c>
      <c r="I275" t="s">
        <v>417</v>
      </c>
      <c r="J275" t="s">
        <v>659</v>
      </c>
      <c r="K275" t="s">
        <v>1176</v>
      </c>
      <c r="L275" s="8">
        <f>D275*N275</f>
        <v>0</v>
      </c>
      <c r="N275" s="8">
        <f>IF(E275="HUF", 1, IFERROR(VLOOKUP(A275&amp;E275, '91_Data_ExRates'!A:D, 4, FALSE), 1))</f>
        <v>0</v>
      </c>
    </row>
    <row r="276" spans="1:14">
      <c r="A276" t="s">
        <v>179</v>
      </c>
      <c r="B276" t="s">
        <v>381</v>
      </c>
      <c r="C276" t="s">
        <v>384</v>
      </c>
      <c r="D276">
        <v>1795.98</v>
      </c>
      <c r="E276" t="s">
        <v>396</v>
      </c>
      <c r="F276" t="s">
        <v>404</v>
      </c>
      <c r="I276" t="s">
        <v>417</v>
      </c>
      <c r="J276" t="s">
        <v>660</v>
      </c>
      <c r="K276" t="s">
        <v>1177</v>
      </c>
      <c r="L276" s="8">
        <f>D276*N276</f>
        <v>0</v>
      </c>
      <c r="N276" s="8">
        <f>IF(E276="HUF", 1, IFERROR(VLOOKUP(A276&amp;E276, '91_Data_ExRates'!A:D, 4, FALSE), 1))</f>
        <v>0</v>
      </c>
    </row>
    <row r="277" spans="1:14">
      <c r="A277" t="s">
        <v>179</v>
      </c>
      <c r="B277" t="s">
        <v>383</v>
      </c>
      <c r="C277" t="s">
        <v>384</v>
      </c>
      <c r="D277">
        <v>70000</v>
      </c>
      <c r="E277" t="s">
        <v>396</v>
      </c>
      <c r="I277" t="s">
        <v>417</v>
      </c>
      <c r="K277" t="s">
        <v>1178</v>
      </c>
      <c r="L277" s="8">
        <f>D277*N277</f>
        <v>0</v>
      </c>
      <c r="N277" s="8">
        <f>IF(E277="HUF", 1, IFERROR(VLOOKUP(A277&amp;E277, '91_Data_ExRates'!A:D, 4, FALSE), 1))</f>
        <v>0</v>
      </c>
    </row>
    <row r="278" spans="1:14">
      <c r="A278" t="s">
        <v>180</v>
      </c>
      <c r="B278" t="s">
        <v>381</v>
      </c>
      <c r="C278" t="s">
        <v>384</v>
      </c>
      <c r="D278">
        <v>3150</v>
      </c>
      <c r="E278" t="s">
        <v>396</v>
      </c>
      <c r="F278" t="s">
        <v>404</v>
      </c>
      <c r="I278" t="s">
        <v>417</v>
      </c>
      <c r="J278" t="s">
        <v>661</v>
      </c>
      <c r="K278" t="s">
        <v>1179</v>
      </c>
      <c r="L278" s="8">
        <f>D278*N278</f>
        <v>0</v>
      </c>
      <c r="N278" s="8">
        <f>IF(E278="HUF", 1, IFERROR(VLOOKUP(A278&amp;E278, '91_Data_ExRates'!A:D, 4, FALSE), 1))</f>
        <v>0</v>
      </c>
    </row>
    <row r="279" spans="1:14">
      <c r="A279" t="s">
        <v>180</v>
      </c>
      <c r="B279" t="s">
        <v>381</v>
      </c>
      <c r="C279" t="s">
        <v>385</v>
      </c>
      <c r="D279">
        <v>850</v>
      </c>
      <c r="E279" t="s">
        <v>396</v>
      </c>
      <c r="F279" t="s">
        <v>404</v>
      </c>
      <c r="I279" t="s">
        <v>417</v>
      </c>
      <c r="J279" t="s">
        <v>662</v>
      </c>
      <c r="K279" t="s">
        <v>1180</v>
      </c>
      <c r="L279" s="8">
        <f>D279*N279</f>
        <v>0</v>
      </c>
      <c r="N279" s="8">
        <f>IF(E279="HUF", 1, IFERROR(VLOOKUP(A279&amp;E279, '91_Data_ExRates'!A:D, 4, FALSE), 1))</f>
        <v>0</v>
      </c>
    </row>
    <row r="280" spans="1:14">
      <c r="A280" t="s">
        <v>181</v>
      </c>
      <c r="B280" t="s">
        <v>382</v>
      </c>
      <c r="C280" t="s">
        <v>393</v>
      </c>
      <c r="D280">
        <v>222</v>
      </c>
      <c r="E280" t="s">
        <v>397</v>
      </c>
      <c r="F280" t="s">
        <v>408</v>
      </c>
      <c r="I280" t="s">
        <v>417</v>
      </c>
      <c r="J280" t="s">
        <v>663</v>
      </c>
      <c r="K280" t="s">
        <v>1181</v>
      </c>
      <c r="L280" s="8">
        <f>D280*N280</f>
        <v>0</v>
      </c>
      <c r="N280" s="8">
        <f>IF(E280="HUF", 1, IFERROR(VLOOKUP(A280&amp;E280, '91_Data_ExRates'!A:D, 4, FALSE), 1))</f>
        <v>0</v>
      </c>
    </row>
    <row r="281" spans="1:14">
      <c r="A281" t="s">
        <v>182</v>
      </c>
      <c r="B281" t="s">
        <v>382</v>
      </c>
      <c r="C281" t="s">
        <v>384</v>
      </c>
      <c r="D281">
        <v>19900</v>
      </c>
      <c r="E281" t="s">
        <v>396</v>
      </c>
      <c r="F281" t="s">
        <v>405</v>
      </c>
      <c r="I281" t="s">
        <v>417</v>
      </c>
      <c r="J281" t="s">
        <v>664</v>
      </c>
      <c r="K281" t="s">
        <v>1182</v>
      </c>
      <c r="L281" s="8">
        <f>D281*N281</f>
        <v>0</v>
      </c>
      <c r="N281" s="8">
        <f>IF(E281="HUF", 1, IFERROR(VLOOKUP(A281&amp;E281, '91_Data_ExRates'!A:D, 4, FALSE), 1))</f>
        <v>0</v>
      </c>
    </row>
    <row r="282" spans="1:14">
      <c r="A282" t="s">
        <v>183</v>
      </c>
      <c r="B282" t="s">
        <v>381</v>
      </c>
      <c r="C282" t="s">
        <v>385</v>
      </c>
      <c r="D282">
        <v>1390</v>
      </c>
      <c r="E282" t="s">
        <v>396</v>
      </c>
      <c r="F282" t="s">
        <v>403</v>
      </c>
      <c r="I282" t="s">
        <v>417</v>
      </c>
      <c r="J282" t="s">
        <v>665</v>
      </c>
      <c r="K282" t="s">
        <v>1183</v>
      </c>
      <c r="L282" s="8">
        <f>D282*N282</f>
        <v>0</v>
      </c>
      <c r="N282" s="8">
        <f>IF(E282="HUF", 1, IFERROR(VLOOKUP(A282&amp;E282, '91_Data_ExRates'!A:D, 4, FALSE), 1))</f>
        <v>0</v>
      </c>
    </row>
    <row r="283" spans="1:14">
      <c r="A283" t="s">
        <v>183</v>
      </c>
      <c r="B283" t="s">
        <v>381</v>
      </c>
      <c r="C283" t="s">
        <v>385</v>
      </c>
      <c r="D283">
        <v>1390</v>
      </c>
      <c r="E283" t="s">
        <v>396</v>
      </c>
      <c r="F283" t="s">
        <v>401</v>
      </c>
      <c r="I283" t="s">
        <v>417</v>
      </c>
      <c r="J283" t="s">
        <v>666</v>
      </c>
      <c r="K283" t="s">
        <v>1184</v>
      </c>
      <c r="L283" s="8">
        <f>D283*N283</f>
        <v>0</v>
      </c>
      <c r="N283" s="8">
        <f>IF(E283="HUF", 1, IFERROR(VLOOKUP(A283&amp;E283, '91_Data_ExRates'!A:D, 4, FALSE), 1))</f>
        <v>0</v>
      </c>
    </row>
    <row r="284" spans="1:14">
      <c r="A284" t="s">
        <v>183</v>
      </c>
      <c r="B284" t="s">
        <v>382</v>
      </c>
      <c r="C284" t="s">
        <v>385</v>
      </c>
      <c r="D284">
        <v>10000</v>
      </c>
      <c r="E284" t="s">
        <v>396</v>
      </c>
      <c r="F284" t="s">
        <v>401</v>
      </c>
      <c r="I284" t="s">
        <v>417</v>
      </c>
      <c r="J284" t="s">
        <v>444</v>
      </c>
      <c r="K284" t="s">
        <v>1185</v>
      </c>
      <c r="L284" s="8">
        <f>D284*N284</f>
        <v>0</v>
      </c>
      <c r="N284" s="8">
        <f>IF(E284="HUF", 1, IFERROR(VLOOKUP(A284&amp;E284, '91_Data_ExRates'!A:D, 4, FALSE), 1))</f>
        <v>0</v>
      </c>
    </row>
    <row r="285" spans="1:14">
      <c r="A285" t="s">
        <v>184</v>
      </c>
      <c r="B285" t="s">
        <v>381</v>
      </c>
      <c r="C285" t="s">
        <v>384</v>
      </c>
      <c r="D285">
        <v>235</v>
      </c>
      <c r="E285" t="s">
        <v>396</v>
      </c>
      <c r="F285" t="s">
        <v>407</v>
      </c>
      <c r="I285" t="s">
        <v>417</v>
      </c>
      <c r="J285" t="s">
        <v>439</v>
      </c>
      <c r="K285" t="s">
        <v>1186</v>
      </c>
      <c r="L285" s="8">
        <f>D285*N285</f>
        <v>0</v>
      </c>
      <c r="N285" s="8">
        <f>IF(E285="HUF", 1, IFERROR(VLOOKUP(A285&amp;E285, '91_Data_ExRates'!A:D, 4, FALSE), 1))</f>
        <v>0</v>
      </c>
    </row>
    <row r="286" spans="1:14">
      <c r="A286" t="s">
        <v>185</v>
      </c>
      <c r="B286" t="s">
        <v>382</v>
      </c>
      <c r="C286" t="s">
        <v>388</v>
      </c>
      <c r="D286">
        <v>200</v>
      </c>
      <c r="E286" t="s">
        <v>397</v>
      </c>
      <c r="F286" t="s">
        <v>401</v>
      </c>
      <c r="I286" t="s">
        <v>417</v>
      </c>
      <c r="J286" t="s">
        <v>667</v>
      </c>
      <c r="K286" t="s">
        <v>1187</v>
      </c>
      <c r="L286" s="8">
        <f>D286*N286</f>
        <v>0</v>
      </c>
      <c r="N286" s="8">
        <f>IF(E286="HUF", 1, IFERROR(VLOOKUP(A286&amp;E286, '91_Data_ExRates'!A:D, 4, FALSE), 1))</f>
        <v>0</v>
      </c>
    </row>
    <row r="287" spans="1:14">
      <c r="A287" t="s">
        <v>186</v>
      </c>
      <c r="B287" t="s">
        <v>381</v>
      </c>
      <c r="C287" t="s">
        <v>385</v>
      </c>
      <c r="D287">
        <v>1750</v>
      </c>
      <c r="E287" t="s">
        <v>396</v>
      </c>
      <c r="F287" t="s">
        <v>403</v>
      </c>
      <c r="I287" t="s">
        <v>417</v>
      </c>
      <c r="J287" t="s">
        <v>668</v>
      </c>
      <c r="K287" t="s">
        <v>1188</v>
      </c>
      <c r="L287" s="8">
        <f>D287*N287</f>
        <v>0</v>
      </c>
      <c r="N287" s="8">
        <f>IF(E287="HUF", 1, IFERROR(VLOOKUP(A287&amp;E287, '91_Data_ExRates'!A:D, 4, FALSE), 1))</f>
        <v>0</v>
      </c>
    </row>
    <row r="288" spans="1:14">
      <c r="A288" t="s">
        <v>186</v>
      </c>
      <c r="B288" t="s">
        <v>381</v>
      </c>
      <c r="C288" t="s">
        <v>384</v>
      </c>
      <c r="D288">
        <v>680</v>
      </c>
      <c r="E288" t="s">
        <v>396</v>
      </c>
      <c r="F288" t="s">
        <v>403</v>
      </c>
      <c r="I288" t="s">
        <v>417</v>
      </c>
      <c r="J288" t="s">
        <v>669</v>
      </c>
      <c r="K288" t="s">
        <v>1189</v>
      </c>
      <c r="L288" s="8">
        <f>D288*N288</f>
        <v>0</v>
      </c>
      <c r="N288" s="8">
        <f>IF(E288="HUF", 1, IFERROR(VLOOKUP(A288&amp;E288, '91_Data_ExRates'!A:D, 4, FALSE), 1))</f>
        <v>0</v>
      </c>
    </row>
    <row r="289" spans="1:14">
      <c r="A289" t="s">
        <v>187</v>
      </c>
      <c r="B289" t="s">
        <v>381</v>
      </c>
      <c r="C289" t="s">
        <v>384</v>
      </c>
      <c r="D289">
        <v>2355</v>
      </c>
      <c r="E289" t="s">
        <v>396</v>
      </c>
      <c r="F289" t="s">
        <v>411</v>
      </c>
      <c r="I289" t="s">
        <v>417</v>
      </c>
      <c r="J289" t="s">
        <v>670</v>
      </c>
      <c r="K289" t="s">
        <v>1190</v>
      </c>
      <c r="L289" s="8">
        <f>D289*N289</f>
        <v>0</v>
      </c>
      <c r="N289" s="8">
        <f>IF(E289="HUF", 1, IFERROR(VLOOKUP(A289&amp;E289, '91_Data_ExRates'!A:D, 4, FALSE), 1))</f>
        <v>0</v>
      </c>
    </row>
    <row r="290" spans="1:14">
      <c r="A290" t="s">
        <v>188</v>
      </c>
      <c r="B290" t="s">
        <v>382</v>
      </c>
      <c r="C290" t="s">
        <v>385</v>
      </c>
      <c r="D290">
        <v>30000</v>
      </c>
      <c r="E290" t="s">
        <v>396</v>
      </c>
      <c r="F290" t="s">
        <v>401</v>
      </c>
      <c r="I290" t="s">
        <v>417</v>
      </c>
      <c r="J290" t="s">
        <v>671</v>
      </c>
      <c r="K290" t="s">
        <v>1191</v>
      </c>
      <c r="L290" s="8">
        <f>D290*N290</f>
        <v>0</v>
      </c>
      <c r="N290" s="8">
        <f>IF(E290="HUF", 1, IFERROR(VLOOKUP(A290&amp;E290, '91_Data_ExRates'!A:D, 4, FALSE), 1))</f>
        <v>0</v>
      </c>
    </row>
    <row r="291" spans="1:14">
      <c r="A291" t="s">
        <v>188</v>
      </c>
      <c r="B291" t="s">
        <v>381</v>
      </c>
      <c r="C291" t="s">
        <v>384</v>
      </c>
      <c r="D291">
        <v>945</v>
      </c>
      <c r="E291" t="s">
        <v>396</v>
      </c>
      <c r="F291" t="s">
        <v>402</v>
      </c>
      <c r="I291" t="s">
        <v>417</v>
      </c>
      <c r="J291" t="s">
        <v>672</v>
      </c>
      <c r="K291" t="s">
        <v>1192</v>
      </c>
      <c r="L291" s="8">
        <f>D291*N291</f>
        <v>0</v>
      </c>
      <c r="N291" s="8">
        <f>IF(E291="HUF", 1, IFERROR(VLOOKUP(A291&amp;E291, '91_Data_ExRates'!A:D, 4, FALSE), 1))</f>
        <v>0</v>
      </c>
    </row>
    <row r="292" spans="1:14">
      <c r="A292" t="s">
        <v>189</v>
      </c>
      <c r="B292" t="s">
        <v>381</v>
      </c>
      <c r="C292" t="s">
        <v>384</v>
      </c>
      <c r="D292">
        <v>1975</v>
      </c>
      <c r="E292" t="s">
        <v>396</v>
      </c>
      <c r="F292" t="s">
        <v>411</v>
      </c>
      <c r="I292" t="s">
        <v>417</v>
      </c>
      <c r="J292" t="s">
        <v>673</v>
      </c>
      <c r="K292" t="s">
        <v>1193</v>
      </c>
      <c r="L292" s="8">
        <f>D292*N292</f>
        <v>0</v>
      </c>
      <c r="N292" s="8">
        <f>IF(E292="HUF", 1, IFERROR(VLOOKUP(A292&amp;E292, '91_Data_ExRates'!A:D, 4, FALSE), 1))</f>
        <v>0</v>
      </c>
    </row>
    <row r="293" spans="1:14">
      <c r="A293" t="s">
        <v>190</v>
      </c>
      <c r="B293" t="s">
        <v>381</v>
      </c>
      <c r="C293" t="s">
        <v>388</v>
      </c>
      <c r="D293">
        <v>11</v>
      </c>
      <c r="E293" t="s">
        <v>397</v>
      </c>
      <c r="F293" t="s">
        <v>411</v>
      </c>
      <c r="I293" t="s">
        <v>417</v>
      </c>
      <c r="J293" t="s">
        <v>674</v>
      </c>
      <c r="K293" t="s">
        <v>1194</v>
      </c>
      <c r="L293" s="8">
        <f>D293*N293</f>
        <v>0</v>
      </c>
      <c r="N293" s="8">
        <f>IF(E293="HUF", 1, IFERROR(VLOOKUP(A293&amp;E293, '91_Data_ExRates'!A:D, 4, FALSE), 1))</f>
        <v>0</v>
      </c>
    </row>
    <row r="294" spans="1:14">
      <c r="A294" t="s">
        <v>190</v>
      </c>
      <c r="B294" t="s">
        <v>383</v>
      </c>
      <c r="C294" t="s">
        <v>384</v>
      </c>
      <c r="D294">
        <v>3000</v>
      </c>
      <c r="E294" t="s">
        <v>396</v>
      </c>
      <c r="I294" t="s">
        <v>417</v>
      </c>
      <c r="J294" t="s">
        <v>675</v>
      </c>
      <c r="K294" t="s">
        <v>1195</v>
      </c>
      <c r="L294" s="8">
        <f>D294*N294</f>
        <v>0</v>
      </c>
      <c r="N294" s="8">
        <f>IF(E294="HUF", 1, IFERROR(VLOOKUP(A294&amp;E294, '91_Data_ExRates'!A:D, 4, FALSE), 1))</f>
        <v>0</v>
      </c>
    </row>
    <row r="295" spans="1:14">
      <c r="A295" t="s">
        <v>190</v>
      </c>
      <c r="B295" t="s">
        <v>381</v>
      </c>
      <c r="C295" t="s">
        <v>388</v>
      </c>
      <c r="D295">
        <v>21.5</v>
      </c>
      <c r="E295" t="s">
        <v>397</v>
      </c>
      <c r="F295" t="s">
        <v>411</v>
      </c>
      <c r="I295" t="s">
        <v>417</v>
      </c>
      <c r="J295" t="s">
        <v>676</v>
      </c>
      <c r="K295" t="s">
        <v>1196</v>
      </c>
      <c r="L295" s="8">
        <f>D295*N295</f>
        <v>0</v>
      </c>
      <c r="N295" s="8">
        <f>IF(E295="HUF", 1, IFERROR(VLOOKUP(A295&amp;E295, '91_Data_ExRates'!A:D, 4, FALSE), 1))</f>
        <v>0</v>
      </c>
    </row>
    <row r="296" spans="1:14">
      <c r="A296" t="s">
        <v>191</v>
      </c>
      <c r="B296" t="s">
        <v>381</v>
      </c>
      <c r="C296" t="s">
        <v>388</v>
      </c>
      <c r="D296">
        <v>3</v>
      </c>
      <c r="E296" t="s">
        <v>397</v>
      </c>
      <c r="F296" t="s">
        <v>401</v>
      </c>
      <c r="I296" t="s">
        <v>417</v>
      </c>
      <c r="J296" t="s">
        <v>677</v>
      </c>
      <c r="K296" t="s">
        <v>1197</v>
      </c>
      <c r="L296" s="8">
        <f>D296*N296</f>
        <v>0</v>
      </c>
      <c r="N296" s="8">
        <f>IF(E296="HUF", 1, IFERROR(VLOOKUP(A296&amp;E296, '91_Data_ExRates'!A:D, 4, FALSE), 1))</f>
        <v>0</v>
      </c>
    </row>
    <row r="297" spans="1:14">
      <c r="A297" t="s">
        <v>191</v>
      </c>
      <c r="B297" t="s">
        <v>381</v>
      </c>
      <c r="C297" t="s">
        <v>384</v>
      </c>
      <c r="D297">
        <v>3736.6</v>
      </c>
      <c r="E297" t="s">
        <v>396</v>
      </c>
      <c r="F297" t="s">
        <v>411</v>
      </c>
      <c r="I297" t="s">
        <v>417</v>
      </c>
      <c r="J297" t="s">
        <v>678</v>
      </c>
      <c r="K297" t="s">
        <v>1198</v>
      </c>
      <c r="L297" s="8">
        <f>D297*N297</f>
        <v>0</v>
      </c>
      <c r="N297" s="8">
        <f>IF(E297="HUF", 1, IFERROR(VLOOKUP(A297&amp;E297, '91_Data_ExRates'!A:D, 4, FALSE), 1))</f>
        <v>0</v>
      </c>
    </row>
    <row r="298" spans="1:14">
      <c r="A298" t="s">
        <v>192</v>
      </c>
      <c r="B298" t="s">
        <v>382</v>
      </c>
      <c r="C298" t="s">
        <v>384</v>
      </c>
      <c r="D298">
        <v>12500</v>
      </c>
      <c r="E298" t="s">
        <v>396</v>
      </c>
      <c r="F298" t="s">
        <v>405</v>
      </c>
      <c r="I298" t="s">
        <v>417</v>
      </c>
      <c r="J298" t="s">
        <v>679</v>
      </c>
      <c r="K298" t="s">
        <v>1199</v>
      </c>
      <c r="L298" s="8">
        <f>D298*N298</f>
        <v>0</v>
      </c>
      <c r="N298" s="8">
        <f>IF(E298="HUF", 1, IFERROR(VLOOKUP(A298&amp;E298, '91_Data_ExRates'!A:D, 4, FALSE), 1))</f>
        <v>0</v>
      </c>
    </row>
    <row r="299" spans="1:14">
      <c r="A299" t="s">
        <v>192</v>
      </c>
      <c r="B299" t="s">
        <v>381</v>
      </c>
      <c r="C299" t="s">
        <v>384</v>
      </c>
      <c r="D299">
        <v>2695.25</v>
      </c>
      <c r="E299" t="s">
        <v>396</v>
      </c>
      <c r="F299" t="s">
        <v>411</v>
      </c>
      <c r="I299" t="s">
        <v>417</v>
      </c>
      <c r="J299" t="s">
        <v>680</v>
      </c>
      <c r="K299" t="s">
        <v>1200</v>
      </c>
      <c r="L299" s="8">
        <f>D299*N299</f>
        <v>0</v>
      </c>
      <c r="N299" s="8">
        <f>IF(E299="HUF", 1, IFERROR(VLOOKUP(A299&amp;E299, '91_Data_ExRates'!A:D, 4, FALSE), 1))</f>
        <v>0</v>
      </c>
    </row>
    <row r="300" spans="1:14">
      <c r="A300" t="s">
        <v>192</v>
      </c>
      <c r="B300" t="s">
        <v>381</v>
      </c>
      <c r="C300" t="s">
        <v>384</v>
      </c>
      <c r="D300">
        <v>6615.62</v>
      </c>
      <c r="E300" t="s">
        <v>396</v>
      </c>
      <c r="F300" t="s">
        <v>411</v>
      </c>
      <c r="I300" t="s">
        <v>417</v>
      </c>
      <c r="J300" t="s">
        <v>681</v>
      </c>
      <c r="K300" t="s">
        <v>1201</v>
      </c>
      <c r="L300" s="8">
        <f>D300*N300</f>
        <v>0</v>
      </c>
      <c r="N300" s="8">
        <f>IF(E300="HUF", 1, IFERROR(VLOOKUP(A300&amp;E300, '91_Data_ExRates'!A:D, 4, FALSE), 1))</f>
        <v>0</v>
      </c>
    </row>
    <row r="301" spans="1:14">
      <c r="A301" t="s">
        <v>192</v>
      </c>
      <c r="B301" t="s">
        <v>381</v>
      </c>
      <c r="C301" t="s">
        <v>384</v>
      </c>
      <c r="D301">
        <v>980.09</v>
      </c>
      <c r="E301" t="s">
        <v>396</v>
      </c>
      <c r="F301" t="s">
        <v>411</v>
      </c>
      <c r="I301" t="s">
        <v>417</v>
      </c>
      <c r="J301" t="s">
        <v>682</v>
      </c>
      <c r="K301" t="s">
        <v>1202</v>
      </c>
      <c r="L301" s="8">
        <f>D301*N301</f>
        <v>0</v>
      </c>
      <c r="N301" s="8">
        <f>IF(E301="HUF", 1, IFERROR(VLOOKUP(A301&amp;E301, '91_Data_ExRates'!A:D, 4, FALSE), 1))</f>
        <v>0</v>
      </c>
    </row>
    <row r="302" spans="1:14">
      <c r="A302" t="s">
        <v>192</v>
      </c>
      <c r="B302" t="s">
        <v>381</v>
      </c>
      <c r="C302" t="s">
        <v>384</v>
      </c>
      <c r="D302">
        <v>2450.23</v>
      </c>
      <c r="E302" t="s">
        <v>396</v>
      </c>
      <c r="F302" t="s">
        <v>411</v>
      </c>
      <c r="I302" t="s">
        <v>417</v>
      </c>
      <c r="J302" t="s">
        <v>683</v>
      </c>
      <c r="K302" t="s">
        <v>1203</v>
      </c>
      <c r="L302" s="8">
        <f>D302*N302</f>
        <v>0</v>
      </c>
      <c r="N302" s="8">
        <f>IF(E302="HUF", 1, IFERROR(VLOOKUP(A302&amp;E302, '91_Data_ExRates'!A:D, 4, FALSE), 1))</f>
        <v>0</v>
      </c>
    </row>
    <row r="303" spans="1:14">
      <c r="A303" t="s">
        <v>193</v>
      </c>
      <c r="B303" t="s">
        <v>381</v>
      </c>
      <c r="C303" t="s">
        <v>384</v>
      </c>
      <c r="D303">
        <v>3062.79</v>
      </c>
      <c r="E303" t="s">
        <v>396</v>
      </c>
      <c r="F303" t="s">
        <v>411</v>
      </c>
      <c r="I303" t="s">
        <v>417</v>
      </c>
      <c r="J303" t="s">
        <v>684</v>
      </c>
      <c r="K303" t="s">
        <v>1204</v>
      </c>
      <c r="L303" s="8">
        <f>D303*N303</f>
        <v>0</v>
      </c>
      <c r="N303" s="8">
        <f>IF(E303="HUF", 1, IFERROR(VLOOKUP(A303&amp;E303, '91_Data_ExRates'!A:D, 4, FALSE), 1))</f>
        <v>0</v>
      </c>
    </row>
    <row r="304" spans="1:14">
      <c r="A304" t="s">
        <v>193</v>
      </c>
      <c r="B304" t="s">
        <v>381</v>
      </c>
      <c r="C304" t="s">
        <v>384</v>
      </c>
      <c r="D304">
        <v>449.21</v>
      </c>
      <c r="E304" t="s">
        <v>396</v>
      </c>
      <c r="F304" t="s">
        <v>411</v>
      </c>
      <c r="I304" t="s">
        <v>417</v>
      </c>
      <c r="J304" t="s">
        <v>685</v>
      </c>
      <c r="K304" t="s">
        <v>1205</v>
      </c>
      <c r="L304" s="8">
        <f>D304*N304</f>
        <v>0</v>
      </c>
      <c r="N304" s="8">
        <f>IF(E304="HUF", 1, IFERROR(VLOOKUP(A304&amp;E304, '91_Data_ExRates'!A:D, 4, FALSE), 1))</f>
        <v>0</v>
      </c>
    </row>
    <row r="305" spans="1:14">
      <c r="A305" t="s">
        <v>193</v>
      </c>
      <c r="B305" t="s">
        <v>381</v>
      </c>
      <c r="C305" t="s">
        <v>384</v>
      </c>
      <c r="D305">
        <v>4492.09</v>
      </c>
      <c r="E305" t="s">
        <v>396</v>
      </c>
      <c r="F305" t="s">
        <v>411</v>
      </c>
      <c r="I305" t="s">
        <v>417</v>
      </c>
      <c r="J305" t="s">
        <v>674</v>
      </c>
      <c r="K305" t="s">
        <v>1206</v>
      </c>
      <c r="L305" s="8">
        <f>D305*N305</f>
        <v>0</v>
      </c>
      <c r="N305" s="8">
        <f>IF(E305="HUF", 1, IFERROR(VLOOKUP(A305&amp;E305, '91_Data_ExRates'!A:D, 4, FALSE), 1))</f>
        <v>0</v>
      </c>
    </row>
    <row r="306" spans="1:14">
      <c r="A306" t="s">
        <v>194</v>
      </c>
      <c r="B306" t="s">
        <v>381</v>
      </c>
      <c r="C306" t="s">
        <v>384</v>
      </c>
      <c r="D306">
        <v>4399</v>
      </c>
      <c r="E306" t="s">
        <v>396</v>
      </c>
      <c r="F306" t="s">
        <v>404</v>
      </c>
      <c r="I306" t="s">
        <v>417</v>
      </c>
      <c r="J306" t="s">
        <v>686</v>
      </c>
      <c r="K306" t="s">
        <v>1207</v>
      </c>
      <c r="L306" s="8">
        <f>D306*N306</f>
        <v>0</v>
      </c>
      <c r="N306" s="8">
        <f>IF(E306="HUF", 1, IFERROR(VLOOKUP(A306&amp;E306, '91_Data_ExRates'!A:D, 4, FALSE), 1))</f>
        <v>0</v>
      </c>
    </row>
    <row r="307" spans="1:14">
      <c r="A307" t="s">
        <v>195</v>
      </c>
      <c r="B307" t="s">
        <v>381</v>
      </c>
      <c r="C307" t="s">
        <v>385</v>
      </c>
      <c r="D307">
        <v>1900</v>
      </c>
      <c r="E307" t="s">
        <v>396</v>
      </c>
      <c r="F307" t="s">
        <v>404</v>
      </c>
      <c r="I307" t="s">
        <v>417</v>
      </c>
      <c r="J307" t="s">
        <v>687</v>
      </c>
      <c r="K307" t="s">
        <v>1208</v>
      </c>
      <c r="L307" s="8">
        <f>D307*N307</f>
        <v>0</v>
      </c>
      <c r="N307" s="8">
        <f>IF(E307="HUF", 1, IFERROR(VLOOKUP(A307&amp;E307, '91_Data_ExRates'!A:D, 4, FALSE), 1))</f>
        <v>0</v>
      </c>
    </row>
    <row r="308" spans="1:14">
      <c r="A308" t="s">
        <v>195</v>
      </c>
      <c r="B308" t="s">
        <v>383</v>
      </c>
      <c r="C308" t="s">
        <v>384</v>
      </c>
      <c r="D308">
        <v>70000</v>
      </c>
      <c r="E308" t="s">
        <v>396</v>
      </c>
      <c r="I308" t="s">
        <v>417</v>
      </c>
      <c r="K308" t="s">
        <v>1209</v>
      </c>
      <c r="L308" s="8">
        <f>D308*N308</f>
        <v>0</v>
      </c>
      <c r="N308" s="8">
        <f>IF(E308="HUF", 1, IFERROR(VLOOKUP(A308&amp;E308, '91_Data_ExRates'!A:D, 4, FALSE), 1))</f>
        <v>0</v>
      </c>
    </row>
    <row r="309" spans="1:14">
      <c r="A309" t="s">
        <v>196</v>
      </c>
      <c r="B309" t="s">
        <v>381</v>
      </c>
      <c r="C309" t="s">
        <v>385</v>
      </c>
      <c r="D309">
        <v>800</v>
      </c>
      <c r="E309" t="s">
        <v>396</v>
      </c>
      <c r="F309" t="s">
        <v>404</v>
      </c>
      <c r="I309" t="s">
        <v>417</v>
      </c>
      <c r="J309" t="s">
        <v>688</v>
      </c>
      <c r="K309" t="s">
        <v>1210</v>
      </c>
      <c r="L309" s="8">
        <f>D309*N309</f>
        <v>0</v>
      </c>
      <c r="N309" s="8">
        <f>IF(E309="HUF", 1, IFERROR(VLOOKUP(A309&amp;E309, '91_Data_ExRates'!A:D, 4, FALSE), 1))</f>
        <v>0</v>
      </c>
    </row>
    <row r="310" spans="1:14">
      <c r="A310" t="s">
        <v>196</v>
      </c>
      <c r="B310" t="s">
        <v>381</v>
      </c>
      <c r="C310" t="s">
        <v>385</v>
      </c>
      <c r="D310">
        <v>560</v>
      </c>
      <c r="E310" t="s">
        <v>396</v>
      </c>
      <c r="F310" t="s">
        <v>404</v>
      </c>
      <c r="I310" t="s">
        <v>417</v>
      </c>
      <c r="J310" t="s">
        <v>689</v>
      </c>
      <c r="K310" t="s">
        <v>1211</v>
      </c>
      <c r="L310" s="8">
        <f>D310*N310</f>
        <v>0</v>
      </c>
      <c r="N310" s="8">
        <f>IF(E310="HUF", 1, IFERROR(VLOOKUP(A310&amp;E310, '91_Data_ExRates'!A:D, 4, FALSE), 1))</f>
        <v>0</v>
      </c>
    </row>
    <row r="311" spans="1:14">
      <c r="A311" t="s">
        <v>196</v>
      </c>
      <c r="B311" t="s">
        <v>381</v>
      </c>
      <c r="C311" t="s">
        <v>385</v>
      </c>
      <c r="D311">
        <v>850</v>
      </c>
      <c r="E311" t="s">
        <v>396</v>
      </c>
      <c r="F311" t="s">
        <v>404</v>
      </c>
      <c r="I311" t="s">
        <v>417</v>
      </c>
      <c r="J311" t="s">
        <v>690</v>
      </c>
      <c r="K311" t="s">
        <v>1212</v>
      </c>
      <c r="L311" s="8">
        <f>D311*N311</f>
        <v>0</v>
      </c>
      <c r="N311" s="8">
        <f>IF(E311="HUF", 1, IFERROR(VLOOKUP(A311&amp;E311, '91_Data_ExRates'!A:D, 4, FALSE), 1))</f>
        <v>0</v>
      </c>
    </row>
    <row r="312" spans="1:14">
      <c r="A312" t="s">
        <v>196</v>
      </c>
      <c r="B312" t="s">
        <v>381</v>
      </c>
      <c r="C312" t="s">
        <v>385</v>
      </c>
      <c r="D312">
        <v>1040</v>
      </c>
      <c r="E312" t="s">
        <v>396</v>
      </c>
      <c r="F312" t="s">
        <v>404</v>
      </c>
      <c r="I312" t="s">
        <v>417</v>
      </c>
      <c r="J312" t="s">
        <v>691</v>
      </c>
      <c r="K312" t="s">
        <v>1213</v>
      </c>
      <c r="L312" s="8">
        <f>D312*N312</f>
        <v>0</v>
      </c>
      <c r="N312" s="8">
        <f>IF(E312="HUF", 1, IFERROR(VLOOKUP(A312&amp;E312, '91_Data_ExRates'!A:D, 4, FALSE), 1))</f>
        <v>0</v>
      </c>
    </row>
    <row r="313" spans="1:14">
      <c r="A313" t="s">
        <v>196</v>
      </c>
      <c r="B313" t="s">
        <v>381</v>
      </c>
      <c r="C313" t="s">
        <v>385</v>
      </c>
      <c r="D313">
        <v>1010</v>
      </c>
      <c r="E313" t="s">
        <v>396</v>
      </c>
      <c r="F313" t="s">
        <v>404</v>
      </c>
      <c r="I313" t="s">
        <v>417</v>
      </c>
      <c r="J313" t="s">
        <v>692</v>
      </c>
      <c r="K313" t="s">
        <v>1214</v>
      </c>
      <c r="L313" s="8">
        <f>D313*N313</f>
        <v>0</v>
      </c>
      <c r="N313" s="8">
        <f>IF(E313="HUF", 1, IFERROR(VLOOKUP(A313&amp;E313, '91_Data_ExRates'!A:D, 4, FALSE), 1))</f>
        <v>0</v>
      </c>
    </row>
    <row r="314" spans="1:14">
      <c r="A314" t="s">
        <v>197</v>
      </c>
      <c r="B314" t="s">
        <v>381</v>
      </c>
      <c r="C314" t="s">
        <v>385</v>
      </c>
      <c r="D314">
        <v>800</v>
      </c>
      <c r="E314" t="s">
        <v>396</v>
      </c>
      <c r="F314" t="s">
        <v>404</v>
      </c>
      <c r="I314" t="s">
        <v>417</v>
      </c>
      <c r="J314" t="s">
        <v>693</v>
      </c>
      <c r="K314" t="s">
        <v>1215</v>
      </c>
      <c r="L314" s="8">
        <f>D314*N314</f>
        <v>0</v>
      </c>
      <c r="N314" s="8">
        <f>IF(E314="HUF", 1, IFERROR(VLOOKUP(A314&amp;E314, '91_Data_ExRates'!A:D, 4, FALSE), 1))</f>
        <v>0</v>
      </c>
    </row>
    <row r="315" spans="1:14">
      <c r="A315" t="s">
        <v>197</v>
      </c>
      <c r="B315" t="s">
        <v>381</v>
      </c>
      <c r="C315" t="s">
        <v>385</v>
      </c>
      <c r="D315">
        <v>2500</v>
      </c>
      <c r="E315" t="s">
        <v>396</v>
      </c>
      <c r="F315" t="s">
        <v>401</v>
      </c>
      <c r="I315" t="s">
        <v>417</v>
      </c>
      <c r="J315" t="s">
        <v>694</v>
      </c>
      <c r="K315" t="s">
        <v>1216</v>
      </c>
      <c r="L315" s="8">
        <f>D315*N315</f>
        <v>0</v>
      </c>
      <c r="N315" s="8">
        <f>IF(E315="HUF", 1, IFERROR(VLOOKUP(A315&amp;E315, '91_Data_ExRates'!A:D, 4, FALSE), 1))</f>
        <v>0</v>
      </c>
    </row>
    <row r="316" spans="1:14">
      <c r="A316" t="s">
        <v>198</v>
      </c>
      <c r="B316" t="s">
        <v>382</v>
      </c>
      <c r="C316" t="s">
        <v>385</v>
      </c>
      <c r="D316">
        <v>5000</v>
      </c>
      <c r="E316" t="s">
        <v>396</v>
      </c>
      <c r="F316" t="s">
        <v>401</v>
      </c>
      <c r="I316" t="s">
        <v>417</v>
      </c>
      <c r="J316" t="s">
        <v>695</v>
      </c>
      <c r="K316" t="s">
        <v>1217</v>
      </c>
      <c r="L316" s="8">
        <f>D316*N316</f>
        <v>0</v>
      </c>
      <c r="N316" s="8">
        <f>IF(E316="HUF", 1, IFERROR(VLOOKUP(A316&amp;E316, '91_Data_ExRates'!A:D, 4, FALSE), 1))</f>
        <v>0</v>
      </c>
    </row>
    <row r="317" spans="1:14">
      <c r="A317" t="s">
        <v>199</v>
      </c>
      <c r="B317" t="s">
        <v>381</v>
      </c>
      <c r="C317" t="s">
        <v>385</v>
      </c>
      <c r="D317">
        <v>2500</v>
      </c>
      <c r="E317" t="s">
        <v>396</v>
      </c>
      <c r="F317" t="s">
        <v>406</v>
      </c>
      <c r="I317" t="s">
        <v>417</v>
      </c>
      <c r="J317" t="s">
        <v>696</v>
      </c>
      <c r="K317" t="s">
        <v>1218</v>
      </c>
      <c r="L317" s="8">
        <f>D317*N317</f>
        <v>0</v>
      </c>
      <c r="N317" s="8">
        <f>IF(E317="HUF", 1, IFERROR(VLOOKUP(A317&amp;E317, '91_Data_ExRates'!A:D, 4, FALSE), 1))</f>
        <v>0</v>
      </c>
    </row>
    <row r="318" spans="1:14">
      <c r="A318" t="s">
        <v>199</v>
      </c>
      <c r="B318" t="s">
        <v>381</v>
      </c>
      <c r="C318" t="s">
        <v>385</v>
      </c>
      <c r="D318">
        <v>3000</v>
      </c>
      <c r="E318" t="s">
        <v>396</v>
      </c>
      <c r="F318" t="s">
        <v>406</v>
      </c>
      <c r="I318" t="s">
        <v>417</v>
      </c>
      <c r="J318" t="s">
        <v>697</v>
      </c>
      <c r="K318" t="s">
        <v>1219</v>
      </c>
      <c r="L318" s="8">
        <f>D318*N318</f>
        <v>0</v>
      </c>
      <c r="N318" s="8">
        <f>IF(E318="HUF", 1, IFERROR(VLOOKUP(A318&amp;E318, '91_Data_ExRates'!A:D, 4, FALSE), 1))</f>
        <v>0</v>
      </c>
    </row>
    <row r="319" spans="1:14">
      <c r="A319" t="s">
        <v>200</v>
      </c>
      <c r="B319" t="s">
        <v>381</v>
      </c>
      <c r="C319" t="s">
        <v>384</v>
      </c>
      <c r="D319">
        <v>220</v>
      </c>
      <c r="E319" t="s">
        <v>396</v>
      </c>
      <c r="F319" t="s">
        <v>402</v>
      </c>
      <c r="I319" t="s">
        <v>417</v>
      </c>
      <c r="J319" t="s">
        <v>497</v>
      </c>
      <c r="K319" t="s">
        <v>1220</v>
      </c>
      <c r="L319" s="8">
        <f>D319*N319</f>
        <v>0</v>
      </c>
      <c r="N319" s="8">
        <f>IF(E319="HUF", 1, IFERROR(VLOOKUP(A319&amp;E319, '91_Data_ExRates'!A:D, 4, FALSE), 1))</f>
        <v>0</v>
      </c>
    </row>
    <row r="320" spans="1:14">
      <c r="A320" t="s">
        <v>201</v>
      </c>
      <c r="B320" t="s">
        <v>381</v>
      </c>
      <c r="C320" t="s">
        <v>384</v>
      </c>
      <c r="D320">
        <v>6587</v>
      </c>
      <c r="E320" t="s">
        <v>396</v>
      </c>
      <c r="F320" t="s">
        <v>404</v>
      </c>
      <c r="I320" t="s">
        <v>417</v>
      </c>
      <c r="J320" t="s">
        <v>698</v>
      </c>
      <c r="K320" t="s">
        <v>1221</v>
      </c>
      <c r="L320" s="8">
        <f>D320*N320</f>
        <v>0</v>
      </c>
      <c r="N320" s="8">
        <f>IF(E320="HUF", 1, IFERROR(VLOOKUP(A320&amp;E320, '91_Data_ExRates'!A:D, 4, FALSE), 1))</f>
        <v>0</v>
      </c>
    </row>
    <row r="321" spans="1:14">
      <c r="A321" t="s">
        <v>201</v>
      </c>
      <c r="B321" t="s">
        <v>381</v>
      </c>
      <c r="C321" t="s">
        <v>384</v>
      </c>
      <c r="D321">
        <v>321</v>
      </c>
      <c r="E321" t="s">
        <v>396</v>
      </c>
      <c r="F321" t="s">
        <v>407</v>
      </c>
      <c r="I321" t="s">
        <v>417</v>
      </c>
      <c r="J321" t="s">
        <v>699</v>
      </c>
      <c r="K321" t="s">
        <v>1222</v>
      </c>
      <c r="L321" s="8">
        <f>D321*N321</f>
        <v>0</v>
      </c>
      <c r="N321" s="8">
        <f>IF(E321="HUF", 1, IFERROR(VLOOKUP(A321&amp;E321, '91_Data_ExRates'!A:D, 4, FALSE), 1))</f>
        <v>0</v>
      </c>
    </row>
    <row r="322" spans="1:14">
      <c r="A322" t="s">
        <v>202</v>
      </c>
      <c r="B322" t="s">
        <v>383</v>
      </c>
      <c r="C322" t="s">
        <v>385</v>
      </c>
      <c r="D322">
        <v>270000</v>
      </c>
      <c r="E322" t="s">
        <v>396</v>
      </c>
      <c r="I322" t="s">
        <v>417</v>
      </c>
      <c r="K322" t="s">
        <v>1223</v>
      </c>
      <c r="L322" s="8">
        <f>D322*N322</f>
        <v>0</v>
      </c>
      <c r="N322" s="8">
        <f>IF(E322="HUF", 1, IFERROR(VLOOKUP(A322&amp;E322, '91_Data_ExRates'!A:D, 4, FALSE), 1))</f>
        <v>0</v>
      </c>
    </row>
    <row r="323" spans="1:14">
      <c r="A323" t="s">
        <v>202</v>
      </c>
      <c r="B323" t="s">
        <v>381</v>
      </c>
      <c r="C323" t="s">
        <v>385</v>
      </c>
      <c r="D323">
        <v>1000</v>
      </c>
      <c r="E323" t="s">
        <v>396</v>
      </c>
      <c r="F323" t="s">
        <v>404</v>
      </c>
      <c r="I323" t="s">
        <v>417</v>
      </c>
      <c r="J323" t="s">
        <v>700</v>
      </c>
      <c r="K323" t="s">
        <v>1224</v>
      </c>
      <c r="L323" s="8">
        <f>D323*N323</f>
        <v>0</v>
      </c>
      <c r="N323" s="8">
        <f>IF(E323="HUF", 1, IFERROR(VLOOKUP(A323&amp;E323, '91_Data_ExRates'!A:D, 4, FALSE), 1))</f>
        <v>0</v>
      </c>
    </row>
    <row r="324" spans="1:14">
      <c r="A324" t="s">
        <v>203</v>
      </c>
      <c r="B324" t="s">
        <v>381</v>
      </c>
      <c r="C324" t="s">
        <v>384</v>
      </c>
      <c r="D324">
        <v>220</v>
      </c>
      <c r="E324" t="s">
        <v>396</v>
      </c>
      <c r="F324" t="s">
        <v>402</v>
      </c>
      <c r="I324" t="s">
        <v>417</v>
      </c>
      <c r="J324" t="s">
        <v>497</v>
      </c>
      <c r="K324" t="s">
        <v>1225</v>
      </c>
      <c r="L324" s="8">
        <f>D324*N324</f>
        <v>0</v>
      </c>
      <c r="N324" s="8">
        <f>IF(E324="HUF", 1, IFERROR(VLOOKUP(A324&amp;E324, '91_Data_ExRates'!A:D, 4, FALSE), 1))</f>
        <v>0</v>
      </c>
    </row>
    <row r="325" spans="1:14">
      <c r="A325" t="s">
        <v>204</v>
      </c>
      <c r="B325" t="s">
        <v>381</v>
      </c>
      <c r="C325" t="s">
        <v>384</v>
      </c>
      <c r="D325">
        <v>1890</v>
      </c>
      <c r="E325" t="s">
        <v>396</v>
      </c>
      <c r="F325" t="s">
        <v>402</v>
      </c>
      <c r="I325" t="s">
        <v>417</v>
      </c>
      <c r="J325" t="s">
        <v>604</v>
      </c>
      <c r="K325" t="s">
        <v>1226</v>
      </c>
      <c r="L325" s="8">
        <f>D325*N325</f>
        <v>0</v>
      </c>
      <c r="N325" s="8">
        <f>IF(E325="HUF", 1, IFERROR(VLOOKUP(A325&amp;E325, '91_Data_ExRates'!A:D, 4, FALSE), 1))</f>
        <v>0</v>
      </c>
    </row>
    <row r="326" spans="1:14">
      <c r="A326" t="s">
        <v>205</v>
      </c>
      <c r="B326" t="s">
        <v>381</v>
      </c>
      <c r="C326" t="s">
        <v>385</v>
      </c>
      <c r="D326">
        <v>4000</v>
      </c>
      <c r="E326" t="s">
        <v>396</v>
      </c>
      <c r="F326" t="s">
        <v>403</v>
      </c>
      <c r="I326" t="s">
        <v>417</v>
      </c>
      <c r="J326" t="s">
        <v>701</v>
      </c>
      <c r="K326" t="s">
        <v>1227</v>
      </c>
      <c r="L326" s="8">
        <f>D326*N326</f>
        <v>0</v>
      </c>
      <c r="N326" s="8">
        <f>IF(E326="HUF", 1, IFERROR(VLOOKUP(A326&amp;E326, '91_Data_ExRates'!A:D, 4, FALSE), 1))</f>
        <v>0</v>
      </c>
    </row>
    <row r="327" spans="1:14">
      <c r="A327" t="s">
        <v>205</v>
      </c>
      <c r="B327" t="s">
        <v>381</v>
      </c>
      <c r="C327" t="s">
        <v>385</v>
      </c>
      <c r="D327">
        <v>3000</v>
      </c>
      <c r="E327" t="s">
        <v>396</v>
      </c>
      <c r="F327" t="s">
        <v>401</v>
      </c>
      <c r="I327" t="s">
        <v>417</v>
      </c>
      <c r="J327" t="s">
        <v>702</v>
      </c>
      <c r="K327" t="s">
        <v>1228</v>
      </c>
      <c r="L327" s="8">
        <f>D327*N327</f>
        <v>0</v>
      </c>
      <c r="N327" s="8">
        <f>IF(E327="HUF", 1, IFERROR(VLOOKUP(A327&amp;E327, '91_Data_ExRates'!A:D, 4, FALSE), 1))</f>
        <v>0</v>
      </c>
    </row>
    <row r="328" spans="1:14">
      <c r="A328" t="s">
        <v>205</v>
      </c>
      <c r="B328" t="s">
        <v>381</v>
      </c>
      <c r="C328" t="s">
        <v>385</v>
      </c>
      <c r="D328">
        <v>2000</v>
      </c>
      <c r="E328" t="s">
        <v>396</v>
      </c>
      <c r="F328" t="s">
        <v>404</v>
      </c>
      <c r="I328" t="s">
        <v>417</v>
      </c>
      <c r="J328" t="s">
        <v>703</v>
      </c>
      <c r="K328" t="s">
        <v>1229</v>
      </c>
      <c r="L328" s="8">
        <f>D328*N328</f>
        <v>0</v>
      </c>
      <c r="N328" s="8">
        <f>IF(E328="HUF", 1, IFERROR(VLOOKUP(A328&amp;E328, '91_Data_ExRates'!A:D, 4, FALSE), 1))</f>
        <v>0</v>
      </c>
    </row>
    <row r="329" spans="1:14">
      <c r="A329" t="s">
        <v>205</v>
      </c>
      <c r="B329" t="s">
        <v>381</v>
      </c>
      <c r="C329" t="s">
        <v>385</v>
      </c>
      <c r="D329">
        <v>2000</v>
      </c>
      <c r="E329" t="s">
        <v>396</v>
      </c>
      <c r="F329" t="s">
        <v>401</v>
      </c>
      <c r="I329" t="s">
        <v>417</v>
      </c>
      <c r="J329" t="s">
        <v>704</v>
      </c>
      <c r="K329" t="s">
        <v>1230</v>
      </c>
      <c r="L329" s="8">
        <f>D329*N329</f>
        <v>0</v>
      </c>
      <c r="N329" s="8">
        <f>IF(E329="HUF", 1, IFERROR(VLOOKUP(A329&amp;E329, '91_Data_ExRates'!A:D, 4, FALSE), 1))</f>
        <v>0</v>
      </c>
    </row>
    <row r="330" spans="1:14">
      <c r="A330" t="s">
        <v>206</v>
      </c>
      <c r="B330" t="s">
        <v>382</v>
      </c>
      <c r="C330" t="s">
        <v>384</v>
      </c>
      <c r="D330">
        <v>247789</v>
      </c>
      <c r="E330" t="s">
        <v>396</v>
      </c>
      <c r="F330" t="s">
        <v>408</v>
      </c>
      <c r="I330" t="s">
        <v>417</v>
      </c>
      <c r="J330" t="s">
        <v>705</v>
      </c>
      <c r="K330" t="s">
        <v>1231</v>
      </c>
      <c r="L330" s="8">
        <f>D330*N330</f>
        <v>0</v>
      </c>
      <c r="N330" s="8">
        <f>IF(E330="HUF", 1, IFERROR(VLOOKUP(A330&amp;E330, '91_Data_ExRates'!A:D, 4, FALSE), 1))</f>
        <v>0</v>
      </c>
    </row>
    <row r="331" spans="1:14">
      <c r="A331" t="s">
        <v>207</v>
      </c>
      <c r="B331" t="s">
        <v>381</v>
      </c>
      <c r="C331" t="s">
        <v>385</v>
      </c>
      <c r="D331">
        <v>800</v>
      </c>
      <c r="E331" t="s">
        <v>396</v>
      </c>
      <c r="F331" t="s">
        <v>403</v>
      </c>
      <c r="I331" t="s">
        <v>417</v>
      </c>
      <c r="J331" t="s">
        <v>706</v>
      </c>
      <c r="K331" t="s">
        <v>1232</v>
      </c>
      <c r="L331" s="8">
        <f>D331*N331</f>
        <v>0</v>
      </c>
      <c r="N331" s="8">
        <f>IF(E331="HUF", 1, IFERROR(VLOOKUP(A331&amp;E331, '91_Data_ExRates'!A:D, 4, FALSE), 1))</f>
        <v>0</v>
      </c>
    </row>
    <row r="332" spans="1:14">
      <c r="A332" t="s">
        <v>208</v>
      </c>
      <c r="B332" t="s">
        <v>383</v>
      </c>
      <c r="C332" t="s">
        <v>384</v>
      </c>
      <c r="D332">
        <v>70000</v>
      </c>
      <c r="E332" t="s">
        <v>396</v>
      </c>
      <c r="I332" t="s">
        <v>417</v>
      </c>
      <c r="K332" t="s">
        <v>1233</v>
      </c>
      <c r="L332" s="8">
        <f>D332*N332</f>
        <v>0</v>
      </c>
      <c r="N332" s="8">
        <f>IF(E332="HUF", 1, IFERROR(VLOOKUP(A332&amp;E332, '91_Data_ExRates'!A:D, 4, FALSE), 1))</f>
        <v>0</v>
      </c>
    </row>
    <row r="333" spans="1:14">
      <c r="A333" t="s">
        <v>209</v>
      </c>
      <c r="B333" t="s">
        <v>381</v>
      </c>
      <c r="C333" t="s">
        <v>385</v>
      </c>
      <c r="D333">
        <v>2700</v>
      </c>
      <c r="E333" t="s">
        <v>396</v>
      </c>
      <c r="F333" t="s">
        <v>403</v>
      </c>
      <c r="I333" t="s">
        <v>417</v>
      </c>
      <c r="J333" t="s">
        <v>707</v>
      </c>
      <c r="K333" t="s">
        <v>1234</v>
      </c>
      <c r="L333" s="8">
        <f>D333*N333</f>
        <v>0</v>
      </c>
      <c r="N333" s="8">
        <f>IF(E333="HUF", 1, IFERROR(VLOOKUP(A333&amp;E333, '91_Data_ExRates'!A:D, 4, FALSE), 1))</f>
        <v>0</v>
      </c>
    </row>
    <row r="334" spans="1:14">
      <c r="A334" t="s">
        <v>210</v>
      </c>
      <c r="B334" t="s">
        <v>381</v>
      </c>
      <c r="C334" t="s">
        <v>385</v>
      </c>
      <c r="D334">
        <v>2100</v>
      </c>
      <c r="E334" t="s">
        <v>396</v>
      </c>
      <c r="F334" t="s">
        <v>404</v>
      </c>
      <c r="I334" t="s">
        <v>417</v>
      </c>
      <c r="J334" t="s">
        <v>708</v>
      </c>
      <c r="K334" t="s">
        <v>1235</v>
      </c>
      <c r="L334" s="8">
        <f>D334*N334</f>
        <v>0</v>
      </c>
      <c r="N334" s="8">
        <f>IF(E334="HUF", 1, IFERROR(VLOOKUP(A334&amp;E334, '91_Data_ExRates'!A:D, 4, FALSE), 1))</f>
        <v>0</v>
      </c>
    </row>
    <row r="335" spans="1:14">
      <c r="A335" t="s">
        <v>211</v>
      </c>
      <c r="B335" t="s">
        <v>381</v>
      </c>
      <c r="C335" t="s">
        <v>384</v>
      </c>
      <c r="D335">
        <v>1890</v>
      </c>
      <c r="E335" t="s">
        <v>396</v>
      </c>
      <c r="F335" t="s">
        <v>401</v>
      </c>
      <c r="I335" t="s">
        <v>417</v>
      </c>
      <c r="J335" t="s">
        <v>709</v>
      </c>
      <c r="K335" t="s">
        <v>1236</v>
      </c>
      <c r="L335" s="8">
        <f>D335*N335</f>
        <v>0</v>
      </c>
      <c r="N335" s="8">
        <f>IF(E335="HUF", 1, IFERROR(VLOOKUP(A335&amp;E335, '91_Data_ExRates'!A:D, 4, FALSE), 1))</f>
        <v>0</v>
      </c>
    </row>
    <row r="336" spans="1:14">
      <c r="A336" t="s">
        <v>212</v>
      </c>
      <c r="B336" t="s">
        <v>382</v>
      </c>
      <c r="C336" t="s">
        <v>384</v>
      </c>
      <c r="D336">
        <v>153200</v>
      </c>
      <c r="E336" t="s">
        <v>396</v>
      </c>
      <c r="F336" t="s">
        <v>409</v>
      </c>
      <c r="I336" t="s">
        <v>417</v>
      </c>
      <c r="K336" t="s">
        <v>1237</v>
      </c>
      <c r="L336" s="8">
        <f>D336*N336</f>
        <v>0</v>
      </c>
      <c r="N336" s="8">
        <f>IF(E336="HUF", 1, IFERROR(VLOOKUP(A336&amp;E336, '91_Data_ExRates'!A:D, 4, FALSE), 1))</f>
        <v>0</v>
      </c>
    </row>
    <row r="337" spans="1:14">
      <c r="A337" t="s">
        <v>213</v>
      </c>
      <c r="B337" t="s">
        <v>381</v>
      </c>
      <c r="C337" t="s">
        <v>384</v>
      </c>
      <c r="D337">
        <v>9400</v>
      </c>
      <c r="E337" t="s">
        <v>396</v>
      </c>
      <c r="F337" t="s">
        <v>404</v>
      </c>
      <c r="I337" t="s">
        <v>417</v>
      </c>
      <c r="J337" t="s">
        <v>484</v>
      </c>
      <c r="K337" t="s">
        <v>1238</v>
      </c>
      <c r="L337" s="8">
        <f>D337*N337</f>
        <v>0</v>
      </c>
      <c r="N337" s="8">
        <f>IF(E337="HUF", 1, IFERROR(VLOOKUP(A337&amp;E337, '91_Data_ExRates'!A:D, 4, FALSE), 1))</f>
        <v>0</v>
      </c>
    </row>
    <row r="338" spans="1:14">
      <c r="A338" t="s">
        <v>214</v>
      </c>
      <c r="B338" t="s">
        <v>381</v>
      </c>
      <c r="C338" t="s">
        <v>384</v>
      </c>
      <c r="D338">
        <v>1890</v>
      </c>
      <c r="E338" t="s">
        <v>396</v>
      </c>
      <c r="F338" t="s">
        <v>402</v>
      </c>
      <c r="I338" t="s">
        <v>417</v>
      </c>
      <c r="J338" t="s">
        <v>604</v>
      </c>
      <c r="K338" t="s">
        <v>1239</v>
      </c>
      <c r="L338" s="8">
        <f>D338*N338</f>
        <v>0</v>
      </c>
      <c r="N338" s="8">
        <f>IF(E338="HUF", 1, IFERROR(VLOOKUP(A338&amp;E338, '91_Data_ExRates'!A:D, 4, FALSE), 1))</f>
        <v>0</v>
      </c>
    </row>
    <row r="339" spans="1:14">
      <c r="A339" t="s">
        <v>215</v>
      </c>
      <c r="B339" t="s">
        <v>381</v>
      </c>
      <c r="C339" t="s">
        <v>384</v>
      </c>
      <c r="D339">
        <v>1185</v>
      </c>
      <c r="E339" t="s">
        <v>396</v>
      </c>
      <c r="F339" t="s">
        <v>403</v>
      </c>
      <c r="I339" t="s">
        <v>417</v>
      </c>
      <c r="J339" t="s">
        <v>710</v>
      </c>
      <c r="K339" t="s">
        <v>1240</v>
      </c>
      <c r="L339" s="8">
        <f>D339*N339</f>
        <v>0</v>
      </c>
      <c r="N339" s="8">
        <f>IF(E339="HUF", 1, IFERROR(VLOOKUP(A339&amp;E339, '91_Data_ExRates'!A:D, 4, FALSE), 1))</f>
        <v>0</v>
      </c>
    </row>
    <row r="340" spans="1:14">
      <c r="A340" t="s">
        <v>216</v>
      </c>
      <c r="B340" t="s">
        <v>382</v>
      </c>
      <c r="C340" t="s">
        <v>385</v>
      </c>
      <c r="D340">
        <v>400000</v>
      </c>
      <c r="E340" t="s">
        <v>396</v>
      </c>
      <c r="F340" t="s">
        <v>401</v>
      </c>
      <c r="I340" t="s">
        <v>417</v>
      </c>
      <c r="J340" t="s">
        <v>711</v>
      </c>
      <c r="K340" t="s">
        <v>1241</v>
      </c>
      <c r="L340" s="8">
        <f>D340*N340</f>
        <v>0</v>
      </c>
      <c r="N340" s="8">
        <f>IF(E340="HUF", 1, IFERROR(VLOOKUP(A340&amp;E340, '91_Data_ExRates'!A:D, 4, FALSE), 1))</f>
        <v>0</v>
      </c>
    </row>
    <row r="341" spans="1:14">
      <c r="A341" t="s">
        <v>217</v>
      </c>
      <c r="B341" t="s">
        <v>383</v>
      </c>
      <c r="C341" t="s">
        <v>384</v>
      </c>
      <c r="D341">
        <v>70000</v>
      </c>
      <c r="E341" t="s">
        <v>396</v>
      </c>
      <c r="I341" t="s">
        <v>417</v>
      </c>
      <c r="K341" t="s">
        <v>1242</v>
      </c>
      <c r="L341" s="8">
        <f>D341*N341</f>
        <v>0</v>
      </c>
      <c r="N341" s="8">
        <f>IF(E341="HUF", 1, IFERROR(VLOOKUP(A341&amp;E341, '91_Data_ExRates'!A:D, 4, FALSE), 1))</f>
        <v>0</v>
      </c>
    </row>
    <row r="342" spans="1:14">
      <c r="A342" t="s">
        <v>218</v>
      </c>
      <c r="B342" t="s">
        <v>381</v>
      </c>
      <c r="C342" t="s">
        <v>384</v>
      </c>
      <c r="D342">
        <v>220</v>
      </c>
      <c r="E342" t="s">
        <v>396</v>
      </c>
      <c r="F342" t="s">
        <v>402</v>
      </c>
      <c r="I342" t="s">
        <v>417</v>
      </c>
      <c r="J342" t="s">
        <v>497</v>
      </c>
      <c r="K342" t="s">
        <v>1243</v>
      </c>
      <c r="L342" s="8">
        <f>D342*N342</f>
        <v>0</v>
      </c>
      <c r="N342" s="8">
        <f>IF(E342="HUF", 1, IFERROR(VLOOKUP(A342&amp;E342, '91_Data_ExRates'!A:D, 4, FALSE), 1))</f>
        <v>0</v>
      </c>
    </row>
    <row r="343" spans="1:14">
      <c r="A343" t="s">
        <v>219</v>
      </c>
      <c r="B343" t="s">
        <v>381</v>
      </c>
      <c r="C343" t="s">
        <v>384</v>
      </c>
      <c r="D343">
        <v>1600</v>
      </c>
      <c r="E343" t="s">
        <v>396</v>
      </c>
      <c r="F343" t="s">
        <v>404</v>
      </c>
      <c r="I343" t="s">
        <v>417</v>
      </c>
      <c r="J343" t="s">
        <v>712</v>
      </c>
      <c r="K343" t="s">
        <v>1244</v>
      </c>
      <c r="L343" s="8">
        <f>D343*N343</f>
        <v>0</v>
      </c>
      <c r="N343" s="8">
        <f>IF(E343="HUF", 1, IFERROR(VLOOKUP(A343&amp;E343, '91_Data_ExRates'!A:D, 4, FALSE), 1))</f>
        <v>0</v>
      </c>
    </row>
    <row r="344" spans="1:14">
      <c r="A344" t="s">
        <v>220</v>
      </c>
      <c r="B344" t="s">
        <v>381</v>
      </c>
      <c r="C344" t="s">
        <v>385</v>
      </c>
      <c r="D344">
        <v>480</v>
      </c>
      <c r="E344" t="s">
        <v>396</v>
      </c>
      <c r="F344" t="s">
        <v>403</v>
      </c>
      <c r="I344" t="s">
        <v>417</v>
      </c>
      <c r="J344" t="s">
        <v>594</v>
      </c>
      <c r="K344" t="s">
        <v>1245</v>
      </c>
      <c r="L344" s="8">
        <f>D344*N344</f>
        <v>0</v>
      </c>
      <c r="N344" s="8">
        <f>IF(E344="HUF", 1, IFERROR(VLOOKUP(A344&amp;E344, '91_Data_ExRates'!A:D, 4, FALSE), 1))</f>
        <v>0</v>
      </c>
    </row>
    <row r="345" spans="1:14">
      <c r="A345" t="s">
        <v>221</v>
      </c>
      <c r="B345" t="s">
        <v>381</v>
      </c>
      <c r="C345" t="s">
        <v>385</v>
      </c>
      <c r="D345">
        <v>1440</v>
      </c>
      <c r="E345" t="s">
        <v>396</v>
      </c>
      <c r="F345" t="s">
        <v>403</v>
      </c>
      <c r="I345" t="s">
        <v>417</v>
      </c>
      <c r="J345" t="s">
        <v>713</v>
      </c>
      <c r="K345" t="s">
        <v>1246</v>
      </c>
      <c r="L345" s="8">
        <f>D345*N345</f>
        <v>0</v>
      </c>
      <c r="N345" s="8">
        <f>IF(E345="HUF", 1, IFERROR(VLOOKUP(A345&amp;E345, '91_Data_ExRates'!A:D, 4, FALSE), 1))</f>
        <v>0</v>
      </c>
    </row>
    <row r="346" spans="1:14">
      <c r="A346" t="s">
        <v>222</v>
      </c>
      <c r="B346" t="s">
        <v>382</v>
      </c>
      <c r="C346" t="s">
        <v>384</v>
      </c>
      <c r="D346">
        <v>76600</v>
      </c>
      <c r="E346" t="s">
        <v>396</v>
      </c>
      <c r="F346" t="s">
        <v>409</v>
      </c>
      <c r="I346" t="s">
        <v>417</v>
      </c>
      <c r="K346" t="s">
        <v>1247</v>
      </c>
      <c r="L346" s="8">
        <f>D346*N346</f>
        <v>0</v>
      </c>
      <c r="N346" s="8">
        <f>IF(E346="HUF", 1, IFERROR(VLOOKUP(A346&amp;E346, '91_Data_ExRates'!A:D, 4, FALSE), 1))</f>
        <v>0</v>
      </c>
    </row>
    <row r="347" spans="1:14">
      <c r="A347" t="s">
        <v>223</v>
      </c>
      <c r="B347" t="s">
        <v>381</v>
      </c>
      <c r="C347" t="s">
        <v>385</v>
      </c>
      <c r="D347">
        <v>2200</v>
      </c>
      <c r="E347" t="s">
        <v>396</v>
      </c>
      <c r="F347" t="s">
        <v>404</v>
      </c>
      <c r="I347" t="s">
        <v>417</v>
      </c>
      <c r="J347" t="s">
        <v>714</v>
      </c>
      <c r="K347" t="s">
        <v>1248</v>
      </c>
      <c r="L347" s="8">
        <f>D347*N347</f>
        <v>0</v>
      </c>
      <c r="N347" s="8">
        <f>IF(E347="HUF", 1, IFERROR(VLOOKUP(A347&amp;E347, '91_Data_ExRates'!A:D, 4, FALSE), 1))</f>
        <v>0</v>
      </c>
    </row>
    <row r="348" spans="1:14">
      <c r="A348" t="s">
        <v>223</v>
      </c>
      <c r="B348" t="s">
        <v>381</v>
      </c>
      <c r="C348" t="s">
        <v>384</v>
      </c>
      <c r="D348">
        <v>2300</v>
      </c>
      <c r="E348" t="s">
        <v>396</v>
      </c>
      <c r="F348" t="s">
        <v>401</v>
      </c>
      <c r="I348" t="s">
        <v>417</v>
      </c>
      <c r="J348" t="s">
        <v>715</v>
      </c>
      <c r="K348" t="s">
        <v>1249</v>
      </c>
      <c r="L348" s="8">
        <f>D348*N348</f>
        <v>0</v>
      </c>
      <c r="N348" s="8">
        <f>IF(E348="HUF", 1, IFERROR(VLOOKUP(A348&amp;E348, '91_Data_ExRates'!A:D, 4, FALSE), 1))</f>
        <v>0</v>
      </c>
    </row>
    <row r="349" spans="1:14">
      <c r="A349" t="s">
        <v>223</v>
      </c>
      <c r="B349" t="s">
        <v>381</v>
      </c>
      <c r="C349" t="s">
        <v>384</v>
      </c>
      <c r="D349">
        <v>2300</v>
      </c>
      <c r="E349" t="s">
        <v>396</v>
      </c>
      <c r="F349" t="s">
        <v>403</v>
      </c>
      <c r="I349" t="s">
        <v>417</v>
      </c>
      <c r="J349" t="s">
        <v>715</v>
      </c>
      <c r="K349" t="s">
        <v>1250</v>
      </c>
      <c r="L349" s="8">
        <f>D349*N349</f>
        <v>0</v>
      </c>
      <c r="N349" s="8">
        <f>IF(E349="HUF", 1, IFERROR(VLOOKUP(A349&amp;E349, '91_Data_ExRates'!A:D, 4, FALSE), 1))</f>
        <v>0</v>
      </c>
    </row>
    <row r="350" spans="1:14">
      <c r="A350" t="s">
        <v>224</v>
      </c>
      <c r="B350" t="s">
        <v>381</v>
      </c>
      <c r="C350" t="s">
        <v>384</v>
      </c>
      <c r="D350">
        <v>2400</v>
      </c>
      <c r="E350" t="s">
        <v>396</v>
      </c>
      <c r="F350" t="s">
        <v>404</v>
      </c>
      <c r="I350" t="s">
        <v>417</v>
      </c>
      <c r="J350" t="s">
        <v>716</v>
      </c>
      <c r="K350" t="s">
        <v>1251</v>
      </c>
      <c r="L350" s="8">
        <f>D350*N350</f>
        <v>0</v>
      </c>
      <c r="N350" s="8">
        <f>IF(E350="HUF", 1, IFERROR(VLOOKUP(A350&amp;E350, '91_Data_ExRates'!A:D, 4, FALSE), 1))</f>
        <v>0</v>
      </c>
    </row>
    <row r="351" spans="1:14">
      <c r="A351" t="s">
        <v>224</v>
      </c>
      <c r="B351" t="s">
        <v>381</v>
      </c>
      <c r="C351" t="s">
        <v>384</v>
      </c>
      <c r="D351">
        <v>500</v>
      </c>
      <c r="E351" t="s">
        <v>396</v>
      </c>
      <c r="F351" t="s">
        <v>404</v>
      </c>
      <c r="I351" t="s">
        <v>417</v>
      </c>
      <c r="J351" t="s">
        <v>717</v>
      </c>
      <c r="K351" t="s">
        <v>1252</v>
      </c>
      <c r="L351" s="8">
        <f>D351*N351</f>
        <v>0</v>
      </c>
      <c r="N351" s="8">
        <f>IF(E351="HUF", 1, IFERROR(VLOOKUP(A351&amp;E351, '91_Data_ExRates'!A:D, 4, FALSE), 1))</f>
        <v>0</v>
      </c>
    </row>
    <row r="352" spans="1:14">
      <c r="A352" t="s">
        <v>225</v>
      </c>
      <c r="B352" t="s">
        <v>381</v>
      </c>
      <c r="C352" t="s">
        <v>384</v>
      </c>
      <c r="D352">
        <v>1485</v>
      </c>
      <c r="E352" t="s">
        <v>396</v>
      </c>
      <c r="F352" t="s">
        <v>403</v>
      </c>
      <c r="I352" t="s">
        <v>417</v>
      </c>
      <c r="J352" t="s">
        <v>718</v>
      </c>
      <c r="K352" t="s">
        <v>1253</v>
      </c>
      <c r="L352" s="8">
        <f>D352*N352</f>
        <v>0</v>
      </c>
      <c r="N352" s="8">
        <f>IF(E352="HUF", 1, IFERROR(VLOOKUP(A352&amp;E352, '91_Data_ExRates'!A:D, 4, FALSE), 1))</f>
        <v>0</v>
      </c>
    </row>
    <row r="353" spans="1:14">
      <c r="A353" t="s">
        <v>226</v>
      </c>
      <c r="B353" t="s">
        <v>381</v>
      </c>
      <c r="C353" t="s">
        <v>385</v>
      </c>
      <c r="D353">
        <v>2000</v>
      </c>
      <c r="E353" t="s">
        <v>396</v>
      </c>
      <c r="F353" t="s">
        <v>403</v>
      </c>
      <c r="I353" t="s">
        <v>417</v>
      </c>
      <c r="J353" t="s">
        <v>719</v>
      </c>
      <c r="K353" t="s">
        <v>1254</v>
      </c>
      <c r="L353" s="8">
        <f>D353*N353</f>
        <v>0</v>
      </c>
      <c r="N353" s="8">
        <f>IF(E353="HUF", 1, IFERROR(VLOOKUP(A353&amp;E353, '91_Data_ExRates'!A:D, 4, FALSE), 1))</f>
        <v>0</v>
      </c>
    </row>
    <row r="354" spans="1:14">
      <c r="A354" t="s">
        <v>226</v>
      </c>
      <c r="B354" t="s">
        <v>381</v>
      </c>
      <c r="C354" t="s">
        <v>385</v>
      </c>
      <c r="D354">
        <v>2600</v>
      </c>
      <c r="E354" t="s">
        <v>396</v>
      </c>
      <c r="F354" t="s">
        <v>404</v>
      </c>
      <c r="I354" t="s">
        <v>417</v>
      </c>
      <c r="J354" t="s">
        <v>720</v>
      </c>
      <c r="K354" t="s">
        <v>1255</v>
      </c>
      <c r="L354" s="8">
        <f>D354*N354</f>
        <v>0</v>
      </c>
      <c r="N354" s="8">
        <f>IF(E354="HUF", 1, IFERROR(VLOOKUP(A354&amp;E354, '91_Data_ExRates'!A:D, 4, FALSE), 1))</f>
        <v>0</v>
      </c>
    </row>
    <row r="355" spans="1:14">
      <c r="A355" t="s">
        <v>226</v>
      </c>
      <c r="B355" t="s">
        <v>381</v>
      </c>
      <c r="C355" t="s">
        <v>385</v>
      </c>
      <c r="D355">
        <v>1000</v>
      </c>
      <c r="E355" t="s">
        <v>396</v>
      </c>
      <c r="F355" t="s">
        <v>404</v>
      </c>
      <c r="I355" t="s">
        <v>417</v>
      </c>
      <c r="J355" t="s">
        <v>721</v>
      </c>
      <c r="K355" t="s">
        <v>1256</v>
      </c>
      <c r="L355" s="8">
        <f>D355*N355</f>
        <v>0</v>
      </c>
      <c r="N355" s="8">
        <f>IF(E355="HUF", 1, IFERROR(VLOOKUP(A355&amp;E355, '91_Data_ExRates'!A:D, 4, FALSE), 1))</f>
        <v>0</v>
      </c>
    </row>
    <row r="356" spans="1:14">
      <c r="A356" t="s">
        <v>227</v>
      </c>
      <c r="B356" t="s">
        <v>381</v>
      </c>
      <c r="C356" t="s">
        <v>384</v>
      </c>
      <c r="D356">
        <v>1890</v>
      </c>
      <c r="E356" t="s">
        <v>396</v>
      </c>
      <c r="F356" t="s">
        <v>402</v>
      </c>
      <c r="I356" t="s">
        <v>417</v>
      </c>
      <c r="J356" t="s">
        <v>604</v>
      </c>
      <c r="K356" t="s">
        <v>1257</v>
      </c>
      <c r="L356" s="8">
        <f>D356*N356</f>
        <v>0</v>
      </c>
      <c r="N356" s="8">
        <f>IF(E356="HUF", 1, IFERROR(VLOOKUP(A356&amp;E356, '91_Data_ExRates'!A:D, 4, FALSE), 1))</f>
        <v>0</v>
      </c>
    </row>
    <row r="357" spans="1:14">
      <c r="A357" t="s">
        <v>228</v>
      </c>
      <c r="B357" t="s">
        <v>381</v>
      </c>
      <c r="C357" t="s">
        <v>384</v>
      </c>
      <c r="D357">
        <v>220</v>
      </c>
      <c r="E357" t="s">
        <v>396</v>
      </c>
      <c r="F357" t="s">
        <v>402</v>
      </c>
      <c r="I357" t="s">
        <v>417</v>
      </c>
      <c r="J357" t="s">
        <v>497</v>
      </c>
      <c r="K357" t="s">
        <v>1258</v>
      </c>
      <c r="L357" s="8">
        <f>D357*N357</f>
        <v>0</v>
      </c>
      <c r="N357" s="8">
        <f>IF(E357="HUF", 1, IFERROR(VLOOKUP(A357&amp;E357, '91_Data_ExRates'!A:D, 4, FALSE), 1))</f>
        <v>0</v>
      </c>
    </row>
    <row r="358" spans="1:14">
      <c r="A358" t="s">
        <v>229</v>
      </c>
      <c r="B358" t="s">
        <v>382</v>
      </c>
      <c r="C358" t="s">
        <v>385</v>
      </c>
      <c r="D358">
        <v>20000</v>
      </c>
      <c r="E358" t="s">
        <v>396</v>
      </c>
      <c r="F358" t="s">
        <v>401</v>
      </c>
      <c r="I358" t="s">
        <v>417</v>
      </c>
      <c r="J358" t="s">
        <v>461</v>
      </c>
      <c r="K358" t="s">
        <v>1259</v>
      </c>
      <c r="L358" s="8">
        <f>D358*N358</f>
        <v>0</v>
      </c>
      <c r="N358" s="8">
        <f>IF(E358="HUF", 1, IFERROR(VLOOKUP(A358&amp;E358, '91_Data_ExRates'!A:D, 4, FALSE), 1))</f>
        <v>0</v>
      </c>
    </row>
    <row r="359" spans="1:14">
      <c r="A359" t="s">
        <v>229</v>
      </c>
      <c r="B359" t="s">
        <v>382</v>
      </c>
      <c r="C359" t="s">
        <v>385</v>
      </c>
      <c r="D359">
        <v>50000</v>
      </c>
      <c r="E359" t="s">
        <v>396</v>
      </c>
      <c r="F359" t="s">
        <v>401</v>
      </c>
      <c r="I359" t="s">
        <v>417</v>
      </c>
      <c r="J359" t="s">
        <v>722</v>
      </c>
      <c r="K359" t="s">
        <v>1260</v>
      </c>
      <c r="L359" s="8">
        <f>D359*N359</f>
        <v>0</v>
      </c>
      <c r="N359" s="8">
        <f>IF(E359="HUF", 1, IFERROR(VLOOKUP(A359&amp;E359, '91_Data_ExRates'!A:D, 4, FALSE), 1))</f>
        <v>0</v>
      </c>
    </row>
    <row r="360" spans="1:14">
      <c r="A360" t="s">
        <v>229</v>
      </c>
      <c r="B360" t="s">
        <v>382</v>
      </c>
      <c r="C360" t="s">
        <v>385</v>
      </c>
      <c r="D360">
        <v>10000</v>
      </c>
      <c r="E360" t="s">
        <v>396</v>
      </c>
      <c r="F360" t="s">
        <v>401</v>
      </c>
      <c r="I360" t="s">
        <v>417</v>
      </c>
      <c r="J360" t="s">
        <v>723</v>
      </c>
      <c r="K360" t="s">
        <v>1261</v>
      </c>
      <c r="L360" s="8">
        <f>D360*N360</f>
        <v>0</v>
      </c>
      <c r="N360" s="8">
        <f>IF(E360="HUF", 1, IFERROR(VLOOKUP(A360&amp;E360, '91_Data_ExRates'!A:D, 4, FALSE), 1))</f>
        <v>0</v>
      </c>
    </row>
    <row r="361" spans="1:14">
      <c r="A361" t="s">
        <v>230</v>
      </c>
      <c r="B361" t="s">
        <v>381</v>
      </c>
      <c r="C361" t="s">
        <v>384</v>
      </c>
      <c r="D361">
        <v>2500</v>
      </c>
      <c r="E361" t="s">
        <v>396</v>
      </c>
      <c r="F361" t="s">
        <v>401</v>
      </c>
      <c r="I361" t="s">
        <v>417</v>
      </c>
      <c r="J361" t="s">
        <v>724</v>
      </c>
      <c r="K361" t="s">
        <v>1262</v>
      </c>
      <c r="L361" s="8">
        <f>D361*N361</f>
        <v>0</v>
      </c>
      <c r="N361" s="8">
        <f>IF(E361="HUF", 1, IFERROR(VLOOKUP(A361&amp;E361, '91_Data_ExRates'!A:D, 4, FALSE), 1))</f>
        <v>0</v>
      </c>
    </row>
    <row r="362" spans="1:14">
      <c r="A362" t="s">
        <v>230</v>
      </c>
      <c r="B362" t="s">
        <v>381</v>
      </c>
      <c r="C362" t="s">
        <v>384</v>
      </c>
      <c r="D362">
        <v>2400</v>
      </c>
      <c r="E362" t="s">
        <v>396</v>
      </c>
      <c r="F362" t="s">
        <v>403</v>
      </c>
      <c r="I362" t="s">
        <v>417</v>
      </c>
      <c r="J362" t="s">
        <v>725</v>
      </c>
      <c r="K362" t="s">
        <v>1263</v>
      </c>
      <c r="L362" s="8">
        <f>D362*N362</f>
        <v>0</v>
      </c>
      <c r="N362" s="8">
        <f>IF(E362="HUF", 1, IFERROR(VLOOKUP(A362&amp;E362, '91_Data_ExRates'!A:D, 4, FALSE), 1))</f>
        <v>0</v>
      </c>
    </row>
    <row r="363" spans="1:14">
      <c r="A363" t="s">
        <v>231</v>
      </c>
      <c r="B363" t="s">
        <v>381</v>
      </c>
      <c r="C363" t="s">
        <v>384</v>
      </c>
      <c r="D363">
        <v>500</v>
      </c>
      <c r="E363" t="s">
        <v>396</v>
      </c>
      <c r="F363" t="s">
        <v>402</v>
      </c>
      <c r="I363" t="s">
        <v>417</v>
      </c>
      <c r="J363" t="s">
        <v>592</v>
      </c>
      <c r="K363" t="s">
        <v>1264</v>
      </c>
      <c r="L363" s="8">
        <f>D363*N363</f>
        <v>0</v>
      </c>
      <c r="N363" s="8">
        <f>IF(E363="HUF", 1, IFERROR(VLOOKUP(A363&amp;E363, '91_Data_ExRates'!A:D, 4, FALSE), 1))</f>
        <v>0</v>
      </c>
    </row>
    <row r="364" spans="1:14">
      <c r="A364" t="s">
        <v>231</v>
      </c>
      <c r="B364" t="s">
        <v>381</v>
      </c>
      <c r="C364" t="s">
        <v>384</v>
      </c>
      <c r="D364">
        <v>500</v>
      </c>
      <c r="E364" t="s">
        <v>396</v>
      </c>
      <c r="F364" t="s">
        <v>402</v>
      </c>
      <c r="I364" t="s">
        <v>417</v>
      </c>
      <c r="J364" t="s">
        <v>592</v>
      </c>
      <c r="K364" t="s">
        <v>1265</v>
      </c>
      <c r="L364" s="8">
        <f>D364*N364</f>
        <v>0</v>
      </c>
      <c r="N364" s="8">
        <f>IF(E364="HUF", 1, IFERROR(VLOOKUP(A364&amp;E364, '91_Data_ExRates'!A:D, 4, FALSE), 1))</f>
        <v>0</v>
      </c>
    </row>
    <row r="365" spans="1:14">
      <c r="A365" t="s">
        <v>231</v>
      </c>
      <c r="B365" t="s">
        <v>381</v>
      </c>
      <c r="C365" t="s">
        <v>385</v>
      </c>
      <c r="D365">
        <v>3000</v>
      </c>
      <c r="E365" t="s">
        <v>396</v>
      </c>
      <c r="F365" t="s">
        <v>406</v>
      </c>
      <c r="I365" t="s">
        <v>417</v>
      </c>
      <c r="J365" t="s">
        <v>726</v>
      </c>
      <c r="K365" t="s">
        <v>1266</v>
      </c>
      <c r="L365" s="8">
        <f>D365*N365</f>
        <v>0</v>
      </c>
      <c r="N365" s="8">
        <f>IF(E365="HUF", 1, IFERROR(VLOOKUP(A365&amp;E365, '91_Data_ExRates'!A:D, 4, FALSE), 1))</f>
        <v>0</v>
      </c>
    </row>
    <row r="366" spans="1:14">
      <c r="A366" t="s">
        <v>232</v>
      </c>
      <c r="B366" t="s">
        <v>383</v>
      </c>
      <c r="C366" t="s">
        <v>384</v>
      </c>
      <c r="D366">
        <v>70000</v>
      </c>
      <c r="E366" t="s">
        <v>396</v>
      </c>
      <c r="I366" t="s">
        <v>417</v>
      </c>
      <c r="K366" t="s">
        <v>1267</v>
      </c>
      <c r="L366" s="8">
        <f>D366*N366</f>
        <v>0</v>
      </c>
      <c r="N366" s="8">
        <f>IF(E366="HUF", 1, IFERROR(VLOOKUP(A366&amp;E366, '91_Data_ExRates'!A:D, 4, FALSE), 1))</f>
        <v>0</v>
      </c>
    </row>
    <row r="367" spans="1:14">
      <c r="A367" t="s">
        <v>233</v>
      </c>
      <c r="B367" t="s">
        <v>381</v>
      </c>
      <c r="C367" t="s">
        <v>384</v>
      </c>
      <c r="D367">
        <v>3687</v>
      </c>
      <c r="E367" t="s">
        <v>396</v>
      </c>
      <c r="F367" t="s">
        <v>406</v>
      </c>
      <c r="I367" t="s">
        <v>417</v>
      </c>
      <c r="J367" t="s">
        <v>727</v>
      </c>
      <c r="K367" t="s">
        <v>1268</v>
      </c>
      <c r="L367" s="8">
        <f>D367*N367</f>
        <v>0</v>
      </c>
      <c r="N367" s="8">
        <f>IF(E367="HUF", 1, IFERROR(VLOOKUP(A367&amp;E367, '91_Data_ExRates'!A:D, 4, FALSE), 1))</f>
        <v>0</v>
      </c>
    </row>
    <row r="368" spans="1:14">
      <c r="A368" t="s">
        <v>234</v>
      </c>
      <c r="B368" t="s">
        <v>381</v>
      </c>
      <c r="C368" t="s">
        <v>385</v>
      </c>
      <c r="D368">
        <v>2450</v>
      </c>
      <c r="E368" t="s">
        <v>396</v>
      </c>
      <c r="F368" t="s">
        <v>401</v>
      </c>
      <c r="I368" t="s">
        <v>417</v>
      </c>
      <c r="J368" t="s">
        <v>728</v>
      </c>
      <c r="K368" t="s">
        <v>1269</v>
      </c>
      <c r="L368" s="8">
        <f>D368*N368</f>
        <v>0</v>
      </c>
      <c r="N368" s="8">
        <f>IF(E368="HUF", 1, IFERROR(VLOOKUP(A368&amp;E368, '91_Data_ExRates'!A:D, 4, FALSE), 1))</f>
        <v>0</v>
      </c>
    </row>
    <row r="369" spans="1:14">
      <c r="A369" t="s">
        <v>235</v>
      </c>
      <c r="B369" t="s">
        <v>382</v>
      </c>
      <c r="C369" t="s">
        <v>384</v>
      </c>
      <c r="D369">
        <v>76600</v>
      </c>
      <c r="E369" t="s">
        <v>396</v>
      </c>
      <c r="F369" t="s">
        <v>409</v>
      </c>
      <c r="I369" t="s">
        <v>417</v>
      </c>
      <c r="K369" t="s">
        <v>1270</v>
      </c>
      <c r="L369" s="8">
        <f>D369*N369</f>
        <v>0</v>
      </c>
      <c r="N369" s="8">
        <f>IF(E369="HUF", 1, IFERROR(VLOOKUP(A369&amp;E369, '91_Data_ExRates'!A:D, 4, FALSE), 1))</f>
        <v>0</v>
      </c>
    </row>
    <row r="370" spans="1:14">
      <c r="A370" t="s">
        <v>236</v>
      </c>
      <c r="B370" t="s">
        <v>381</v>
      </c>
      <c r="C370" t="s">
        <v>385</v>
      </c>
      <c r="D370">
        <v>2000</v>
      </c>
      <c r="E370" t="s">
        <v>396</v>
      </c>
      <c r="F370" t="s">
        <v>406</v>
      </c>
      <c r="I370" t="s">
        <v>417</v>
      </c>
      <c r="J370" t="s">
        <v>729</v>
      </c>
      <c r="K370" t="s">
        <v>1271</v>
      </c>
      <c r="L370" s="8">
        <f>D370*N370</f>
        <v>0</v>
      </c>
      <c r="N370" s="8">
        <f>IF(E370="HUF", 1, IFERROR(VLOOKUP(A370&amp;E370, '91_Data_ExRates'!A:D, 4, FALSE), 1))</f>
        <v>0</v>
      </c>
    </row>
    <row r="371" spans="1:14">
      <c r="A371" t="s">
        <v>236</v>
      </c>
      <c r="B371" t="s">
        <v>381</v>
      </c>
      <c r="C371" t="s">
        <v>384</v>
      </c>
      <c r="D371">
        <v>1590</v>
      </c>
      <c r="E371" t="s">
        <v>396</v>
      </c>
      <c r="F371" t="s">
        <v>403</v>
      </c>
      <c r="I371" t="s">
        <v>417</v>
      </c>
      <c r="J371" t="s">
        <v>730</v>
      </c>
      <c r="K371" t="s">
        <v>1272</v>
      </c>
      <c r="L371" s="8">
        <f>D371*N371</f>
        <v>0</v>
      </c>
      <c r="N371" s="8">
        <f>IF(E371="HUF", 1, IFERROR(VLOOKUP(A371&amp;E371, '91_Data_ExRates'!A:D, 4, FALSE), 1))</f>
        <v>0</v>
      </c>
    </row>
    <row r="372" spans="1:14">
      <c r="A372" t="s">
        <v>237</v>
      </c>
      <c r="B372" t="s">
        <v>381</v>
      </c>
      <c r="C372" t="s">
        <v>385</v>
      </c>
      <c r="D372">
        <v>1800</v>
      </c>
      <c r="E372" t="s">
        <v>396</v>
      </c>
      <c r="F372" t="s">
        <v>401</v>
      </c>
      <c r="I372" t="s">
        <v>417</v>
      </c>
      <c r="J372" t="s">
        <v>731</v>
      </c>
      <c r="K372" t="s">
        <v>1273</v>
      </c>
      <c r="L372" s="8">
        <f>D372*N372</f>
        <v>0</v>
      </c>
      <c r="N372" s="8">
        <f>IF(E372="HUF", 1, IFERROR(VLOOKUP(A372&amp;E372, '91_Data_ExRates'!A:D, 4, FALSE), 1))</f>
        <v>0</v>
      </c>
    </row>
    <row r="373" spans="1:14">
      <c r="A373" t="s">
        <v>237</v>
      </c>
      <c r="B373" t="s">
        <v>381</v>
      </c>
      <c r="C373" t="s">
        <v>385</v>
      </c>
      <c r="D373">
        <v>3600</v>
      </c>
      <c r="E373" t="s">
        <v>396</v>
      </c>
      <c r="F373" t="s">
        <v>403</v>
      </c>
      <c r="I373" t="s">
        <v>417</v>
      </c>
      <c r="J373" t="s">
        <v>732</v>
      </c>
      <c r="K373" t="s">
        <v>1274</v>
      </c>
      <c r="L373" s="8">
        <f>D373*N373</f>
        <v>0</v>
      </c>
      <c r="N373" s="8">
        <f>IF(E373="HUF", 1, IFERROR(VLOOKUP(A373&amp;E373, '91_Data_ExRates'!A:D, 4, FALSE), 1))</f>
        <v>0</v>
      </c>
    </row>
    <row r="374" spans="1:14">
      <c r="A374" t="s">
        <v>238</v>
      </c>
      <c r="B374" t="s">
        <v>381</v>
      </c>
      <c r="C374" t="s">
        <v>385</v>
      </c>
      <c r="D374">
        <v>1750</v>
      </c>
      <c r="E374" t="s">
        <v>396</v>
      </c>
      <c r="F374" t="s">
        <v>404</v>
      </c>
      <c r="I374" t="s">
        <v>417</v>
      </c>
      <c r="J374" t="s">
        <v>733</v>
      </c>
      <c r="K374" t="s">
        <v>1275</v>
      </c>
      <c r="L374" s="8">
        <f>D374*N374</f>
        <v>0</v>
      </c>
      <c r="N374" s="8">
        <f>IF(E374="HUF", 1, IFERROR(VLOOKUP(A374&amp;E374, '91_Data_ExRates'!A:D, 4, FALSE), 1))</f>
        <v>0</v>
      </c>
    </row>
    <row r="375" spans="1:14">
      <c r="A375" t="s">
        <v>238</v>
      </c>
      <c r="B375" t="s">
        <v>381</v>
      </c>
      <c r="C375" t="s">
        <v>385</v>
      </c>
      <c r="D375">
        <v>1200</v>
      </c>
      <c r="E375" t="s">
        <v>396</v>
      </c>
      <c r="F375" t="s">
        <v>404</v>
      </c>
      <c r="I375" t="s">
        <v>417</v>
      </c>
      <c r="J375" t="s">
        <v>734</v>
      </c>
      <c r="K375" t="s">
        <v>1276</v>
      </c>
      <c r="L375" s="8">
        <f>D375*N375</f>
        <v>0</v>
      </c>
      <c r="N375" s="8">
        <f>IF(E375="HUF", 1, IFERROR(VLOOKUP(A375&amp;E375, '91_Data_ExRates'!A:D, 4, FALSE), 1))</f>
        <v>0</v>
      </c>
    </row>
    <row r="376" spans="1:14">
      <c r="A376" t="s">
        <v>238</v>
      </c>
      <c r="B376" t="s">
        <v>381</v>
      </c>
      <c r="C376" t="s">
        <v>384</v>
      </c>
      <c r="D376">
        <v>1520</v>
      </c>
      <c r="E376" t="s">
        <v>396</v>
      </c>
      <c r="F376" t="s">
        <v>404</v>
      </c>
      <c r="I376" t="s">
        <v>417</v>
      </c>
      <c r="J376" t="s">
        <v>735</v>
      </c>
      <c r="K376" t="s">
        <v>1277</v>
      </c>
      <c r="L376" s="8">
        <f>D376*N376</f>
        <v>0</v>
      </c>
      <c r="N376" s="8">
        <f>IF(E376="HUF", 1, IFERROR(VLOOKUP(A376&amp;E376, '91_Data_ExRates'!A:D, 4, FALSE), 1))</f>
        <v>0</v>
      </c>
    </row>
    <row r="377" spans="1:14">
      <c r="A377" t="s">
        <v>239</v>
      </c>
      <c r="B377" t="s">
        <v>381</v>
      </c>
      <c r="C377" t="s">
        <v>384</v>
      </c>
      <c r="D377">
        <v>1890</v>
      </c>
      <c r="E377" t="s">
        <v>396</v>
      </c>
      <c r="F377" t="s">
        <v>402</v>
      </c>
      <c r="I377" t="s">
        <v>417</v>
      </c>
      <c r="J377" t="s">
        <v>604</v>
      </c>
      <c r="K377" t="s">
        <v>1278</v>
      </c>
      <c r="L377" s="8">
        <f>D377*N377</f>
        <v>0</v>
      </c>
      <c r="N377" s="8">
        <f>IF(E377="HUF", 1, IFERROR(VLOOKUP(A377&amp;E377, '91_Data_ExRates'!A:D, 4, FALSE), 1))</f>
        <v>0</v>
      </c>
    </row>
    <row r="378" spans="1:14">
      <c r="A378" t="s">
        <v>240</v>
      </c>
      <c r="B378" t="s">
        <v>381</v>
      </c>
      <c r="C378" t="s">
        <v>384</v>
      </c>
      <c r="D378">
        <v>350</v>
      </c>
      <c r="E378" t="s">
        <v>396</v>
      </c>
      <c r="F378" t="s">
        <v>407</v>
      </c>
      <c r="I378" t="s">
        <v>417</v>
      </c>
      <c r="J378" t="s">
        <v>659</v>
      </c>
      <c r="K378" t="s">
        <v>1279</v>
      </c>
      <c r="L378" s="8">
        <f>D378*N378</f>
        <v>0</v>
      </c>
      <c r="N378" s="8">
        <f>IF(E378="HUF", 1, IFERROR(VLOOKUP(A378&amp;E378, '91_Data_ExRates'!A:D, 4, FALSE), 1))</f>
        <v>0</v>
      </c>
    </row>
    <row r="379" spans="1:14">
      <c r="A379" t="s">
        <v>240</v>
      </c>
      <c r="B379" t="s">
        <v>383</v>
      </c>
      <c r="C379" t="s">
        <v>384</v>
      </c>
      <c r="D379">
        <v>70000</v>
      </c>
      <c r="E379" t="s">
        <v>396</v>
      </c>
      <c r="I379" t="s">
        <v>417</v>
      </c>
      <c r="K379" t="s">
        <v>1280</v>
      </c>
      <c r="L379" s="8">
        <f>D379*N379</f>
        <v>0</v>
      </c>
      <c r="N379" s="8">
        <f>IF(E379="HUF", 1, IFERROR(VLOOKUP(A379&amp;E379, '91_Data_ExRates'!A:D, 4, FALSE), 1))</f>
        <v>0</v>
      </c>
    </row>
    <row r="380" spans="1:14">
      <c r="A380" t="s">
        <v>241</v>
      </c>
      <c r="B380" t="s">
        <v>382</v>
      </c>
      <c r="C380" t="s">
        <v>384</v>
      </c>
      <c r="D380">
        <v>76600</v>
      </c>
      <c r="E380" t="s">
        <v>396</v>
      </c>
      <c r="F380" t="s">
        <v>409</v>
      </c>
      <c r="I380" t="s">
        <v>417</v>
      </c>
      <c r="K380" t="s">
        <v>1281</v>
      </c>
      <c r="L380" s="8">
        <f>D380*N380</f>
        <v>0</v>
      </c>
      <c r="N380" s="8">
        <f>IF(E380="HUF", 1, IFERROR(VLOOKUP(A380&amp;E380, '91_Data_ExRates'!A:D, 4, FALSE), 1))</f>
        <v>0</v>
      </c>
    </row>
    <row r="381" spans="1:14">
      <c r="A381" t="s">
        <v>242</v>
      </c>
      <c r="B381" t="s">
        <v>381</v>
      </c>
      <c r="C381" t="s">
        <v>385</v>
      </c>
      <c r="D381">
        <v>2500</v>
      </c>
      <c r="E381" t="s">
        <v>396</v>
      </c>
      <c r="F381" t="s">
        <v>406</v>
      </c>
      <c r="I381" t="s">
        <v>417</v>
      </c>
      <c r="J381" t="s">
        <v>736</v>
      </c>
      <c r="K381" t="s">
        <v>1282</v>
      </c>
      <c r="L381" s="8">
        <f>D381*N381</f>
        <v>0</v>
      </c>
      <c r="N381" s="8">
        <f>IF(E381="HUF", 1, IFERROR(VLOOKUP(A381&amp;E381, '91_Data_ExRates'!A:D, 4, FALSE), 1))</f>
        <v>0</v>
      </c>
    </row>
    <row r="382" spans="1:14">
      <c r="A382" t="s">
        <v>243</v>
      </c>
      <c r="B382" t="s">
        <v>381</v>
      </c>
      <c r="C382" t="s">
        <v>384</v>
      </c>
      <c r="D382">
        <v>4100</v>
      </c>
      <c r="E382" t="s">
        <v>396</v>
      </c>
      <c r="F382" t="s">
        <v>401</v>
      </c>
      <c r="I382" t="s">
        <v>417</v>
      </c>
      <c r="J382" t="s">
        <v>737</v>
      </c>
      <c r="K382" t="s">
        <v>1283</v>
      </c>
      <c r="L382" s="8">
        <f>D382*N382</f>
        <v>0</v>
      </c>
      <c r="N382" s="8">
        <f>IF(E382="HUF", 1, IFERROR(VLOOKUP(A382&amp;E382, '91_Data_ExRates'!A:D, 4, FALSE), 1))</f>
        <v>0</v>
      </c>
    </row>
    <row r="383" spans="1:14">
      <c r="A383" t="s">
        <v>243</v>
      </c>
      <c r="B383" t="s">
        <v>381</v>
      </c>
      <c r="C383" t="s">
        <v>384</v>
      </c>
      <c r="D383">
        <v>4725</v>
      </c>
      <c r="E383" t="s">
        <v>396</v>
      </c>
      <c r="F383" t="s">
        <v>401</v>
      </c>
      <c r="I383" t="s">
        <v>417</v>
      </c>
      <c r="J383" t="s">
        <v>738</v>
      </c>
      <c r="K383" t="s">
        <v>1284</v>
      </c>
      <c r="L383" s="8">
        <f>D383*N383</f>
        <v>0</v>
      </c>
      <c r="N383" s="8">
        <f>IF(E383="HUF", 1, IFERROR(VLOOKUP(A383&amp;E383, '91_Data_ExRates'!A:D, 4, FALSE), 1))</f>
        <v>0</v>
      </c>
    </row>
    <row r="384" spans="1:14">
      <c r="A384" t="s">
        <v>243</v>
      </c>
      <c r="B384" t="s">
        <v>381</v>
      </c>
      <c r="C384" t="s">
        <v>384</v>
      </c>
      <c r="D384">
        <v>4725</v>
      </c>
      <c r="E384" t="s">
        <v>396</v>
      </c>
      <c r="F384" t="s">
        <v>404</v>
      </c>
      <c r="I384" t="s">
        <v>417</v>
      </c>
      <c r="J384" t="s">
        <v>513</v>
      </c>
      <c r="K384" t="s">
        <v>1285</v>
      </c>
      <c r="L384" s="8">
        <f>D384*N384</f>
        <v>0</v>
      </c>
      <c r="N384" s="8">
        <f>IF(E384="HUF", 1, IFERROR(VLOOKUP(A384&amp;E384, '91_Data_ExRates'!A:D, 4, FALSE), 1))</f>
        <v>0</v>
      </c>
    </row>
    <row r="385" spans="1:14">
      <c r="A385" t="s">
        <v>244</v>
      </c>
      <c r="B385" t="s">
        <v>381</v>
      </c>
      <c r="C385" t="s">
        <v>384</v>
      </c>
      <c r="D385">
        <v>500</v>
      </c>
      <c r="E385" t="s">
        <v>396</v>
      </c>
      <c r="F385" t="s">
        <v>402</v>
      </c>
      <c r="I385" t="s">
        <v>417</v>
      </c>
      <c r="J385" t="s">
        <v>491</v>
      </c>
      <c r="K385" t="s">
        <v>1286</v>
      </c>
      <c r="L385" s="8">
        <f>D385*N385</f>
        <v>0</v>
      </c>
      <c r="N385" s="8">
        <f>IF(E385="HUF", 1, IFERROR(VLOOKUP(A385&amp;E385, '91_Data_ExRates'!A:D, 4, FALSE), 1))</f>
        <v>0</v>
      </c>
    </row>
    <row r="386" spans="1:14">
      <c r="A386" t="s">
        <v>244</v>
      </c>
      <c r="B386" t="s">
        <v>381</v>
      </c>
      <c r="C386" t="s">
        <v>384</v>
      </c>
      <c r="D386">
        <v>1890</v>
      </c>
      <c r="E386" t="s">
        <v>396</v>
      </c>
      <c r="F386" t="s">
        <v>402</v>
      </c>
      <c r="I386" t="s">
        <v>417</v>
      </c>
      <c r="J386" t="s">
        <v>604</v>
      </c>
      <c r="K386" t="s">
        <v>1287</v>
      </c>
      <c r="L386" s="8">
        <f>D386*N386</f>
        <v>0</v>
      </c>
      <c r="N386" s="8">
        <f>IF(E386="HUF", 1, IFERROR(VLOOKUP(A386&amp;E386, '91_Data_ExRates'!A:D, 4, FALSE), 1))</f>
        <v>0</v>
      </c>
    </row>
    <row r="387" spans="1:14">
      <c r="A387" t="s">
        <v>245</v>
      </c>
      <c r="B387" t="s">
        <v>381</v>
      </c>
      <c r="C387" t="s">
        <v>384</v>
      </c>
      <c r="D387">
        <v>1749</v>
      </c>
      <c r="E387" t="s">
        <v>396</v>
      </c>
      <c r="F387" t="s">
        <v>406</v>
      </c>
      <c r="I387" t="s">
        <v>417</v>
      </c>
      <c r="J387" t="s">
        <v>431</v>
      </c>
      <c r="K387" t="s">
        <v>1288</v>
      </c>
      <c r="L387" s="8">
        <f>D387*N387</f>
        <v>0</v>
      </c>
      <c r="N387" s="8">
        <f>IF(E387="HUF", 1, IFERROR(VLOOKUP(A387&amp;E387, '91_Data_ExRates'!A:D, 4, FALSE), 1))</f>
        <v>0</v>
      </c>
    </row>
    <row r="388" spans="1:14">
      <c r="A388" t="s">
        <v>246</v>
      </c>
      <c r="B388" t="s">
        <v>382</v>
      </c>
      <c r="C388" t="s">
        <v>385</v>
      </c>
      <c r="D388">
        <v>40000</v>
      </c>
      <c r="E388" t="s">
        <v>396</v>
      </c>
      <c r="F388" t="s">
        <v>401</v>
      </c>
      <c r="I388" t="s">
        <v>417</v>
      </c>
      <c r="J388" t="s">
        <v>739</v>
      </c>
      <c r="K388" t="s">
        <v>1289</v>
      </c>
      <c r="L388" s="8">
        <f>D388*N388</f>
        <v>0</v>
      </c>
      <c r="N388" s="8">
        <f>IF(E388="HUF", 1, IFERROR(VLOOKUP(A388&amp;E388, '91_Data_ExRates'!A:D, 4, FALSE), 1))</f>
        <v>0</v>
      </c>
    </row>
    <row r="389" spans="1:14">
      <c r="A389" t="s">
        <v>247</v>
      </c>
      <c r="B389" t="s">
        <v>381</v>
      </c>
      <c r="C389" t="s">
        <v>384</v>
      </c>
      <c r="D389">
        <v>350</v>
      </c>
      <c r="E389" t="s">
        <v>396</v>
      </c>
      <c r="F389" t="s">
        <v>402</v>
      </c>
      <c r="I389" t="s">
        <v>417</v>
      </c>
      <c r="J389" t="s">
        <v>740</v>
      </c>
      <c r="K389" t="s">
        <v>1290</v>
      </c>
      <c r="L389" s="8">
        <f>D389*N389</f>
        <v>0</v>
      </c>
      <c r="N389" s="8">
        <f>IF(E389="HUF", 1, IFERROR(VLOOKUP(A389&amp;E389, '91_Data_ExRates'!A:D, 4, FALSE), 1))</f>
        <v>0</v>
      </c>
    </row>
    <row r="390" spans="1:14">
      <c r="A390" t="s">
        <v>248</v>
      </c>
      <c r="B390" t="s">
        <v>381</v>
      </c>
      <c r="C390" t="s">
        <v>384</v>
      </c>
      <c r="D390">
        <v>3343</v>
      </c>
      <c r="E390" t="s">
        <v>396</v>
      </c>
      <c r="F390" t="s">
        <v>402</v>
      </c>
      <c r="I390" t="s">
        <v>417</v>
      </c>
      <c r="J390" t="s">
        <v>741</v>
      </c>
      <c r="K390" t="s">
        <v>1291</v>
      </c>
      <c r="L390" s="8">
        <f>D390*N390</f>
        <v>0</v>
      </c>
      <c r="N390" s="8">
        <f>IF(E390="HUF", 1, IFERROR(VLOOKUP(A390&amp;E390, '91_Data_ExRates'!A:D, 4, FALSE), 1))</f>
        <v>0</v>
      </c>
    </row>
    <row r="391" spans="1:14">
      <c r="A391" t="s">
        <v>249</v>
      </c>
      <c r="B391" t="s">
        <v>383</v>
      </c>
      <c r="C391" t="s">
        <v>384</v>
      </c>
      <c r="D391">
        <v>70000</v>
      </c>
      <c r="E391" t="s">
        <v>396</v>
      </c>
      <c r="I391" t="s">
        <v>417</v>
      </c>
      <c r="K391" t="s">
        <v>1292</v>
      </c>
      <c r="L391" s="8">
        <f>D391*N391</f>
        <v>0</v>
      </c>
      <c r="N391" s="8">
        <f>IF(E391="HUF", 1, IFERROR(VLOOKUP(A391&amp;E391, '91_Data_ExRates'!A:D, 4, FALSE), 1))</f>
        <v>0</v>
      </c>
    </row>
    <row r="392" spans="1:14">
      <c r="A392" t="s">
        <v>249</v>
      </c>
      <c r="B392" t="s">
        <v>381</v>
      </c>
      <c r="C392" t="s">
        <v>384</v>
      </c>
      <c r="D392">
        <v>19900</v>
      </c>
      <c r="E392" t="s">
        <v>396</v>
      </c>
      <c r="F392" t="s">
        <v>407</v>
      </c>
      <c r="I392" t="s">
        <v>417</v>
      </c>
      <c r="J392" t="s">
        <v>742</v>
      </c>
      <c r="K392" t="s">
        <v>1293</v>
      </c>
      <c r="L392" s="8">
        <f>D392*N392</f>
        <v>0</v>
      </c>
      <c r="N392" s="8">
        <f>IF(E392="HUF", 1, IFERROR(VLOOKUP(A392&amp;E392, '91_Data_ExRates'!A:D, 4, FALSE), 1))</f>
        <v>0</v>
      </c>
    </row>
    <row r="393" spans="1:14">
      <c r="A393" t="s">
        <v>249</v>
      </c>
      <c r="B393" t="s">
        <v>381</v>
      </c>
      <c r="C393" t="s">
        <v>384</v>
      </c>
      <c r="D393">
        <v>350</v>
      </c>
      <c r="E393" t="s">
        <v>396</v>
      </c>
      <c r="F393" t="s">
        <v>407</v>
      </c>
      <c r="I393" t="s">
        <v>417</v>
      </c>
      <c r="J393" t="s">
        <v>659</v>
      </c>
      <c r="K393" t="s">
        <v>1294</v>
      </c>
      <c r="L393" s="8">
        <f>D393*N393</f>
        <v>0</v>
      </c>
      <c r="N393" s="8">
        <f>IF(E393="HUF", 1, IFERROR(VLOOKUP(A393&amp;E393, '91_Data_ExRates'!A:D, 4, FALSE), 1))</f>
        <v>0</v>
      </c>
    </row>
    <row r="394" spans="1:14">
      <c r="A394" t="s">
        <v>250</v>
      </c>
      <c r="B394" t="s">
        <v>381</v>
      </c>
      <c r="C394" t="s">
        <v>384</v>
      </c>
      <c r="D394">
        <v>2720</v>
      </c>
      <c r="E394" t="s">
        <v>396</v>
      </c>
      <c r="F394" t="s">
        <v>404</v>
      </c>
      <c r="I394" t="s">
        <v>417</v>
      </c>
      <c r="J394" t="s">
        <v>743</v>
      </c>
      <c r="K394" t="s">
        <v>1295</v>
      </c>
      <c r="L394" s="8">
        <f>D394*N394</f>
        <v>0</v>
      </c>
      <c r="N394" s="8">
        <f>IF(E394="HUF", 1, IFERROR(VLOOKUP(A394&amp;E394, '91_Data_ExRates'!A:D, 4, FALSE), 1))</f>
        <v>0</v>
      </c>
    </row>
    <row r="395" spans="1:14">
      <c r="A395" t="s">
        <v>250</v>
      </c>
      <c r="B395" t="s">
        <v>381</v>
      </c>
      <c r="C395" t="s">
        <v>384</v>
      </c>
      <c r="D395">
        <v>2720</v>
      </c>
      <c r="E395" t="s">
        <v>396</v>
      </c>
      <c r="F395" t="s">
        <v>401</v>
      </c>
      <c r="I395" t="s">
        <v>417</v>
      </c>
      <c r="J395" t="s">
        <v>744</v>
      </c>
      <c r="K395" t="s">
        <v>1296</v>
      </c>
      <c r="L395" s="8">
        <f>D395*N395</f>
        <v>0</v>
      </c>
      <c r="N395" s="8">
        <f>IF(E395="HUF", 1, IFERROR(VLOOKUP(A395&amp;E395, '91_Data_ExRates'!A:D, 4, FALSE), 1))</f>
        <v>0</v>
      </c>
    </row>
    <row r="396" spans="1:14">
      <c r="A396" t="s">
        <v>251</v>
      </c>
      <c r="B396" t="s">
        <v>381</v>
      </c>
      <c r="C396" t="s">
        <v>384</v>
      </c>
      <c r="D396">
        <v>9401</v>
      </c>
      <c r="E396" t="s">
        <v>396</v>
      </c>
      <c r="F396" t="s">
        <v>404</v>
      </c>
      <c r="I396" t="s">
        <v>417</v>
      </c>
      <c r="J396" t="s">
        <v>745</v>
      </c>
      <c r="K396" t="s">
        <v>1297</v>
      </c>
      <c r="L396" s="8">
        <f>D396*N396</f>
        <v>0</v>
      </c>
      <c r="N396" s="8">
        <f>IF(E396="HUF", 1, IFERROR(VLOOKUP(A396&amp;E396, '91_Data_ExRates'!A:D, 4, FALSE), 1))</f>
        <v>0</v>
      </c>
    </row>
    <row r="397" spans="1:14">
      <c r="A397" t="s">
        <v>252</v>
      </c>
      <c r="B397" t="s">
        <v>381</v>
      </c>
      <c r="C397" t="s">
        <v>384</v>
      </c>
      <c r="D397">
        <v>1425</v>
      </c>
      <c r="E397" t="s">
        <v>396</v>
      </c>
      <c r="F397" t="s">
        <v>402</v>
      </c>
      <c r="I397" t="s">
        <v>417</v>
      </c>
      <c r="J397" t="s">
        <v>746</v>
      </c>
      <c r="K397" t="s">
        <v>1298</v>
      </c>
      <c r="L397" s="8">
        <f>D397*N397</f>
        <v>0</v>
      </c>
      <c r="N397" s="8">
        <f>IF(E397="HUF", 1, IFERROR(VLOOKUP(A397&amp;E397, '91_Data_ExRates'!A:D, 4, FALSE), 1))</f>
        <v>0</v>
      </c>
    </row>
    <row r="398" spans="1:14">
      <c r="A398" t="s">
        <v>253</v>
      </c>
      <c r="B398" t="s">
        <v>381</v>
      </c>
      <c r="C398" t="s">
        <v>384</v>
      </c>
      <c r="D398">
        <v>500</v>
      </c>
      <c r="E398" t="s">
        <v>396</v>
      </c>
      <c r="F398" t="s">
        <v>402</v>
      </c>
      <c r="I398" t="s">
        <v>417</v>
      </c>
      <c r="J398" t="s">
        <v>747</v>
      </c>
      <c r="K398" t="s">
        <v>1299</v>
      </c>
      <c r="L398" s="8">
        <f>D398*N398</f>
        <v>0</v>
      </c>
      <c r="N398" s="8">
        <f>IF(E398="HUF", 1, IFERROR(VLOOKUP(A398&amp;E398, '91_Data_ExRates'!A:D, 4, FALSE), 1))</f>
        <v>0</v>
      </c>
    </row>
    <row r="399" spans="1:14">
      <c r="A399" t="s">
        <v>254</v>
      </c>
      <c r="B399" t="s">
        <v>381</v>
      </c>
      <c r="C399" t="s">
        <v>384</v>
      </c>
      <c r="D399">
        <v>750</v>
      </c>
      <c r="E399" t="s">
        <v>396</v>
      </c>
      <c r="F399" t="s">
        <v>403</v>
      </c>
      <c r="I399" t="s">
        <v>417</v>
      </c>
      <c r="J399" t="s">
        <v>748</v>
      </c>
      <c r="K399" t="s">
        <v>1300</v>
      </c>
      <c r="L399" s="8">
        <f>D399*N399</f>
        <v>0</v>
      </c>
      <c r="N399" s="8">
        <f>IF(E399="HUF", 1, IFERROR(VLOOKUP(A399&amp;E399, '91_Data_ExRates'!A:D, 4, FALSE), 1))</f>
        <v>0</v>
      </c>
    </row>
    <row r="400" spans="1:14">
      <c r="A400" t="s">
        <v>254</v>
      </c>
      <c r="B400" t="s">
        <v>381</v>
      </c>
      <c r="C400" t="s">
        <v>384</v>
      </c>
      <c r="D400">
        <v>540</v>
      </c>
      <c r="E400" t="s">
        <v>396</v>
      </c>
      <c r="F400" t="s">
        <v>407</v>
      </c>
      <c r="I400" t="s">
        <v>417</v>
      </c>
      <c r="J400" t="s">
        <v>749</v>
      </c>
      <c r="K400" t="s">
        <v>1301</v>
      </c>
      <c r="L400" s="8">
        <f>D400*N400</f>
        <v>0</v>
      </c>
      <c r="N400" s="8">
        <f>IF(E400="HUF", 1, IFERROR(VLOOKUP(A400&amp;E400, '91_Data_ExRates'!A:D, 4, FALSE), 1))</f>
        <v>0</v>
      </c>
    </row>
    <row r="401" spans="1:14">
      <c r="A401" t="s">
        <v>255</v>
      </c>
      <c r="B401" t="s">
        <v>381</v>
      </c>
      <c r="C401" t="s">
        <v>384</v>
      </c>
      <c r="D401">
        <v>1890</v>
      </c>
      <c r="E401" t="s">
        <v>396</v>
      </c>
      <c r="F401" t="s">
        <v>402</v>
      </c>
      <c r="I401" t="s">
        <v>417</v>
      </c>
      <c r="J401" t="s">
        <v>604</v>
      </c>
      <c r="K401" t="s">
        <v>1302</v>
      </c>
      <c r="L401" s="8">
        <f>D401*N401</f>
        <v>0</v>
      </c>
      <c r="N401" s="8">
        <f>IF(E401="HUF", 1, IFERROR(VLOOKUP(A401&amp;E401, '91_Data_ExRates'!A:D, 4, FALSE), 1))</f>
        <v>0</v>
      </c>
    </row>
    <row r="402" spans="1:14">
      <c r="A402" t="s">
        <v>255</v>
      </c>
      <c r="B402" t="s">
        <v>381</v>
      </c>
      <c r="C402" t="s">
        <v>384</v>
      </c>
      <c r="D402">
        <v>5000</v>
      </c>
      <c r="E402" t="s">
        <v>396</v>
      </c>
      <c r="F402" t="s">
        <v>403</v>
      </c>
      <c r="I402" t="s">
        <v>417</v>
      </c>
      <c r="J402" t="s">
        <v>750</v>
      </c>
      <c r="K402" t="s">
        <v>1303</v>
      </c>
      <c r="L402" s="8">
        <f>D402*N402</f>
        <v>0</v>
      </c>
      <c r="N402" s="8">
        <f>IF(E402="HUF", 1, IFERROR(VLOOKUP(A402&amp;E402, '91_Data_ExRates'!A:D, 4, FALSE), 1))</f>
        <v>0</v>
      </c>
    </row>
    <row r="403" spans="1:14">
      <c r="A403" t="s">
        <v>256</v>
      </c>
      <c r="B403" t="s">
        <v>381</v>
      </c>
      <c r="C403" t="s">
        <v>385</v>
      </c>
      <c r="D403">
        <v>14670</v>
      </c>
      <c r="E403" t="s">
        <v>396</v>
      </c>
      <c r="F403" t="s">
        <v>404</v>
      </c>
      <c r="I403" t="s">
        <v>417</v>
      </c>
      <c r="J403" t="s">
        <v>751</v>
      </c>
      <c r="K403" t="s">
        <v>1304</v>
      </c>
      <c r="L403" s="8">
        <f>D403*N403</f>
        <v>0</v>
      </c>
      <c r="N403" s="8">
        <f>IF(E403="HUF", 1, IFERROR(VLOOKUP(A403&amp;E403, '91_Data_ExRates'!A:D, 4, FALSE), 1))</f>
        <v>0</v>
      </c>
    </row>
    <row r="404" spans="1:14">
      <c r="A404" t="s">
        <v>256</v>
      </c>
      <c r="B404" t="s">
        <v>381</v>
      </c>
      <c r="C404" t="s">
        <v>385</v>
      </c>
      <c r="D404">
        <v>1900</v>
      </c>
      <c r="E404" t="s">
        <v>396</v>
      </c>
      <c r="F404" t="s">
        <v>404</v>
      </c>
      <c r="I404" t="s">
        <v>417</v>
      </c>
      <c r="J404" t="s">
        <v>752</v>
      </c>
      <c r="K404" t="s">
        <v>1305</v>
      </c>
      <c r="L404" s="8">
        <f>D404*N404</f>
        <v>0</v>
      </c>
      <c r="N404" s="8">
        <f>IF(E404="HUF", 1, IFERROR(VLOOKUP(A404&amp;E404, '91_Data_ExRates'!A:D, 4, FALSE), 1))</f>
        <v>0</v>
      </c>
    </row>
    <row r="405" spans="1:14">
      <c r="A405" t="s">
        <v>256</v>
      </c>
      <c r="B405" t="s">
        <v>381</v>
      </c>
      <c r="C405" t="s">
        <v>385</v>
      </c>
      <c r="D405">
        <v>1060</v>
      </c>
      <c r="E405" t="s">
        <v>396</v>
      </c>
      <c r="F405" t="s">
        <v>404</v>
      </c>
      <c r="I405" t="s">
        <v>417</v>
      </c>
      <c r="J405" t="s">
        <v>753</v>
      </c>
      <c r="K405" t="s">
        <v>1306</v>
      </c>
      <c r="L405" s="8">
        <f>D405*N405</f>
        <v>0</v>
      </c>
      <c r="N405" s="8">
        <f>IF(E405="HUF", 1, IFERROR(VLOOKUP(A405&amp;E405, '91_Data_ExRates'!A:D, 4, FALSE), 1))</f>
        <v>0</v>
      </c>
    </row>
    <row r="406" spans="1:14">
      <c r="A406" t="s">
        <v>256</v>
      </c>
      <c r="B406" t="s">
        <v>381</v>
      </c>
      <c r="C406" t="s">
        <v>384</v>
      </c>
      <c r="D406">
        <v>2950</v>
      </c>
      <c r="E406" t="s">
        <v>396</v>
      </c>
      <c r="F406" t="s">
        <v>403</v>
      </c>
      <c r="I406" t="s">
        <v>417</v>
      </c>
      <c r="J406" t="s">
        <v>754</v>
      </c>
      <c r="K406" t="s">
        <v>1307</v>
      </c>
      <c r="L406" s="8">
        <f>D406*N406</f>
        <v>0</v>
      </c>
      <c r="N406" s="8">
        <f>IF(E406="HUF", 1, IFERROR(VLOOKUP(A406&amp;E406, '91_Data_ExRates'!A:D, 4, FALSE), 1))</f>
        <v>0</v>
      </c>
    </row>
    <row r="407" spans="1:14">
      <c r="A407" t="s">
        <v>256</v>
      </c>
      <c r="B407" t="s">
        <v>381</v>
      </c>
      <c r="C407" t="s">
        <v>385</v>
      </c>
      <c r="D407">
        <v>4890</v>
      </c>
      <c r="E407" t="s">
        <v>396</v>
      </c>
      <c r="F407" t="s">
        <v>401</v>
      </c>
      <c r="I407" t="s">
        <v>417</v>
      </c>
      <c r="J407" t="s">
        <v>755</v>
      </c>
      <c r="K407" t="s">
        <v>1308</v>
      </c>
      <c r="L407" s="8">
        <f>D407*N407</f>
        <v>0</v>
      </c>
      <c r="N407" s="8">
        <f>IF(E407="HUF", 1, IFERROR(VLOOKUP(A407&amp;E407, '91_Data_ExRates'!A:D, 4, FALSE), 1))</f>
        <v>0</v>
      </c>
    </row>
    <row r="408" spans="1:14">
      <c r="A408" t="s">
        <v>256</v>
      </c>
      <c r="B408" t="s">
        <v>381</v>
      </c>
      <c r="C408" t="s">
        <v>385</v>
      </c>
      <c r="D408">
        <v>800</v>
      </c>
      <c r="E408" t="s">
        <v>396</v>
      </c>
      <c r="F408" t="s">
        <v>404</v>
      </c>
      <c r="I408" t="s">
        <v>417</v>
      </c>
      <c r="J408" t="s">
        <v>756</v>
      </c>
      <c r="K408" t="s">
        <v>1309</v>
      </c>
      <c r="L408" s="8">
        <f>D408*N408</f>
        <v>0</v>
      </c>
      <c r="N408" s="8">
        <f>IF(E408="HUF", 1, IFERROR(VLOOKUP(A408&amp;E408, '91_Data_ExRates'!A:D, 4, FALSE), 1))</f>
        <v>0</v>
      </c>
    </row>
    <row r="409" spans="1:14">
      <c r="A409" t="s">
        <v>257</v>
      </c>
      <c r="B409" t="s">
        <v>383</v>
      </c>
      <c r="C409" t="s">
        <v>384</v>
      </c>
      <c r="D409">
        <v>70000</v>
      </c>
      <c r="E409" t="s">
        <v>396</v>
      </c>
      <c r="I409" t="s">
        <v>417</v>
      </c>
      <c r="K409" t="s">
        <v>1310</v>
      </c>
      <c r="L409" s="8">
        <f>D409*N409</f>
        <v>0</v>
      </c>
      <c r="N409" s="8">
        <f>IF(E409="HUF", 1, IFERROR(VLOOKUP(A409&amp;E409, '91_Data_ExRates'!A:D, 4, FALSE), 1))</f>
        <v>0</v>
      </c>
    </row>
    <row r="410" spans="1:14">
      <c r="A410" t="s">
        <v>257</v>
      </c>
      <c r="B410" t="s">
        <v>381</v>
      </c>
      <c r="C410" t="s">
        <v>384</v>
      </c>
      <c r="D410">
        <v>798</v>
      </c>
      <c r="E410" t="s">
        <v>396</v>
      </c>
      <c r="F410" t="s">
        <v>407</v>
      </c>
      <c r="I410" t="s">
        <v>417</v>
      </c>
      <c r="J410" t="s">
        <v>757</v>
      </c>
      <c r="K410" t="s">
        <v>1311</v>
      </c>
      <c r="L410" s="8">
        <f>D410*N410</f>
        <v>0</v>
      </c>
      <c r="N410" s="8">
        <f>IF(E410="HUF", 1, IFERROR(VLOOKUP(A410&amp;E410, '91_Data_ExRates'!A:D, 4, FALSE), 1))</f>
        <v>0</v>
      </c>
    </row>
    <row r="411" spans="1:14">
      <c r="A411" t="s">
        <v>257</v>
      </c>
      <c r="B411" t="s">
        <v>381</v>
      </c>
      <c r="C411" t="s">
        <v>384</v>
      </c>
      <c r="D411">
        <v>420</v>
      </c>
      <c r="E411" t="s">
        <v>396</v>
      </c>
      <c r="F411" t="s">
        <v>407</v>
      </c>
      <c r="I411" t="s">
        <v>417</v>
      </c>
      <c r="J411" t="s">
        <v>659</v>
      </c>
      <c r="K411" t="s">
        <v>1312</v>
      </c>
      <c r="L411" s="8">
        <f>D411*N411</f>
        <v>0</v>
      </c>
      <c r="N411" s="8">
        <f>IF(E411="HUF", 1, IFERROR(VLOOKUP(A411&amp;E411, '91_Data_ExRates'!A:D, 4, FALSE), 1))</f>
        <v>0</v>
      </c>
    </row>
    <row r="412" spans="1:14">
      <c r="A412" t="s">
        <v>257</v>
      </c>
      <c r="B412" t="s">
        <v>381</v>
      </c>
      <c r="C412" t="s">
        <v>384</v>
      </c>
      <c r="D412">
        <v>883</v>
      </c>
      <c r="E412" t="s">
        <v>396</v>
      </c>
      <c r="F412" t="s">
        <v>407</v>
      </c>
      <c r="I412" t="s">
        <v>417</v>
      </c>
      <c r="J412" t="s">
        <v>757</v>
      </c>
      <c r="K412" t="s">
        <v>1313</v>
      </c>
      <c r="L412" s="8">
        <f>D412*N412</f>
        <v>0</v>
      </c>
      <c r="N412" s="8">
        <f>IF(E412="HUF", 1, IFERROR(VLOOKUP(A412&amp;E412, '91_Data_ExRates'!A:D, 4, FALSE), 1))</f>
        <v>0</v>
      </c>
    </row>
    <row r="413" spans="1:14">
      <c r="A413" t="s">
        <v>258</v>
      </c>
      <c r="B413" t="s">
        <v>382</v>
      </c>
      <c r="C413" t="s">
        <v>385</v>
      </c>
      <c r="D413">
        <v>40000</v>
      </c>
      <c r="E413" t="s">
        <v>396</v>
      </c>
      <c r="F413" t="s">
        <v>401</v>
      </c>
      <c r="I413" t="s">
        <v>417</v>
      </c>
      <c r="J413" t="s">
        <v>758</v>
      </c>
      <c r="K413" t="s">
        <v>1314</v>
      </c>
      <c r="L413" s="8">
        <f>D413*N413</f>
        <v>0</v>
      </c>
      <c r="N413" s="8">
        <f>IF(E413="HUF", 1, IFERROR(VLOOKUP(A413&amp;E413, '91_Data_ExRates'!A:D, 4, FALSE), 1))</f>
        <v>0</v>
      </c>
    </row>
    <row r="414" spans="1:14">
      <c r="A414" t="s">
        <v>259</v>
      </c>
      <c r="B414" t="s">
        <v>381</v>
      </c>
      <c r="C414" t="s">
        <v>385</v>
      </c>
      <c r="D414">
        <v>5000</v>
      </c>
      <c r="E414" t="s">
        <v>396</v>
      </c>
      <c r="F414" t="s">
        <v>401</v>
      </c>
      <c r="I414" t="s">
        <v>417</v>
      </c>
      <c r="J414" t="s">
        <v>759</v>
      </c>
      <c r="K414" t="s">
        <v>1315</v>
      </c>
      <c r="L414" s="8">
        <f>D414*N414</f>
        <v>0</v>
      </c>
      <c r="N414" s="8">
        <f>IF(E414="HUF", 1, IFERROR(VLOOKUP(A414&amp;E414, '91_Data_ExRates'!A:D, 4, FALSE), 1))</f>
        <v>0</v>
      </c>
    </row>
    <row r="415" spans="1:14">
      <c r="A415" t="s">
        <v>260</v>
      </c>
      <c r="B415" t="s">
        <v>381</v>
      </c>
      <c r="C415" t="s">
        <v>385</v>
      </c>
      <c r="D415">
        <v>1500</v>
      </c>
      <c r="E415" t="s">
        <v>396</v>
      </c>
      <c r="F415" t="s">
        <v>406</v>
      </c>
      <c r="I415" t="s">
        <v>417</v>
      </c>
      <c r="J415" t="s">
        <v>760</v>
      </c>
      <c r="K415" t="s">
        <v>1316</v>
      </c>
      <c r="L415" s="8">
        <f>D415*N415</f>
        <v>0</v>
      </c>
      <c r="N415" s="8">
        <f>IF(E415="HUF", 1, IFERROR(VLOOKUP(A415&amp;E415, '91_Data_ExRates'!A:D, 4, FALSE), 1))</f>
        <v>0</v>
      </c>
    </row>
    <row r="416" spans="1:14">
      <c r="A416" t="s">
        <v>260</v>
      </c>
      <c r="B416" t="s">
        <v>381</v>
      </c>
      <c r="C416" t="s">
        <v>385</v>
      </c>
      <c r="D416">
        <v>1500</v>
      </c>
      <c r="E416" t="s">
        <v>396</v>
      </c>
      <c r="F416" t="s">
        <v>401</v>
      </c>
      <c r="I416" t="s">
        <v>417</v>
      </c>
      <c r="J416" t="s">
        <v>761</v>
      </c>
      <c r="K416" t="s">
        <v>1317</v>
      </c>
      <c r="L416" s="8">
        <f>D416*N416</f>
        <v>0</v>
      </c>
      <c r="N416" s="8">
        <f>IF(E416="HUF", 1, IFERROR(VLOOKUP(A416&amp;E416, '91_Data_ExRates'!A:D, 4, FALSE), 1))</f>
        <v>0</v>
      </c>
    </row>
    <row r="417" spans="1:14">
      <c r="A417" t="s">
        <v>260</v>
      </c>
      <c r="B417" t="s">
        <v>381</v>
      </c>
      <c r="C417" t="s">
        <v>384</v>
      </c>
      <c r="D417">
        <v>1000</v>
      </c>
      <c r="E417" t="s">
        <v>396</v>
      </c>
      <c r="F417" t="s">
        <v>402</v>
      </c>
      <c r="I417" t="s">
        <v>417</v>
      </c>
      <c r="J417" t="s">
        <v>762</v>
      </c>
      <c r="K417" t="s">
        <v>1318</v>
      </c>
      <c r="L417" s="8">
        <f>D417*N417</f>
        <v>0</v>
      </c>
      <c r="N417" s="8">
        <f>IF(E417="HUF", 1, IFERROR(VLOOKUP(A417&amp;E417, '91_Data_ExRates'!A:D, 4, FALSE), 1))</f>
        <v>0</v>
      </c>
    </row>
    <row r="418" spans="1:14">
      <c r="A418" t="s">
        <v>260</v>
      </c>
      <c r="B418" t="s">
        <v>382</v>
      </c>
      <c r="C418" t="s">
        <v>385</v>
      </c>
      <c r="D418">
        <v>20000</v>
      </c>
      <c r="E418" t="s">
        <v>396</v>
      </c>
      <c r="F418" t="s">
        <v>401</v>
      </c>
      <c r="I418" t="s">
        <v>417</v>
      </c>
      <c r="J418" t="s">
        <v>763</v>
      </c>
      <c r="K418" t="s">
        <v>1319</v>
      </c>
      <c r="L418" s="8">
        <f>D418*N418</f>
        <v>0</v>
      </c>
      <c r="N418" s="8">
        <f>IF(E418="HUF", 1, IFERROR(VLOOKUP(A418&amp;E418, '91_Data_ExRates'!A:D, 4, FALSE), 1))</f>
        <v>0</v>
      </c>
    </row>
    <row r="419" spans="1:14">
      <c r="A419" t="s">
        <v>260</v>
      </c>
      <c r="B419" t="s">
        <v>382</v>
      </c>
      <c r="C419" t="s">
        <v>385</v>
      </c>
      <c r="D419">
        <v>10000</v>
      </c>
      <c r="E419" t="s">
        <v>396</v>
      </c>
      <c r="F419" t="s">
        <v>401</v>
      </c>
      <c r="I419" t="s">
        <v>417</v>
      </c>
      <c r="J419" t="s">
        <v>764</v>
      </c>
      <c r="K419" t="s">
        <v>1320</v>
      </c>
      <c r="L419" s="8">
        <f>D419*N419</f>
        <v>0</v>
      </c>
      <c r="N419" s="8">
        <f>IF(E419="HUF", 1, IFERROR(VLOOKUP(A419&amp;E419, '91_Data_ExRates'!A:D, 4, FALSE), 1))</f>
        <v>0</v>
      </c>
    </row>
    <row r="420" spans="1:14">
      <c r="A420" t="s">
        <v>261</v>
      </c>
      <c r="B420" t="s">
        <v>381</v>
      </c>
      <c r="C420" t="s">
        <v>384</v>
      </c>
      <c r="D420">
        <v>1000</v>
      </c>
      <c r="E420" t="s">
        <v>396</v>
      </c>
      <c r="F420" t="s">
        <v>402</v>
      </c>
      <c r="I420" t="s">
        <v>417</v>
      </c>
      <c r="J420" t="s">
        <v>765</v>
      </c>
      <c r="K420" t="s">
        <v>1321</v>
      </c>
      <c r="L420" s="8">
        <f>D420*N420</f>
        <v>0</v>
      </c>
      <c r="N420" s="8">
        <f>IF(E420="HUF", 1, IFERROR(VLOOKUP(A420&amp;E420, '91_Data_ExRates'!A:D, 4, FALSE), 1))</f>
        <v>0</v>
      </c>
    </row>
    <row r="421" spans="1:14">
      <c r="A421" t="s">
        <v>262</v>
      </c>
      <c r="B421" t="s">
        <v>381</v>
      </c>
      <c r="C421" t="s">
        <v>384</v>
      </c>
      <c r="D421">
        <v>420</v>
      </c>
      <c r="E421" t="s">
        <v>396</v>
      </c>
      <c r="F421" t="s">
        <v>407</v>
      </c>
      <c r="I421" t="s">
        <v>417</v>
      </c>
      <c r="J421" t="s">
        <v>659</v>
      </c>
      <c r="K421" t="s">
        <v>1322</v>
      </c>
      <c r="L421" s="8">
        <f>D421*N421</f>
        <v>0</v>
      </c>
      <c r="N421" s="8">
        <f>IF(E421="HUF", 1, IFERROR(VLOOKUP(A421&amp;E421, '91_Data_ExRates'!A:D, 4, FALSE), 1))</f>
        <v>0</v>
      </c>
    </row>
    <row r="422" spans="1:14">
      <c r="A422" t="s">
        <v>262</v>
      </c>
      <c r="B422" t="s">
        <v>383</v>
      </c>
      <c r="C422" t="s">
        <v>384</v>
      </c>
      <c r="D422">
        <v>70000</v>
      </c>
      <c r="E422" t="s">
        <v>396</v>
      </c>
      <c r="I422" t="s">
        <v>417</v>
      </c>
      <c r="K422" t="s">
        <v>1323</v>
      </c>
      <c r="L422" s="8">
        <f>D422*N422</f>
        <v>0</v>
      </c>
      <c r="N422" s="8">
        <f>IF(E422="HUF", 1, IFERROR(VLOOKUP(A422&amp;E422, '91_Data_ExRates'!A:D, 4, FALSE), 1))</f>
        <v>0</v>
      </c>
    </row>
    <row r="423" spans="1:14">
      <c r="A423" t="s">
        <v>263</v>
      </c>
      <c r="B423" t="s">
        <v>381</v>
      </c>
      <c r="C423" t="s">
        <v>385</v>
      </c>
      <c r="D423">
        <v>1200</v>
      </c>
      <c r="E423" t="s">
        <v>396</v>
      </c>
      <c r="F423" t="s">
        <v>401</v>
      </c>
      <c r="I423" t="s">
        <v>417</v>
      </c>
      <c r="J423" t="s">
        <v>766</v>
      </c>
      <c r="K423" t="s">
        <v>1324</v>
      </c>
      <c r="L423" s="8">
        <f>D423*N423</f>
        <v>0</v>
      </c>
      <c r="N423" s="8">
        <f>IF(E423="HUF", 1, IFERROR(VLOOKUP(A423&amp;E423, '91_Data_ExRates'!A:D, 4, FALSE), 1))</f>
        <v>0</v>
      </c>
    </row>
    <row r="424" spans="1:14">
      <c r="A424" t="s">
        <v>263</v>
      </c>
      <c r="B424" t="s">
        <v>381</v>
      </c>
      <c r="C424" t="s">
        <v>385</v>
      </c>
      <c r="D424">
        <v>1200</v>
      </c>
      <c r="E424" t="s">
        <v>396</v>
      </c>
      <c r="F424" t="s">
        <v>404</v>
      </c>
      <c r="I424" t="s">
        <v>417</v>
      </c>
      <c r="J424" t="s">
        <v>766</v>
      </c>
      <c r="K424" t="s">
        <v>1325</v>
      </c>
      <c r="L424" s="8">
        <f>D424*N424</f>
        <v>0</v>
      </c>
      <c r="N424" s="8">
        <f>IF(E424="HUF", 1, IFERROR(VLOOKUP(A424&amp;E424, '91_Data_ExRates'!A:D, 4, FALSE), 1))</f>
        <v>0</v>
      </c>
    </row>
    <row r="425" spans="1:14">
      <c r="A425" t="s">
        <v>264</v>
      </c>
      <c r="B425" t="s">
        <v>381</v>
      </c>
      <c r="C425" t="s">
        <v>384</v>
      </c>
      <c r="D425">
        <v>998</v>
      </c>
      <c r="E425" t="s">
        <v>396</v>
      </c>
      <c r="F425" t="s">
        <v>404</v>
      </c>
      <c r="I425" t="s">
        <v>417</v>
      </c>
      <c r="J425" t="s">
        <v>767</v>
      </c>
      <c r="K425" t="s">
        <v>1326</v>
      </c>
      <c r="L425" s="8">
        <f>D425*N425</f>
        <v>0</v>
      </c>
      <c r="N425" s="8">
        <f>IF(E425="HUF", 1, IFERROR(VLOOKUP(A425&amp;E425, '91_Data_ExRates'!A:D, 4, FALSE), 1))</f>
        <v>0</v>
      </c>
    </row>
    <row r="426" spans="1:14">
      <c r="A426" t="s">
        <v>265</v>
      </c>
      <c r="B426" t="s">
        <v>381</v>
      </c>
      <c r="C426" t="s">
        <v>385</v>
      </c>
      <c r="D426">
        <v>1660</v>
      </c>
      <c r="E426" t="s">
        <v>396</v>
      </c>
      <c r="F426" t="s">
        <v>403</v>
      </c>
      <c r="I426" t="s">
        <v>417</v>
      </c>
      <c r="J426" t="s">
        <v>768</v>
      </c>
      <c r="K426" t="s">
        <v>1327</v>
      </c>
      <c r="L426" s="8">
        <f>D426*N426</f>
        <v>0</v>
      </c>
      <c r="N426" s="8">
        <f>IF(E426="HUF", 1, IFERROR(VLOOKUP(A426&amp;E426, '91_Data_ExRates'!A:D, 4, FALSE), 1))</f>
        <v>0</v>
      </c>
    </row>
    <row r="427" spans="1:14">
      <c r="A427" t="s">
        <v>266</v>
      </c>
      <c r="B427" t="s">
        <v>381</v>
      </c>
      <c r="C427" t="s">
        <v>384</v>
      </c>
      <c r="D427">
        <v>700</v>
      </c>
      <c r="E427" t="s">
        <v>396</v>
      </c>
      <c r="F427" t="s">
        <v>404</v>
      </c>
      <c r="I427" t="s">
        <v>417</v>
      </c>
      <c r="J427" t="s">
        <v>769</v>
      </c>
      <c r="K427" t="s">
        <v>1328</v>
      </c>
      <c r="L427" s="8">
        <f>D427*N427</f>
        <v>0</v>
      </c>
      <c r="N427" s="8">
        <f>IF(E427="HUF", 1, IFERROR(VLOOKUP(A427&amp;E427, '91_Data_ExRates'!A:D, 4, FALSE), 1))</f>
        <v>0</v>
      </c>
    </row>
    <row r="428" spans="1:14">
      <c r="A428" t="s">
        <v>266</v>
      </c>
      <c r="B428" t="s">
        <v>381</v>
      </c>
      <c r="C428" t="s">
        <v>384</v>
      </c>
      <c r="D428">
        <v>1890</v>
      </c>
      <c r="E428" t="s">
        <v>396</v>
      </c>
      <c r="F428" t="s">
        <v>402</v>
      </c>
      <c r="I428" t="s">
        <v>417</v>
      </c>
      <c r="J428" t="s">
        <v>604</v>
      </c>
      <c r="K428" t="s">
        <v>1329</v>
      </c>
      <c r="L428" s="8">
        <f>D428*N428</f>
        <v>0</v>
      </c>
      <c r="N428" s="8">
        <f>IF(E428="HUF", 1, IFERROR(VLOOKUP(A428&amp;E428, '91_Data_ExRates'!A:D, 4, FALSE), 1))</f>
        <v>0</v>
      </c>
    </row>
    <row r="429" spans="1:14">
      <c r="A429" t="s">
        <v>267</v>
      </c>
      <c r="B429" t="s">
        <v>381</v>
      </c>
      <c r="C429" t="s">
        <v>384</v>
      </c>
      <c r="D429">
        <v>2209</v>
      </c>
      <c r="E429" t="s">
        <v>396</v>
      </c>
      <c r="F429" t="s">
        <v>406</v>
      </c>
      <c r="I429" t="s">
        <v>417</v>
      </c>
      <c r="J429" t="s">
        <v>770</v>
      </c>
      <c r="K429" t="s">
        <v>1330</v>
      </c>
      <c r="L429" s="8">
        <f>D429*N429</f>
        <v>0</v>
      </c>
      <c r="N429" s="8">
        <f>IF(E429="HUF", 1, IFERROR(VLOOKUP(A429&amp;E429, '91_Data_ExRates'!A:D, 4, FALSE), 1))</f>
        <v>0</v>
      </c>
    </row>
    <row r="430" spans="1:14">
      <c r="A430" t="s">
        <v>268</v>
      </c>
      <c r="B430" t="s">
        <v>381</v>
      </c>
      <c r="C430" t="s">
        <v>384</v>
      </c>
      <c r="D430">
        <v>220</v>
      </c>
      <c r="E430" t="s">
        <v>396</v>
      </c>
      <c r="F430" t="s">
        <v>402</v>
      </c>
      <c r="I430" t="s">
        <v>417</v>
      </c>
      <c r="J430" t="s">
        <v>497</v>
      </c>
      <c r="K430" t="s">
        <v>1331</v>
      </c>
      <c r="L430" s="8">
        <f>D430*N430</f>
        <v>0</v>
      </c>
      <c r="N430" s="8">
        <f>IF(E430="HUF", 1, IFERROR(VLOOKUP(A430&amp;E430, '91_Data_ExRates'!A:D, 4, FALSE), 1))</f>
        <v>0</v>
      </c>
    </row>
    <row r="431" spans="1:14">
      <c r="A431" t="s">
        <v>269</v>
      </c>
      <c r="B431" t="s">
        <v>381</v>
      </c>
      <c r="C431" t="s">
        <v>384</v>
      </c>
      <c r="D431">
        <v>7490</v>
      </c>
      <c r="E431" t="s">
        <v>396</v>
      </c>
      <c r="F431" t="s">
        <v>401</v>
      </c>
      <c r="I431" t="s">
        <v>417</v>
      </c>
      <c r="J431" t="s">
        <v>771</v>
      </c>
      <c r="K431" t="s">
        <v>1332</v>
      </c>
      <c r="L431" s="8">
        <f>D431*N431</f>
        <v>0</v>
      </c>
      <c r="N431" s="8">
        <f>IF(E431="HUF", 1, IFERROR(VLOOKUP(A431&amp;E431, '91_Data_ExRates'!A:D, 4, FALSE), 1))</f>
        <v>0</v>
      </c>
    </row>
    <row r="432" spans="1:14">
      <c r="A432" t="s">
        <v>269</v>
      </c>
      <c r="B432" t="s">
        <v>381</v>
      </c>
      <c r="C432" t="s">
        <v>385</v>
      </c>
      <c r="D432">
        <v>13149</v>
      </c>
      <c r="E432" t="s">
        <v>396</v>
      </c>
      <c r="F432" t="s">
        <v>407</v>
      </c>
      <c r="I432" t="s">
        <v>417</v>
      </c>
      <c r="J432" t="s">
        <v>772</v>
      </c>
      <c r="K432" t="s">
        <v>1333</v>
      </c>
      <c r="L432" s="8">
        <f>D432*N432</f>
        <v>0</v>
      </c>
      <c r="N432" s="8">
        <f>IF(E432="HUF", 1, IFERROR(VLOOKUP(A432&amp;E432, '91_Data_ExRates'!A:D, 4, FALSE), 1))</f>
        <v>0</v>
      </c>
    </row>
    <row r="433" spans="1:14">
      <c r="A433" t="s">
        <v>269</v>
      </c>
      <c r="B433" t="s">
        <v>381</v>
      </c>
      <c r="C433" t="s">
        <v>384</v>
      </c>
      <c r="D433">
        <v>13150</v>
      </c>
      <c r="E433" t="s">
        <v>396</v>
      </c>
      <c r="F433" t="s">
        <v>407</v>
      </c>
      <c r="I433" t="s">
        <v>417</v>
      </c>
      <c r="J433" t="s">
        <v>773</v>
      </c>
      <c r="K433" t="s">
        <v>1334</v>
      </c>
      <c r="L433" s="8">
        <f>D433*N433</f>
        <v>0</v>
      </c>
      <c r="N433" s="8">
        <f>IF(E433="HUF", 1, IFERROR(VLOOKUP(A433&amp;E433, '91_Data_ExRates'!A:D, 4, FALSE), 1))</f>
        <v>0</v>
      </c>
    </row>
    <row r="434" spans="1:14">
      <c r="A434" t="s">
        <v>269</v>
      </c>
      <c r="B434" t="s">
        <v>381</v>
      </c>
      <c r="C434" t="s">
        <v>385</v>
      </c>
      <c r="D434">
        <v>2000</v>
      </c>
      <c r="E434" t="s">
        <v>396</v>
      </c>
      <c r="F434" t="s">
        <v>404</v>
      </c>
      <c r="I434" t="s">
        <v>417</v>
      </c>
      <c r="J434" t="s">
        <v>774</v>
      </c>
      <c r="K434" t="s">
        <v>1335</v>
      </c>
      <c r="L434" s="8">
        <f>D434*N434</f>
        <v>0</v>
      </c>
      <c r="N434" s="8">
        <f>IF(E434="HUF", 1, IFERROR(VLOOKUP(A434&amp;E434, '91_Data_ExRates'!A:D, 4, FALSE), 1))</f>
        <v>0</v>
      </c>
    </row>
    <row r="435" spans="1:14">
      <c r="A435" t="s">
        <v>269</v>
      </c>
      <c r="B435" t="s">
        <v>381</v>
      </c>
      <c r="C435" t="s">
        <v>384</v>
      </c>
      <c r="D435">
        <v>4500</v>
      </c>
      <c r="E435" t="s">
        <v>396</v>
      </c>
      <c r="F435" t="s">
        <v>403</v>
      </c>
      <c r="I435" t="s">
        <v>417</v>
      </c>
      <c r="J435" t="s">
        <v>775</v>
      </c>
      <c r="K435" t="s">
        <v>1336</v>
      </c>
      <c r="L435" s="8">
        <f>D435*N435</f>
        <v>0</v>
      </c>
      <c r="N435" s="8">
        <f>IF(E435="HUF", 1, IFERROR(VLOOKUP(A435&amp;E435, '91_Data_ExRates'!A:D, 4, FALSE), 1))</f>
        <v>0</v>
      </c>
    </row>
    <row r="436" spans="1:14">
      <c r="A436" t="s">
        <v>270</v>
      </c>
      <c r="B436" t="s">
        <v>381</v>
      </c>
      <c r="C436" t="s">
        <v>384</v>
      </c>
      <c r="D436">
        <v>1660</v>
      </c>
      <c r="E436" t="s">
        <v>396</v>
      </c>
      <c r="F436" t="s">
        <v>401</v>
      </c>
      <c r="I436" t="s">
        <v>417</v>
      </c>
      <c r="J436" t="s">
        <v>776</v>
      </c>
      <c r="K436" t="s">
        <v>1337</v>
      </c>
      <c r="L436" s="8">
        <f>D436*N436</f>
        <v>0</v>
      </c>
      <c r="N436" s="8">
        <f>IF(E436="HUF", 1, IFERROR(VLOOKUP(A436&amp;E436, '91_Data_ExRates'!A:D, 4, FALSE), 1))</f>
        <v>0</v>
      </c>
    </row>
    <row r="437" spans="1:14">
      <c r="A437" t="s">
        <v>271</v>
      </c>
      <c r="B437" t="s">
        <v>381</v>
      </c>
      <c r="C437" t="s">
        <v>384</v>
      </c>
      <c r="D437">
        <v>1890</v>
      </c>
      <c r="E437" t="s">
        <v>396</v>
      </c>
      <c r="F437" t="s">
        <v>402</v>
      </c>
      <c r="I437" t="s">
        <v>417</v>
      </c>
      <c r="J437" t="s">
        <v>604</v>
      </c>
      <c r="K437" t="s">
        <v>1338</v>
      </c>
      <c r="L437" s="8">
        <f>D437*N437</f>
        <v>0</v>
      </c>
      <c r="N437" s="8">
        <f>IF(E437="HUF", 1, IFERROR(VLOOKUP(A437&amp;E437, '91_Data_ExRates'!A:D, 4, FALSE), 1))</f>
        <v>0</v>
      </c>
    </row>
    <row r="438" spans="1:14">
      <c r="A438" t="s">
        <v>272</v>
      </c>
      <c r="B438" t="s">
        <v>381</v>
      </c>
      <c r="C438" t="s">
        <v>384</v>
      </c>
      <c r="D438">
        <v>500</v>
      </c>
      <c r="E438" t="s">
        <v>396</v>
      </c>
      <c r="F438" t="s">
        <v>402</v>
      </c>
      <c r="I438" t="s">
        <v>417</v>
      </c>
      <c r="J438" t="s">
        <v>765</v>
      </c>
      <c r="K438" t="s">
        <v>1339</v>
      </c>
      <c r="L438" s="8">
        <f>D438*N438</f>
        <v>0</v>
      </c>
      <c r="N438" s="8">
        <f>IF(E438="HUF", 1, IFERROR(VLOOKUP(A438&amp;E438, '91_Data_ExRates'!A:D, 4, FALSE), 1))</f>
        <v>0</v>
      </c>
    </row>
    <row r="439" spans="1:14">
      <c r="A439" t="s">
        <v>273</v>
      </c>
      <c r="B439" t="s">
        <v>381</v>
      </c>
      <c r="C439" t="s">
        <v>385</v>
      </c>
      <c r="D439">
        <v>1400</v>
      </c>
      <c r="E439" t="s">
        <v>396</v>
      </c>
      <c r="F439" t="s">
        <v>404</v>
      </c>
      <c r="I439" t="s">
        <v>417</v>
      </c>
      <c r="J439" t="s">
        <v>777</v>
      </c>
      <c r="K439" t="s">
        <v>1340</v>
      </c>
      <c r="L439" s="8">
        <f>D439*N439</f>
        <v>0</v>
      </c>
      <c r="N439" s="8">
        <f>IF(E439="HUF", 1, IFERROR(VLOOKUP(A439&amp;E439, '91_Data_ExRates'!A:D, 4, FALSE), 1))</f>
        <v>0</v>
      </c>
    </row>
    <row r="440" spans="1:14">
      <c r="A440" t="s">
        <v>273</v>
      </c>
      <c r="B440" t="s">
        <v>381</v>
      </c>
      <c r="C440" t="s">
        <v>385</v>
      </c>
      <c r="D440">
        <v>1700</v>
      </c>
      <c r="E440" t="s">
        <v>396</v>
      </c>
      <c r="F440" t="s">
        <v>403</v>
      </c>
      <c r="I440" t="s">
        <v>417</v>
      </c>
      <c r="J440" t="s">
        <v>778</v>
      </c>
      <c r="K440" t="s">
        <v>1341</v>
      </c>
      <c r="L440" s="8">
        <f>D440*N440</f>
        <v>0</v>
      </c>
      <c r="N440" s="8">
        <f>IF(E440="HUF", 1, IFERROR(VLOOKUP(A440&amp;E440, '91_Data_ExRates'!A:D, 4, FALSE), 1))</f>
        <v>0</v>
      </c>
    </row>
    <row r="441" spans="1:14">
      <c r="A441" t="s">
        <v>273</v>
      </c>
      <c r="B441" t="s">
        <v>381</v>
      </c>
      <c r="C441" t="s">
        <v>384</v>
      </c>
      <c r="D441">
        <v>2090</v>
      </c>
      <c r="E441" t="s">
        <v>396</v>
      </c>
      <c r="F441" t="s">
        <v>403</v>
      </c>
      <c r="I441" t="s">
        <v>417</v>
      </c>
      <c r="J441" t="s">
        <v>779</v>
      </c>
      <c r="K441" t="s">
        <v>1342</v>
      </c>
      <c r="L441" s="8">
        <f>D441*N441</f>
        <v>0</v>
      </c>
      <c r="N441" s="8">
        <f>IF(E441="HUF", 1, IFERROR(VLOOKUP(A441&amp;E441, '91_Data_ExRates'!A:D, 4, FALSE), 1))</f>
        <v>0</v>
      </c>
    </row>
    <row r="442" spans="1:14">
      <c r="A442" t="s">
        <v>273</v>
      </c>
      <c r="B442" t="s">
        <v>381</v>
      </c>
      <c r="C442" t="s">
        <v>385</v>
      </c>
      <c r="D442">
        <v>2500</v>
      </c>
      <c r="E442" t="s">
        <v>396</v>
      </c>
      <c r="F442" t="s">
        <v>404</v>
      </c>
      <c r="I442" t="s">
        <v>417</v>
      </c>
      <c r="J442" t="s">
        <v>780</v>
      </c>
      <c r="K442" t="s">
        <v>1343</v>
      </c>
      <c r="L442" s="8">
        <f>D442*N442</f>
        <v>0</v>
      </c>
      <c r="N442" s="8">
        <f>IF(E442="HUF", 1, IFERROR(VLOOKUP(A442&amp;E442, '91_Data_ExRates'!A:D, 4, FALSE), 1))</f>
        <v>0</v>
      </c>
    </row>
    <row r="443" spans="1:14">
      <c r="A443" t="s">
        <v>273</v>
      </c>
      <c r="B443" t="s">
        <v>381</v>
      </c>
      <c r="C443" t="s">
        <v>385</v>
      </c>
      <c r="D443">
        <v>1500</v>
      </c>
      <c r="E443" t="s">
        <v>396</v>
      </c>
      <c r="F443" t="s">
        <v>404</v>
      </c>
      <c r="I443" t="s">
        <v>417</v>
      </c>
      <c r="J443" t="s">
        <v>781</v>
      </c>
      <c r="K443" t="s">
        <v>1344</v>
      </c>
      <c r="L443" s="8">
        <f>D443*N443</f>
        <v>0</v>
      </c>
      <c r="N443" s="8">
        <f>IF(E443="HUF", 1, IFERROR(VLOOKUP(A443&amp;E443, '91_Data_ExRates'!A:D, 4, FALSE), 1))</f>
        <v>0</v>
      </c>
    </row>
    <row r="444" spans="1:14">
      <c r="A444" t="s">
        <v>274</v>
      </c>
      <c r="B444" t="s">
        <v>381</v>
      </c>
      <c r="C444" t="s">
        <v>384</v>
      </c>
      <c r="D444">
        <v>6978</v>
      </c>
      <c r="E444" t="s">
        <v>396</v>
      </c>
      <c r="F444" t="s">
        <v>401</v>
      </c>
      <c r="I444" t="s">
        <v>417</v>
      </c>
      <c r="J444" t="s">
        <v>782</v>
      </c>
      <c r="K444" t="s">
        <v>1345</v>
      </c>
      <c r="L444" s="8">
        <f>D444*N444</f>
        <v>0</v>
      </c>
      <c r="N444" s="8">
        <f>IF(E444="HUF", 1, IFERROR(VLOOKUP(A444&amp;E444, '91_Data_ExRates'!A:D, 4, FALSE), 1))</f>
        <v>0</v>
      </c>
    </row>
    <row r="445" spans="1:14">
      <c r="A445" t="s">
        <v>275</v>
      </c>
      <c r="B445" t="s">
        <v>381</v>
      </c>
      <c r="C445" t="s">
        <v>384</v>
      </c>
      <c r="D445">
        <v>1500</v>
      </c>
      <c r="E445" t="s">
        <v>396</v>
      </c>
      <c r="F445" t="s">
        <v>401</v>
      </c>
      <c r="I445" t="s">
        <v>417</v>
      </c>
      <c r="J445" t="s">
        <v>783</v>
      </c>
      <c r="K445" t="s">
        <v>1346</v>
      </c>
      <c r="L445" s="8">
        <f>D445*N445</f>
        <v>0</v>
      </c>
      <c r="N445" s="8">
        <f>IF(E445="HUF", 1, IFERROR(VLOOKUP(A445&amp;E445, '91_Data_ExRates'!A:D, 4, FALSE), 1))</f>
        <v>0</v>
      </c>
    </row>
    <row r="446" spans="1:14">
      <c r="A446" t="s">
        <v>276</v>
      </c>
      <c r="B446" t="s">
        <v>382</v>
      </c>
      <c r="C446" t="s">
        <v>385</v>
      </c>
      <c r="D446">
        <v>50000</v>
      </c>
      <c r="E446" t="s">
        <v>396</v>
      </c>
      <c r="F446" t="s">
        <v>401</v>
      </c>
      <c r="I446" t="s">
        <v>417</v>
      </c>
      <c r="J446" t="s">
        <v>784</v>
      </c>
      <c r="K446" t="s">
        <v>1347</v>
      </c>
      <c r="L446" s="8">
        <f>D446*N446</f>
        <v>0</v>
      </c>
      <c r="N446" s="8">
        <f>IF(E446="HUF", 1, IFERROR(VLOOKUP(A446&amp;E446, '91_Data_ExRates'!A:D, 4, FALSE), 1))</f>
        <v>0</v>
      </c>
    </row>
    <row r="447" spans="1:14">
      <c r="A447" t="s">
        <v>277</v>
      </c>
      <c r="B447" t="s">
        <v>382</v>
      </c>
      <c r="C447" t="s">
        <v>385</v>
      </c>
      <c r="D447">
        <v>40000</v>
      </c>
      <c r="E447" t="s">
        <v>396</v>
      </c>
      <c r="F447" t="s">
        <v>401</v>
      </c>
      <c r="I447" t="s">
        <v>417</v>
      </c>
      <c r="J447" t="s">
        <v>633</v>
      </c>
      <c r="K447" t="s">
        <v>1348</v>
      </c>
      <c r="L447" s="8">
        <f>D447*N447</f>
        <v>0</v>
      </c>
      <c r="N447" s="8">
        <f>IF(E447="HUF", 1, IFERROR(VLOOKUP(A447&amp;E447, '91_Data_ExRates'!A:D, 4, FALSE), 1))</f>
        <v>0</v>
      </c>
    </row>
    <row r="448" spans="1:14">
      <c r="A448" t="s">
        <v>277</v>
      </c>
      <c r="B448" t="s">
        <v>381</v>
      </c>
      <c r="C448" t="s">
        <v>385</v>
      </c>
      <c r="D448">
        <v>3200</v>
      </c>
      <c r="E448" t="s">
        <v>396</v>
      </c>
      <c r="F448" t="s">
        <v>403</v>
      </c>
      <c r="I448" t="s">
        <v>417</v>
      </c>
      <c r="J448" t="s">
        <v>785</v>
      </c>
      <c r="K448" t="s">
        <v>1349</v>
      </c>
      <c r="L448" s="8">
        <f>D448*N448</f>
        <v>0</v>
      </c>
      <c r="N448" s="8">
        <f>IF(E448="HUF", 1, IFERROR(VLOOKUP(A448&amp;E448, '91_Data_ExRates'!A:D, 4, FALSE), 1))</f>
        <v>0</v>
      </c>
    </row>
    <row r="449" spans="1:14">
      <c r="A449" t="s">
        <v>278</v>
      </c>
      <c r="B449" t="s">
        <v>381</v>
      </c>
      <c r="C449" t="s">
        <v>385</v>
      </c>
      <c r="D449">
        <v>4230</v>
      </c>
      <c r="E449" t="s">
        <v>396</v>
      </c>
      <c r="F449" t="s">
        <v>403</v>
      </c>
      <c r="I449" t="s">
        <v>417</v>
      </c>
      <c r="J449" t="s">
        <v>786</v>
      </c>
      <c r="K449" t="s">
        <v>1350</v>
      </c>
      <c r="L449" s="8">
        <f>D449*N449</f>
        <v>0</v>
      </c>
      <c r="N449" s="8">
        <f>IF(E449="HUF", 1, IFERROR(VLOOKUP(A449&amp;E449, '91_Data_ExRates'!A:D, 4, FALSE), 1))</f>
        <v>0</v>
      </c>
    </row>
    <row r="450" spans="1:14">
      <c r="A450" t="s">
        <v>278</v>
      </c>
      <c r="B450" t="s">
        <v>381</v>
      </c>
      <c r="C450" t="s">
        <v>385</v>
      </c>
      <c r="D450">
        <v>2820</v>
      </c>
      <c r="E450" t="s">
        <v>396</v>
      </c>
      <c r="F450" t="s">
        <v>403</v>
      </c>
      <c r="I450" t="s">
        <v>417</v>
      </c>
      <c r="J450" t="s">
        <v>787</v>
      </c>
      <c r="K450" t="s">
        <v>1351</v>
      </c>
      <c r="L450" s="8">
        <f>D450*N450</f>
        <v>0</v>
      </c>
      <c r="N450" s="8">
        <f>IF(E450="HUF", 1, IFERROR(VLOOKUP(A450&amp;E450, '91_Data_ExRates'!A:D, 4, FALSE), 1))</f>
        <v>0</v>
      </c>
    </row>
    <row r="451" spans="1:14">
      <c r="A451" t="s">
        <v>279</v>
      </c>
      <c r="B451" t="s">
        <v>381</v>
      </c>
      <c r="C451" t="s">
        <v>384</v>
      </c>
      <c r="D451">
        <v>2400</v>
      </c>
      <c r="E451" t="s">
        <v>396</v>
      </c>
      <c r="F451" t="s">
        <v>403</v>
      </c>
      <c r="I451" t="s">
        <v>417</v>
      </c>
      <c r="J451" t="s">
        <v>788</v>
      </c>
      <c r="K451" t="s">
        <v>1352</v>
      </c>
      <c r="L451" s="8">
        <f>D451*N451</f>
        <v>0</v>
      </c>
      <c r="N451" s="8">
        <f>IF(E451="HUF", 1, IFERROR(VLOOKUP(A451&amp;E451, '91_Data_ExRates'!A:D, 4, FALSE), 1))</f>
        <v>0</v>
      </c>
    </row>
    <row r="452" spans="1:14">
      <c r="A452" t="s">
        <v>280</v>
      </c>
      <c r="B452" t="s">
        <v>381</v>
      </c>
      <c r="C452" t="s">
        <v>385</v>
      </c>
      <c r="D452">
        <v>1100</v>
      </c>
      <c r="E452" t="s">
        <v>396</v>
      </c>
      <c r="F452" t="s">
        <v>404</v>
      </c>
      <c r="I452" t="s">
        <v>417</v>
      </c>
      <c r="J452" t="s">
        <v>789</v>
      </c>
      <c r="K452" t="s">
        <v>1353</v>
      </c>
      <c r="L452" s="8">
        <f>D452*N452</f>
        <v>0</v>
      </c>
      <c r="N452" s="8">
        <f>IF(E452="HUF", 1, IFERROR(VLOOKUP(A452&amp;E452, '91_Data_ExRates'!A:D, 4, FALSE), 1))</f>
        <v>0</v>
      </c>
    </row>
    <row r="453" spans="1:14">
      <c r="A453" t="s">
        <v>280</v>
      </c>
      <c r="B453" t="s">
        <v>381</v>
      </c>
      <c r="C453" t="s">
        <v>385</v>
      </c>
      <c r="D453">
        <v>1400</v>
      </c>
      <c r="E453" t="s">
        <v>396</v>
      </c>
      <c r="F453" t="s">
        <v>404</v>
      </c>
      <c r="I453" t="s">
        <v>417</v>
      </c>
      <c r="J453" t="s">
        <v>790</v>
      </c>
      <c r="K453" t="s">
        <v>1354</v>
      </c>
      <c r="L453" s="8">
        <f>D453*N453</f>
        <v>0</v>
      </c>
      <c r="N453" s="8">
        <f>IF(E453="HUF", 1, IFERROR(VLOOKUP(A453&amp;E453, '91_Data_ExRates'!A:D, 4, FALSE), 1))</f>
        <v>0</v>
      </c>
    </row>
    <row r="454" spans="1:14">
      <c r="A454" t="s">
        <v>281</v>
      </c>
      <c r="B454" t="s">
        <v>381</v>
      </c>
      <c r="C454" t="s">
        <v>384</v>
      </c>
      <c r="D454">
        <v>1890</v>
      </c>
      <c r="E454" t="s">
        <v>396</v>
      </c>
      <c r="F454" t="s">
        <v>402</v>
      </c>
      <c r="I454" t="s">
        <v>417</v>
      </c>
      <c r="J454" t="s">
        <v>604</v>
      </c>
      <c r="K454" t="s">
        <v>1355</v>
      </c>
      <c r="L454" s="8">
        <f>D454*N454</f>
        <v>0</v>
      </c>
      <c r="N454" s="8">
        <f>IF(E454="HUF", 1, IFERROR(VLOOKUP(A454&amp;E454, '91_Data_ExRates'!A:D, 4, FALSE), 1))</f>
        <v>0</v>
      </c>
    </row>
    <row r="455" spans="1:14">
      <c r="A455" t="s">
        <v>282</v>
      </c>
      <c r="B455" t="s">
        <v>381</v>
      </c>
      <c r="C455" t="s">
        <v>384</v>
      </c>
      <c r="D455">
        <v>3200</v>
      </c>
      <c r="E455" t="s">
        <v>396</v>
      </c>
      <c r="F455" t="s">
        <v>403</v>
      </c>
      <c r="I455" t="s">
        <v>417</v>
      </c>
      <c r="J455" t="s">
        <v>791</v>
      </c>
      <c r="K455" t="s">
        <v>1356</v>
      </c>
      <c r="L455" s="8">
        <f>D455*N455</f>
        <v>0</v>
      </c>
      <c r="N455" s="8">
        <f>IF(E455="HUF", 1, IFERROR(VLOOKUP(A455&amp;E455, '91_Data_ExRates'!A:D, 4, FALSE), 1))</f>
        <v>0</v>
      </c>
    </row>
    <row r="456" spans="1:14">
      <c r="A456" t="s">
        <v>282</v>
      </c>
      <c r="B456" t="s">
        <v>383</v>
      </c>
      <c r="C456" t="s">
        <v>385</v>
      </c>
      <c r="D456">
        <v>500000</v>
      </c>
      <c r="E456" t="s">
        <v>396</v>
      </c>
      <c r="I456" t="s">
        <v>417</v>
      </c>
      <c r="K456" t="s">
        <v>1357</v>
      </c>
      <c r="L456" s="8">
        <f>D456*N456</f>
        <v>0</v>
      </c>
      <c r="N456" s="8">
        <f>IF(E456="HUF", 1, IFERROR(VLOOKUP(A456&amp;E456, '91_Data_ExRates'!A:D, 4, FALSE), 1))</f>
        <v>0</v>
      </c>
    </row>
    <row r="457" spans="1:14">
      <c r="A457" t="s">
        <v>283</v>
      </c>
      <c r="B457" t="s">
        <v>381</v>
      </c>
      <c r="C457" t="s">
        <v>384</v>
      </c>
      <c r="D457">
        <v>2800</v>
      </c>
      <c r="E457" t="s">
        <v>396</v>
      </c>
      <c r="F457" t="s">
        <v>403</v>
      </c>
      <c r="I457" t="s">
        <v>417</v>
      </c>
      <c r="J457" t="s">
        <v>792</v>
      </c>
      <c r="K457" t="s">
        <v>1358</v>
      </c>
      <c r="L457" s="8">
        <f>D457*N457</f>
        <v>0</v>
      </c>
      <c r="N457" s="8">
        <f>IF(E457="HUF", 1, IFERROR(VLOOKUP(A457&amp;E457, '91_Data_ExRates'!A:D, 4, FALSE), 1))</f>
        <v>0</v>
      </c>
    </row>
    <row r="458" spans="1:14">
      <c r="A458" t="s">
        <v>283</v>
      </c>
      <c r="B458" t="s">
        <v>381</v>
      </c>
      <c r="C458" t="s">
        <v>384</v>
      </c>
      <c r="D458">
        <v>1200</v>
      </c>
      <c r="E458" t="s">
        <v>396</v>
      </c>
      <c r="F458" t="s">
        <v>404</v>
      </c>
      <c r="I458" t="s">
        <v>417</v>
      </c>
      <c r="J458" t="s">
        <v>793</v>
      </c>
      <c r="K458" t="s">
        <v>1359</v>
      </c>
      <c r="L458" s="8">
        <f>D458*N458</f>
        <v>0</v>
      </c>
      <c r="N458" s="8">
        <f>IF(E458="HUF", 1, IFERROR(VLOOKUP(A458&amp;E458, '91_Data_ExRates'!A:D, 4, FALSE), 1))</f>
        <v>0</v>
      </c>
    </row>
    <row r="459" spans="1:14">
      <c r="A459" t="s">
        <v>284</v>
      </c>
      <c r="B459" t="s">
        <v>383</v>
      </c>
      <c r="C459" t="s">
        <v>384</v>
      </c>
      <c r="D459">
        <v>500000</v>
      </c>
      <c r="E459" t="s">
        <v>396</v>
      </c>
      <c r="I459" t="s">
        <v>417</v>
      </c>
      <c r="J459" t="s">
        <v>794</v>
      </c>
      <c r="K459" t="s">
        <v>1360</v>
      </c>
      <c r="L459" s="8">
        <f>D459*N459</f>
        <v>0</v>
      </c>
      <c r="N459" s="8">
        <f>IF(E459="HUF", 1, IFERROR(VLOOKUP(A459&amp;E459, '91_Data_ExRates'!A:D, 4, FALSE), 1))</f>
        <v>0</v>
      </c>
    </row>
    <row r="460" spans="1:14">
      <c r="A460" t="s">
        <v>285</v>
      </c>
      <c r="B460" t="s">
        <v>381</v>
      </c>
      <c r="C460" t="s">
        <v>385</v>
      </c>
      <c r="D460">
        <v>6600</v>
      </c>
      <c r="E460" t="s">
        <v>396</v>
      </c>
      <c r="F460" t="s">
        <v>404</v>
      </c>
      <c r="I460" t="s">
        <v>417</v>
      </c>
      <c r="J460" t="s">
        <v>795</v>
      </c>
      <c r="K460" t="s">
        <v>1361</v>
      </c>
      <c r="L460" s="8">
        <f>D460*N460</f>
        <v>0</v>
      </c>
      <c r="N460" s="8">
        <f>IF(E460="HUF", 1, IFERROR(VLOOKUP(A460&amp;E460, '91_Data_ExRates'!A:D, 4, FALSE), 1))</f>
        <v>0</v>
      </c>
    </row>
    <row r="461" spans="1:14">
      <c r="A461" t="s">
        <v>286</v>
      </c>
      <c r="B461" t="s">
        <v>381</v>
      </c>
      <c r="C461" t="s">
        <v>384</v>
      </c>
      <c r="D461">
        <v>1200</v>
      </c>
      <c r="E461" t="s">
        <v>396</v>
      </c>
      <c r="F461" t="s">
        <v>404</v>
      </c>
      <c r="I461" t="s">
        <v>417</v>
      </c>
      <c r="J461" t="s">
        <v>796</v>
      </c>
      <c r="K461" t="s">
        <v>1362</v>
      </c>
      <c r="L461" s="8">
        <f>D461*N461</f>
        <v>0</v>
      </c>
      <c r="N461" s="8">
        <f>IF(E461="HUF", 1, IFERROR(VLOOKUP(A461&amp;E461, '91_Data_ExRates'!A:D, 4, FALSE), 1))</f>
        <v>0</v>
      </c>
    </row>
    <row r="462" spans="1:14">
      <c r="A462" t="s">
        <v>286</v>
      </c>
      <c r="B462" t="s">
        <v>381</v>
      </c>
      <c r="C462" t="s">
        <v>385</v>
      </c>
      <c r="D462">
        <v>4400</v>
      </c>
      <c r="E462" t="s">
        <v>396</v>
      </c>
      <c r="F462" t="s">
        <v>403</v>
      </c>
      <c r="I462" t="s">
        <v>417</v>
      </c>
      <c r="J462" t="s">
        <v>797</v>
      </c>
      <c r="K462" t="s">
        <v>1363</v>
      </c>
      <c r="L462" s="8">
        <f>D462*N462</f>
        <v>0</v>
      </c>
      <c r="N462" s="8">
        <f>IF(E462="HUF", 1, IFERROR(VLOOKUP(A462&amp;E462, '91_Data_ExRates'!A:D, 4, FALSE), 1))</f>
        <v>0</v>
      </c>
    </row>
    <row r="463" spans="1:14">
      <c r="A463" t="s">
        <v>287</v>
      </c>
      <c r="B463" t="s">
        <v>383</v>
      </c>
      <c r="C463" t="s">
        <v>393</v>
      </c>
      <c r="D463">
        <v>2040</v>
      </c>
      <c r="E463" t="s">
        <v>397</v>
      </c>
      <c r="I463" t="s">
        <v>417</v>
      </c>
      <c r="K463" t="s">
        <v>1364</v>
      </c>
      <c r="L463" s="8">
        <f>D463*N463</f>
        <v>0</v>
      </c>
      <c r="N463" s="8">
        <f>IF(E463="HUF", 1, IFERROR(VLOOKUP(A463&amp;E463, '91_Data_ExRates'!A:D, 4, FALSE), 1))</f>
        <v>0</v>
      </c>
    </row>
    <row r="464" spans="1:14">
      <c r="A464" t="s">
        <v>288</v>
      </c>
      <c r="B464" t="s">
        <v>383</v>
      </c>
      <c r="C464" t="s">
        <v>394</v>
      </c>
      <c r="D464">
        <v>2379</v>
      </c>
      <c r="E464" t="s">
        <v>399</v>
      </c>
      <c r="I464" t="s">
        <v>417</v>
      </c>
      <c r="K464" t="s">
        <v>1365</v>
      </c>
      <c r="L464" s="8">
        <f>D464*N464</f>
        <v>0</v>
      </c>
      <c r="N464" s="8">
        <f>IF(E464="HUF", 1, IFERROR(VLOOKUP(A464&amp;E464, '91_Data_ExRates'!A:D, 4, FALSE), 1))</f>
        <v>0</v>
      </c>
    </row>
    <row r="465" spans="1:14">
      <c r="A465" t="s">
        <v>289</v>
      </c>
      <c r="B465" t="s">
        <v>381</v>
      </c>
      <c r="C465" t="s">
        <v>384</v>
      </c>
      <c r="D465">
        <v>5990</v>
      </c>
      <c r="E465" t="s">
        <v>396</v>
      </c>
      <c r="F465" t="s">
        <v>401</v>
      </c>
      <c r="I465" t="s">
        <v>417</v>
      </c>
      <c r="J465" t="s">
        <v>798</v>
      </c>
      <c r="K465" t="s">
        <v>1366</v>
      </c>
      <c r="L465" s="8">
        <f>D465*N465</f>
        <v>0</v>
      </c>
      <c r="N465" s="8">
        <f>IF(E465="HUF", 1, IFERROR(VLOOKUP(A465&amp;E465, '91_Data_ExRates'!A:D, 4, FALSE), 1))</f>
        <v>0</v>
      </c>
    </row>
    <row r="466" spans="1:14">
      <c r="A466" t="s">
        <v>290</v>
      </c>
      <c r="B466" t="s">
        <v>382</v>
      </c>
      <c r="C466" t="s">
        <v>385</v>
      </c>
      <c r="D466">
        <v>250000</v>
      </c>
      <c r="E466" t="s">
        <v>396</v>
      </c>
      <c r="F466" t="s">
        <v>401</v>
      </c>
      <c r="I466" t="s">
        <v>417</v>
      </c>
      <c r="J466" t="s">
        <v>657</v>
      </c>
      <c r="K466" t="s">
        <v>1367</v>
      </c>
      <c r="L466" s="8">
        <f>D466*N466</f>
        <v>0</v>
      </c>
      <c r="N466" s="8">
        <f>IF(E466="HUF", 1, IFERROR(VLOOKUP(A466&amp;E466, '91_Data_ExRates'!A:D, 4, FALSE), 1))</f>
        <v>0</v>
      </c>
    </row>
    <row r="467" spans="1:14">
      <c r="A467" t="s">
        <v>290</v>
      </c>
      <c r="B467" t="s">
        <v>381</v>
      </c>
      <c r="C467" t="s">
        <v>385</v>
      </c>
      <c r="D467">
        <v>5500</v>
      </c>
      <c r="E467" t="s">
        <v>396</v>
      </c>
      <c r="F467" t="s">
        <v>404</v>
      </c>
      <c r="I467" t="s">
        <v>417</v>
      </c>
      <c r="J467" t="s">
        <v>799</v>
      </c>
      <c r="K467" t="s">
        <v>1368</v>
      </c>
      <c r="L467" s="8">
        <f>D467*N467</f>
        <v>0</v>
      </c>
      <c r="N467" s="8">
        <f>IF(E467="HUF", 1, IFERROR(VLOOKUP(A467&amp;E467, '91_Data_ExRates'!A:D, 4, FALSE), 1))</f>
        <v>0</v>
      </c>
    </row>
    <row r="468" spans="1:14">
      <c r="A468" t="s">
        <v>291</v>
      </c>
      <c r="B468" t="s">
        <v>381</v>
      </c>
      <c r="C468" t="s">
        <v>384</v>
      </c>
      <c r="D468">
        <v>2900</v>
      </c>
      <c r="E468" t="s">
        <v>396</v>
      </c>
      <c r="F468" t="s">
        <v>410</v>
      </c>
      <c r="I468" t="s">
        <v>417</v>
      </c>
      <c r="J468" t="s">
        <v>800</v>
      </c>
      <c r="K468" t="s">
        <v>1369</v>
      </c>
      <c r="L468" s="8">
        <f>D468*N468</f>
        <v>0</v>
      </c>
      <c r="N468" s="8">
        <f>IF(E468="HUF", 1, IFERROR(VLOOKUP(A468&amp;E468, '91_Data_ExRates'!A:D, 4, FALSE), 1))</f>
        <v>0</v>
      </c>
    </row>
    <row r="469" spans="1:14">
      <c r="A469" t="s">
        <v>292</v>
      </c>
      <c r="B469" t="s">
        <v>381</v>
      </c>
      <c r="C469" t="s">
        <v>384</v>
      </c>
      <c r="D469">
        <v>1890</v>
      </c>
      <c r="E469" t="s">
        <v>396</v>
      </c>
      <c r="F469" t="s">
        <v>402</v>
      </c>
      <c r="I469" t="s">
        <v>417</v>
      </c>
      <c r="J469" t="s">
        <v>604</v>
      </c>
      <c r="K469" t="s">
        <v>1370</v>
      </c>
      <c r="L469" s="8">
        <f>D469*N469</f>
        <v>0</v>
      </c>
      <c r="N469" s="8">
        <f>IF(E469="HUF", 1, IFERROR(VLOOKUP(A469&amp;E469, '91_Data_ExRates'!A:D, 4, FALSE), 1))</f>
        <v>0</v>
      </c>
    </row>
    <row r="470" spans="1:14">
      <c r="A470" t="s">
        <v>293</v>
      </c>
      <c r="B470" t="s">
        <v>381</v>
      </c>
      <c r="C470" t="s">
        <v>384</v>
      </c>
      <c r="D470">
        <v>552</v>
      </c>
      <c r="E470" t="s">
        <v>396</v>
      </c>
      <c r="F470" t="s">
        <v>401</v>
      </c>
      <c r="I470" t="s">
        <v>417</v>
      </c>
      <c r="J470" t="s">
        <v>801</v>
      </c>
      <c r="K470" t="s">
        <v>1371</v>
      </c>
      <c r="L470" s="8">
        <f>D470*N470</f>
        <v>0</v>
      </c>
      <c r="N470" s="8">
        <f>IF(E470="HUF", 1, IFERROR(VLOOKUP(A470&amp;E470, '91_Data_ExRates'!A:D, 4, FALSE), 1))</f>
        <v>0</v>
      </c>
    </row>
    <row r="471" spans="1:14">
      <c r="A471" t="s">
        <v>294</v>
      </c>
      <c r="B471" t="s">
        <v>381</v>
      </c>
      <c r="C471" t="s">
        <v>384</v>
      </c>
      <c r="D471">
        <v>2100</v>
      </c>
      <c r="E471" t="s">
        <v>396</v>
      </c>
      <c r="F471" t="s">
        <v>406</v>
      </c>
      <c r="I471" t="s">
        <v>417</v>
      </c>
      <c r="J471" t="s">
        <v>802</v>
      </c>
      <c r="K471" t="s">
        <v>1372</v>
      </c>
      <c r="L471" s="8">
        <f>D471*N471</f>
        <v>0</v>
      </c>
      <c r="N471" s="8">
        <f>IF(E471="HUF", 1, IFERROR(VLOOKUP(A471&amp;E471, '91_Data_ExRates'!A:D, 4, FALSE), 1))</f>
        <v>0</v>
      </c>
    </row>
    <row r="472" spans="1:14">
      <c r="A472" t="s">
        <v>295</v>
      </c>
      <c r="B472" t="s">
        <v>381</v>
      </c>
      <c r="C472" t="s">
        <v>384</v>
      </c>
      <c r="D472">
        <v>3554</v>
      </c>
      <c r="E472" t="s">
        <v>396</v>
      </c>
      <c r="F472" t="s">
        <v>404</v>
      </c>
      <c r="I472" t="s">
        <v>417</v>
      </c>
      <c r="J472" t="s">
        <v>803</v>
      </c>
      <c r="K472" t="s">
        <v>1373</v>
      </c>
      <c r="L472" s="8">
        <f>D472*N472</f>
        <v>0</v>
      </c>
      <c r="N472" s="8">
        <f>IF(E472="HUF", 1, IFERROR(VLOOKUP(A472&amp;E472, '91_Data_ExRates'!A:D, 4, FALSE), 1))</f>
        <v>0</v>
      </c>
    </row>
    <row r="473" spans="1:14">
      <c r="A473" t="s">
        <v>296</v>
      </c>
      <c r="B473" t="s">
        <v>381</v>
      </c>
      <c r="C473" t="s">
        <v>385</v>
      </c>
      <c r="D473">
        <v>2050</v>
      </c>
      <c r="E473" t="s">
        <v>396</v>
      </c>
      <c r="F473" t="s">
        <v>403</v>
      </c>
      <c r="I473" t="s">
        <v>417</v>
      </c>
      <c r="J473" t="s">
        <v>474</v>
      </c>
      <c r="K473" t="s">
        <v>1374</v>
      </c>
      <c r="L473" s="8">
        <f>D473*N473</f>
        <v>0</v>
      </c>
      <c r="N473" s="8">
        <f>IF(E473="HUF", 1, IFERROR(VLOOKUP(A473&amp;E473, '91_Data_ExRates'!A:D, 4, FALSE), 1))</f>
        <v>0</v>
      </c>
    </row>
    <row r="474" spans="1:14">
      <c r="A474" t="s">
        <v>297</v>
      </c>
      <c r="B474" t="s">
        <v>381</v>
      </c>
      <c r="C474" t="s">
        <v>384</v>
      </c>
      <c r="D474">
        <v>3490</v>
      </c>
      <c r="E474" t="s">
        <v>396</v>
      </c>
      <c r="F474" t="s">
        <v>403</v>
      </c>
      <c r="I474" t="s">
        <v>417</v>
      </c>
      <c r="J474" t="s">
        <v>804</v>
      </c>
      <c r="K474" t="s">
        <v>1375</v>
      </c>
      <c r="L474" s="8">
        <f>D474*N474</f>
        <v>0</v>
      </c>
      <c r="N474" s="8">
        <f>IF(E474="HUF", 1, IFERROR(VLOOKUP(A474&amp;E474, '91_Data_ExRates'!A:D, 4, FALSE), 1))</f>
        <v>0</v>
      </c>
    </row>
    <row r="475" spans="1:14">
      <c r="A475" t="s">
        <v>298</v>
      </c>
      <c r="B475" t="s">
        <v>381</v>
      </c>
      <c r="C475" t="s">
        <v>384</v>
      </c>
      <c r="D475">
        <v>2900</v>
      </c>
      <c r="E475" t="s">
        <v>396</v>
      </c>
      <c r="F475" t="s">
        <v>410</v>
      </c>
      <c r="I475" t="s">
        <v>417</v>
      </c>
      <c r="J475" t="s">
        <v>800</v>
      </c>
      <c r="K475" t="s">
        <v>1376</v>
      </c>
      <c r="L475" s="8">
        <f>D475*N475</f>
        <v>0</v>
      </c>
      <c r="N475" s="8">
        <f>IF(E475="HUF", 1, IFERROR(VLOOKUP(A475&amp;E475, '91_Data_ExRates'!A:D, 4, FALSE), 1))</f>
        <v>0</v>
      </c>
    </row>
    <row r="476" spans="1:14">
      <c r="A476" t="s">
        <v>299</v>
      </c>
      <c r="B476" t="s">
        <v>381</v>
      </c>
      <c r="C476" t="s">
        <v>384</v>
      </c>
      <c r="D476">
        <v>1890</v>
      </c>
      <c r="E476" t="s">
        <v>396</v>
      </c>
      <c r="F476" t="s">
        <v>402</v>
      </c>
      <c r="I476" t="s">
        <v>417</v>
      </c>
      <c r="J476" t="s">
        <v>604</v>
      </c>
      <c r="K476" t="s">
        <v>1377</v>
      </c>
      <c r="L476" s="8">
        <f>D476*N476</f>
        <v>0</v>
      </c>
      <c r="N476" s="8">
        <f>IF(E476="HUF", 1, IFERROR(VLOOKUP(A476&amp;E476, '91_Data_ExRates'!A:D, 4, FALSE), 1))</f>
        <v>0</v>
      </c>
    </row>
    <row r="477" spans="1:14">
      <c r="A477" t="s">
        <v>300</v>
      </c>
      <c r="B477" t="s">
        <v>381</v>
      </c>
      <c r="C477" t="s">
        <v>384</v>
      </c>
      <c r="D477">
        <v>5360</v>
      </c>
      <c r="E477" t="s">
        <v>396</v>
      </c>
      <c r="F477" t="s">
        <v>403</v>
      </c>
      <c r="I477" t="s">
        <v>417</v>
      </c>
      <c r="J477" t="s">
        <v>805</v>
      </c>
      <c r="K477" t="s">
        <v>1378</v>
      </c>
      <c r="L477" s="8">
        <f>D477*N477</f>
        <v>0</v>
      </c>
      <c r="N477" s="8">
        <f>IF(E477="HUF", 1, IFERROR(VLOOKUP(A477&amp;E477, '91_Data_ExRates'!A:D, 4, FALSE), 1))</f>
        <v>0</v>
      </c>
    </row>
    <row r="478" spans="1:14">
      <c r="A478" t="s">
        <v>301</v>
      </c>
      <c r="B478" t="s">
        <v>381</v>
      </c>
      <c r="C478" t="s">
        <v>384</v>
      </c>
      <c r="D478">
        <v>540</v>
      </c>
      <c r="E478" t="s">
        <v>396</v>
      </c>
      <c r="F478" t="s">
        <v>403</v>
      </c>
      <c r="I478" t="s">
        <v>417</v>
      </c>
      <c r="J478" t="s">
        <v>806</v>
      </c>
      <c r="K478" t="s">
        <v>1379</v>
      </c>
      <c r="L478" s="8">
        <f>D478*N478</f>
        <v>0</v>
      </c>
      <c r="N478" s="8">
        <f>IF(E478="HUF", 1, IFERROR(VLOOKUP(A478&amp;E478, '91_Data_ExRates'!A:D, 4, FALSE), 1))</f>
        <v>0</v>
      </c>
    </row>
    <row r="479" spans="1:14">
      <c r="A479" t="s">
        <v>301</v>
      </c>
      <c r="B479" t="s">
        <v>381</v>
      </c>
      <c r="C479" t="s">
        <v>384</v>
      </c>
      <c r="D479">
        <v>1200</v>
      </c>
      <c r="E479" t="s">
        <v>396</v>
      </c>
      <c r="F479" t="s">
        <v>401</v>
      </c>
      <c r="I479" t="s">
        <v>417</v>
      </c>
      <c r="J479" t="s">
        <v>807</v>
      </c>
      <c r="K479" t="s">
        <v>1380</v>
      </c>
      <c r="L479" s="8">
        <f>D479*N479</f>
        <v>0</v>
      </c>
      <c r="N479" s="8">
        <f>IF(E479="HUF", 1, IFERROR(VLOOKUP(A479&amp;E479, '91_Data_ExRates'!A:D, 4, FALSE), 1))</f>
        <v>0</v>
      </c>
    </row>
    <row r="480" spans="1:14">
      <c r="A480" t="s">
        <v>301</v>
      </c>
      <c r="B480" t="s">
        <v>381</v>
      </c>
      <c r="C480" t="s">
        <v>385</v>
      </c>
      <c r="D480">
        <v>2100</v>
      </c>
      <c r="E480" t="s">
        <v>396</v>
      </c>
      <c r="F480" t="s">
        <v>406</v>
      </c>
      <c r="I480" t="s">
        <v>417</v>
      </c>
      <c r="J480" t="s">
        <v>770</v>
      </c>
      <c r="K480" t="s">
        <v>1381</v>
      </c>
      <c r="L480" s="8">
        <f>D480*N480</f>
        <v>0</v>
      </c>
      <c r="N480" s="8">
        <f>IF(E480="HUF", 1, IFERROR(VLOOKUP(A480&amp;E480, '91_Data_ExRates'!A:D, 4, FALSE), 1))</f>
        <v>0</v>
      </c>
    </row>
    <row r="481" spans="1:14">
      <c r="A481" t="s">
        <v>302</v>
      </c>
      <c r="B481" t="s">
        <v>381</v>
      </c>
      <c r="C481" t="s">
        <v>384</v>
      </c>
      <c r="D481">
        <v>1985</v>
      </c>
      <c r="E481" t="s">
        <v>396</v>
      </c>
      <c r="F481" t="s">
        <v>410</v>
      </c>
      <c r="I481" t="s">
        <v>417</v>
      </c>
      <c r="J481" t="s">
        <v>808</v>
      </c>
      <c r="K481" t="s">
        <v>1382</v>
      </c>
      <c r="L481" s="8">
        <f>D481*N481</f>
        <v>0</v>
      </c>
      <c r="N481" s="8">
        <f>IF(E481="HUF", 1, IFERROR(VLOOKUP(A481&amp;E481, '91_Data_ExRates'!A:D, 4, FALSE), 1))</f>
        <v>0</v>
      </c>
    </row>
    <row r="482" spans="1:14">
      <c r="A482" t="s">
        <v>303</v>
      </c>
      <c r="B482" t="s">
        <v>381</v>
      </c>
      <c r="C482" t="s">
        <v>384</v>
      </c>
      <c r="D482">
        <v>920</v>
      </c>
      <c r="E482" t="s">
        <v>396</v>
      </c>
      <c r="F482" t="s">
        <v>403</v>
      </c>
      <c r="I482" t="s">
        <v>417</v>
      </c>
      <c r="J482" t="s">
        <v>809</v>
      </c>
      <c r="K482" t="s">
        <v>1383</v>
      </c>
      <c r="L482" s="8">
        <f>D482*N482</f>
        <v>0</v>
      </c>
      <c r="N482" s="8">
        <f>IF(E482="HUF", 1, IFERROR(VLOOKUP(A482&amp;E482, '91_Data_ExRates'!A:D, 4, FALSE), 1))</f>
        <v>0</v>
      </c>
    </row>
    <row r="483" spans="1:14">
      <c r="A483" t="s">
        <v>304</v>
      </c>
      <c r="B483" t="s">
        <v>381</v>
      </c>
      <c r="C483" t="s">
        <v>384</v>
      </c>
      <c r="D483">
        <v>3000</v>
      </c>
      <c r="E483" t="s">
        <v>396</v>
      </c>
      <c r="F483" t="s">
        <v>403</v>
      </c>
      <c r="I483" t="s">
        <v>417</v>
      </c>
      <c r="J483" t="s">
        <v>810</v>
      </c>
      <c r="K483" t="s">
        <v>1384</v>
      </c>
      <c r="L483" s="8">
        <f>D483*N483</f>
        <v>0</v>
      </c>
      <c r="N483" s="8">
        <f>IF(E483="HUF", 1, IFERROR(VLOOKUP(A483&amp;E483, '91_Data_ExRates'!A:D, 4, FALSE), 1))</f>
        <v>0</v>
      </c>
    </row>
    <row r="484" spans="1:14">
      <c r="A484" t="s">
        <v>305</v>
      </c>
      <c r="B484" t="s">
        <v>381</v>
      </c>
      <c r="C484" t="s">
        <v>384</v>
      </c>
      <c r="D484">
        <v>2820</v>
      </c>
      <c r="E484" t="s">
        <v>396</v>
      </c>
      <c r="F484" t="s">
        <v>404</v>
      </c>
      <c r="I484" t="s">
        <v>417</v>
      </c>
      <c r="J484" t="s">
        <v>811</v>
      </c>
      <c r="K484" t="s">
        <v>1385</v>
      </c>
      <c r="L484" s="8">
        <f>D484*N484</f>
        <v>0</v>
      </c>
      <c r="N484" s="8">
        <f>IF(E484="HUF", 1, IFERROR(VLOOKUP(A484&amp;E484, '91_Data_ExRates'!A:D, 4, FALSE), 1))</f>
        <v>0</v>
      </c>
    </row>
    <row r="485" spans="1:14">
      <c r="A485" t="s">
        <v>306</v>
      </c>
      <c r="B485" t="s">
        <v>382</v>
      </c>
      <c r="C485" t="s">
        <v>384</v>
      </c>
      <c r="D485">
        <v>220000</v>
      </c>
      <c r="E485" t="s">
        <v>396</v>
      </c>
      <c r="F485" t="s">
        <v>412</v>
      </c>
      <c r="I485" t="s">
        <v>417</v>
      </c>
      <c r="K485" t="s">
        <v>1386</v>
      </c>
      <c r="L485" s="8">
        <f>D485*N485</f>
        <v>0</v>
      </c>
      <c r="N485" s="8">
        <f>IF(E485="HUF", 1, IFERROR(VLOOKUP(A485&amp;E485, '91_Data_ExRates'!A:D, 4, FALSE), 1))</f>
        <v>0</v>
      </c>
    </row>
    <row r="486" spans="1:14">
      <c r="A486" t="s">
        <v>307</v>
      </c>
      <c r="B486" t="s">
        <v>381</v>
      </c>
      <c r="C486" t="s">
        <v>385</v>
      </c>
      <c r="D486">
        <v>5400</v>
      </c>
      <c r="E486" t="s">
        <v>396</v>
      </c>
      <c r="F486" t="s">
        <v>403</v>
      </c>
      <c r="I486" t="s">
        <v>417</v>
      </c>
      <c r="J486" t="s">
        <v>812</v>
      </c>
      <c r="K486" t="s">
        <v>1387</v>
      </c>
      <c r="L486" s="8">
        <f>D486*N486</f>
        <v>0</v>
      </c>
      <c r="N486" s="8">
        <f>IF(E486="HUF", 1, IFERROR(VLOOKUP(A486&amp;E486, '91_Data_ExRates'!A:D, 4, FALSE), 1))</f>
        <v>0</v>
      </c>
    </row>
    <row r="487" spans="1:14">
      <c r="A487" t="s">
        <v>308</v>
      </c>
      <c r="B487" t="s">
        <v>381</v>
      </c>
      <c r="C487" t="s">
        <v>384</v>
      </c>
      <c r="D487">
        <v>3000</v>
      </c>
      <c r="E487" t="s">
        <v>396</v>
      </c>
      <c r="F487" t="s">
        <v>403</v>
      </c>
      <c r="I487" t="s">
        <v>417</v>
      </c>
      <c r="J487" t="s">
        <v>813</v>
      </c>
      <c r="K487" t="s">
        <v>1388</v>
      </c>
      <c r="L487" s="8">
        <f>D487*N487</f>
        <v>0</v>
      </c>
      <c r="N487" s="8">
        <f>IF(E487="HUF", 1, IFERROR(VLOOKUP(A487&amp;E487, '91_Data_ExRates'!A:D, 4, FALSE), 1))</f>
        <v>0</v>
      </c>
    </row>
    <row r="488" spans="1:14">
      <c r="A488" t="s">
        <v>309</v>
      </c>
      <c r="B488" t="s">
        <v>381</v>
      </c>
      <c r="C488" t="s">
        <v>384</v>
      </c>
      <c r="D488">
        <v>2000</v>
      </c>
      <c r="E488" t="s">
        <v>396</v>
      </c>
      <c r="F488" t="s">
        <v>410</v>
      </c>
      <c r="I488" t="s">
        <v>417</v>
      </c>
      <c r="J488" t="s">
        <v>814</v>
      </c>
      <c r="K488" t="s">
        <v>1389</v>
      </c>
      <c r="L488" s="8">
        <f>D488*N488</f>
        <v>0</v>
      </c>
      <c r="N488" s="8">
        <f>IF(E488="HUF", 1, IFERROR(VLOOKUP(A488&amp;E488, '91_Data_ExRates'!A:D, 4, FALSE), 1))</f>
        <v>0</v>
      </c>
    </row>
    <row r="489" spans="1:14">
      <c r="A489" t="s">
        <v>309</v>
      </c>
      <c r="B489" t="s">
        <v>381</v>
      </c>
      <c r="C489" t="s">
        <v>385</v>
      </c>
      <c r="D489">
        <v>2000</v>
      </c>
      <c r="E489" t="s">
        <v>396</v>
      </c>
      <c r="F489" t="s">
        <v>404</v>
      </c>
      <c r="I489" t="s">
        <v>417</v>
      </c>
      <c r="J489" t="s">
        <v>815</v>
      </c>
      <c r="K489" t="s">
        <v>1390</v>
      </c>
      <c r="L489" s="8">
        <f>D489*N489</f>
        <v>0</v>
      </c>
      <c r="N489" s="8">
        <f>IF(E489="HUF", 1, IFERROR(VLOOKUP(A489&amp;E489, '91_Data_ExRates'!A:D, 4, FALSE), 1))</f>
        <v>0</v>
      </c>
    </row>
    <row r="490" spans="1:14">
      <c r="A490" t="s">
        <v>310</v>
      </c>
      <c r="B490" t="s">
        <v>381</v>
      </c>
      <c r="C490" t="s">
        <v>384</v>
      </c>
      <c r="D490">
        <v>2900</v>
      </c>
      <c r="E490" t="s">
        <v>396</v>
      </c>
      <c r="F490" t="s">
        <v>410</v>
      </c>
      <c r="I490" t="s">
        <v>417</v>
      </c>
      <c r="J490" t="s">
        <v>800</v>
      </c>
      <c r="K490" t="s">
        <v>1391</v>
      </c>
      <c r="L490" s="8">
        <f>D490*N490</f>
        <v>0</v>
      </c>
      <c r="N490" s="8">
        <f>IF(E490="HUF", 1, IFERROR(VLOOKUP(A490&amp;E490, '91_Data_ExRates'!A:D, 4, FALSE), 1))</f>
        <v>0</v>
      </c>
    </row>
    <row r="491" spans="1:14">
      <c r="A491" t="s">
        <v>311</v>
      </c>
      <c r="B491" t="s">
        <v>381</v>
      </c>
      <c r="C491" t="s">
        <v>384</v>
      </c>
      <c r="D491">
        <v>1890</v>
      </c>
      <c r="E491" t="s">
        <v>396</v>
      </c>
      <c r="F491" t="s">
        <v>402</v>
      </c>
      <c r="I491" t="s">
        <v>417</v>
      </c>
      <c r="J491" t="s">
        <v>604</v>
      </c>
      <c r="K491" t="s">
        <v>1392</v>
      </c>
      <c r="L491" s="8">
        <f>D491*N491</f>
        <v>0</v>
      </c>
      <c r="N491" s="8">
        <f>IF(E491="HUF", 1, IFERROR(VLOOKUP(A491&amp;E491, '91_Data_ExRates'!A:D, 4, FALSE), 1))</f>
        <v>0</v>
      </c>
    </row>
    <row r="492" spans="1:14">
      <c r="A492" t="s">
        <v>312</v>
      </c>
      <c r="B492" t="s">
        <v>382</v>
      </c>
      <c r="C492" t="s">
        <v>384</v>
      </c>
      <c r="D492">
        <v>67998</v>
      </c>
      <c r="E492" t="s">
        <v>396</v>
      </c>
      <c r="F492" t="s">
        <v>408</v>
      </c>
      <c r="I492" t="s">
        <v>417</v>
      </c>
      <c r="J492" t="s">
        <v>408</v>
      </c>
      <c r="K492" t="s">
        <v>1393</v>
      </c>
      <c r="L492" s="8">
        <f>D492*N492</f>
        <v>0</v>
      </c>
      <c r="N492" s="8">
        <f>IF(E492="HUF", 1, IFERROR(VLOOKUP(A492&amp;E492, '91_Data_ExRates'!A:D, 4, FALSE), 1))</f>
        <v>0</v>
      </c>
    </row>
    <row r="493" spans="1:14">
      <c r="A493" t="s">
        <v>313</v>
      </c>
      <c r="B493" t="s">
        <v>381</v>
      </c>
      <c r="C493" t="s">
        <v>385</v>
      </c>
      <c r="D493">
        <v>2350</v>
      </c>
      <c r="E493" t="s">
        <v>396</v>
      </c>
      <c r="F493" t="s">
        <v>403</v>
      </c>
      <c r="I493" t="s">
        <v>417</v>
      </c>
      <c r="J493" t="s">
        <v>816</v>
      </c>
      <c r="K493" t="s">
        <v>1394</v>
      </c>
      <c r="L493" s="8">
        <f>D493*N493</f>
        <v>0</v>
      </c>
      <c r="N493" s="8">
        <f>IF(E493="HUF", 1, IFERROR(VLOOKUP(A493&amp;E493, '91_Data_ExRates'!A:D, 4, FALSE), 1))</f>
        <v>0</v>
      </c>
    </row>
    <row r="494" spans="1:14">
      <c r="A494" t="s">
        <v>313</v>
      </c>
      <c r="B494" t="s">
        <v>381</v>
      </c>
      <c r="C494" t="s">
        <v>385</v>
      </c>
      <c r="D494">
        <v>1600</v>
      </c>
      <c r="E494" t="s">
        <v>396</v>
      </c>
      <c r="F494" t="s">
        <v>404</v>
      </c>
      <c r="I494" t="s">
        <v>417</v>
      </c>
      <c r="J494" t="s">
        <v>817</v>
      </c>
      <c r="K494" t="s">
        <v>1395</v>
      </c>
      <c r="L494" s="8">
        <f>D494*N494</f>
        <v>0</v>
      </c>
      <c r="N494" s="8">
        <f>IF(E494="HUF", 1, IFERROR(VLOOKUP(A494&amp;E494, '91_Data_ExRates'!A:D, 4, FALSE), 1))</f>
        <v>0</v>
      </c>
    </row>
    <row r="495" spans="1:14">
      <c r="A495" t="s">
        <v>314</v>
      </c>
      <c r="B495" t="s">
        <v>381</v>
      </c>
      <c r="C495" t="s">
        <v>385</v>
      </c>
      <c r="D495">
        <v>1200</v>
      </c>
      <c r="E495" t="s">
        <v>396</v>
      </c>
      <c r="F495" t="s">
        <v>404</v>
      </c>
      <c r="I495" t="s">
        <v>417</v>
      </c>
      <c r="J495" t="s">
        <v>818</v>
      </c>
      <c r="K495" t="s">
        <v>1396</v>
      </c>
      <c r="L495" s="8">
        <f>D495*N495</f>
        <v>0</v>
      </c>
      <c r="N495" s="8">
        <f>IF(E495="HUF", 1, IFERROR(VLOOKUP(A495&amp;E495, '91_Data_ExRates'!A:D, 4, FALSE), 1))</f>
        <v>0</v>
      </c>
    </row>
    <row r="496" spans="1:14">
      <c r="A496" t="s">
        <v>314</v>
      </c>
      <c r="B496" t="s">
        <v>381</v>
      </c>
      <c r="C496" t="s">
        <v>384</v>
      </c>
      <c r="D496">
        <v>2500</v>
      </c>
      <c r="E496" t="s">
        <v>396</v>
      </c>
      <c r="F496" t="s">
        <v>404</v>
      </c>
      <c r="I496" t="s">
        <v>417</v>
      </c>
      <c r="J496" t="s">
        <v>819</v>
      </c>
      <c r="K496" t="s">
        <v>1397</v>
      </c>
      <c r="L496" s="8">
        <f>D496*N496</f>
        <v>0</v>
      </c>
      <c r="N496" s="8">
        <f>IF(E496="HUF", 1, IFERROR(VLOOKUP(A496&amp;E496, '91_Data_ExRates'!A:D, 4, FALSE), 1))</f>
        <v>0</v>
      </c>
    </row>
    <row r="497" spans="1:14">
      <c r="A497" t="s">
        <v>314</v>
      </c>
      <c r="B497" t="s">
        <v>381</v>
      </c>
      <c r="C497" t="s">
        <v>384</v>
      </c>
      <c r="D497">
        <v>2700</v>
      </c>
      <c r="E497" t="s">
        <v>396</v>
      </c>
      <c r="F497" t="s">
        <v>404</v>
      </c>
      <c r="I497" t="s">
        <v>417</v>
      </c>
      <c r="J497" t="s">
        <v>440</v>
      </c>
      <c r="K497" t="s">
        <v>1398</v>
      </c>
      <c r="L497" s="8">
        <f>D497*N497</f>
        <v>0</v>
      </c>
      <c r="N497" s="8">
        <f>IF(E497="HUF", 1, IFERROR(VLOOKUP(A497&amp;E497, '91_Data_ExRates'!A:D, 4, FALSE), 1))</f>
        <v>0</v>
      </c>
    </row>
    <row r="498" spans="1:14">
      <c r="A498" t="s">
        <v>315</v>
      </c>
      <c r="B498" t="s">
        <v>381</v>
      </c>
      <c r="C498" t="s">
        <v>384</v>
      </c>
      <c r="D498">
        <v>3000</v>
      </c>
      <c r="E498" t="s">
        <v>396</v>
      </c>
      <c r="F498" t="s">
        <v>403</v>
      </c>
      <c r="I498" t="s">
        <v>417</v>
      </c>
      <c r="J498" t="s">
        <v>813</v>
      </c>
      <c r="K498" t="s">
        <v>1399</v>
      </c>
      <c r="L498" s="8">
        <f>D498*N498</f>
        <v>0</v>
      </c>
      <c r="N498" s="8">
        <f>IF(E498="HUF", 1, IFERROR(VLOOKUP(A498&amp;E498, '91_Data_ExRates'!A:D, 4, FALSE), 1))</f>
        <v>0</v>
      </c>
    </row>
    <row r="499" spans="1:14">
      <c r="A499" t="s">
        <v>315</v>
      </c>
      <c r="B499" t="s">
        <v>382</v>
      </c>
      <c r="C499" t="s">
        <v>384</v>
      </c>
      <c r="D499">
        <v>220050</v>
      </c>
      <c r="E499" t="s">
        <v>396</v>
      </c>
      <c r="F499" t="s">
        <v>412</v>
      </c>
      <c r="I499" t="s">
        <v>417</v>
      </c>
      <c r="K499" t="s">
        <v>1400</v>
      </c>
      <c r="L499" s="8">
        <f>D499*N499</f>
        <v>0</v>
      </c>
      <c r="N499" s="8">
        <f>IF(E499="HUF", 1, IFERROR(VLOOKUP(A499&amp;E499, '91_Data_ExRates'!A:D, 4, FALSE), 1))</f>
        <v>0</v>
      </c>
    </row>
    <row r="500" spans="1:14">
      <c r="A500" t="s">
        <v>316</v>
      </c>
      <c r="B500" t="s">
        <v>381</v>
      </c>
      <c r="C500" t="s">
        <v>384</v>
      </c>
      <c r="D500">
        <v>2360</v>
      </c>
      <c r="E500" t="s">
        <v>396</v>
      </c>
      <c r="F500" t="s">
        <v>406</v>
      </c>
      <c r="I500" t="s">
        <v>417</v>
      </c>
      <c r="J500" t="s">
        <v>820</v>
      </c>
      <c r="K500" t="s">
        <v>1401</v>
      </c>
      <c r="L500" s="8">
        <f>D500*N500</f>
        <v>0</v>
      </c>
      <c r="N500" s="8">
        <f>IF(E500="HUF", 1, IFERROR(VLOOKUP(A500&amp;E500, '91_Data_ExRates'!A:D, 4, FALSE), 1))</f>
        <v>0</v>
      </c>
    </row>
    <row r="501" spans="1:14">
      <c r="A501" t="s">
        <v>316</v>
      </c>
      <c r="B501" t="s">
        <v>381</v>
      </c>
      <c r="C501" t="s">
        <v>384</v>
      </c>
      <c r="D501">
        <v>6000</v>
      </c>
      <c r="E501" t="s">
        <v>396</v>
      </c>
      <c r="F501" t="s">
        <v>404</v>
      </c>
      <c r="I501" t="s">
        <v>417</v>
      </c>
      <c r="J501" t="s">
        <v>821</v>
      </c>
      <c r="K501" t="s">
        <v>1402</v>
      </c>
      <c r="L501" s="8">
        <f>D501*N501</f>
        <v>0</v>
      </c>
      <c r="N501" s="8">
        <f>IF(E501="HUF", 1, IFERROR(VLOOKUP(A501&amp;E501, '91_Data_ExRates'!A:D, 4, FALSE), 1))</f>
        <v>0</v>
      </c>
    </row>
    <row r="502" spans="1:14">
      <c r="A502" t="s">
        <v>316</v>
      </c>
      <c r="B502" t="s">
        <v>381</v>
      </c>
      <c r="C502" t="s">
        <v>384</v>
      </c>
      <c r="D502">
        <v>12000</v>
      </c>
      <c r="E502" t="s">
        <v>396</v>
      </c>
      <c r="F502" t="s">
        <v>401</v>
      </c>
      <c r="I502" t="s">
        <v>417</v>
      </c>
      <c r="J502" t="s">
        <v>822</v>
      </c>
      <c r="K502" t="s">
        <v>1403</v>
      </c>
      <c r="L502" s="8">
        <f>D502*N502</f>
        <v>0</v>
      </c>
      <c r="N502" s="8">
        <f>IF(E502="HUF", 1, IFERROR(VLOOKUP(A502&amp;E502, '91_Data_ExRates'!A:D, 4, FALSE), 1))</f>
        <v>0</v>
      </c>
    </row>
    <row r="503" spans="1:14">
      <c r="A503" t="s">
        <v>317</v>
      </c>
      <c r="B503" t="s">
        <v>381</v>
      </c>
      <c r="C503" t="s">
        <v>384</v>
      </c>
      <c r="D503">
        <v>3000</v>
      </c>
      <c r="E503" t="s">
        <v>396</v>
      </c>
      <c r="F503" t="s">
        <v>403</v>
      </c>
      <c r="I503" t="s">
        <v>417</v>
      </c>
      <c r="J503" t="s">
        <v>813</v>
      </c>
      <c r="K503" t="s">
        <v>1404</v>
      </c>
      <c r="L503" s="8">
        <f>D503*N503</f>
        <v>0</v>
      </c>
      <c r="N503" s="8">
        <f>IF(E503="HUF", 1, IFERROR(VLOOKUP(A503&amp;E503, '91_Data_ExRates'!A:D, 4, FALSE), 1))</f>
        <v>0</v>
      </c>
    </row>
    <row r="504" spans="1:14">
      <c r="A504" t="s">
        <v>317</v>
      </c>
      <c r="B504" t="s">
        <v>381</v>
      </c>
      <c r="C504" t="s">
        <v>384</v>
      </c>
      <c r="D504">
        <v>1250</v>
      </c>
      <c r="E504" t="s">
        <v>396</v>
      </c>
      <c r="F504" t="s">
        <v>404</v>
      </c>
      <c r="I504" t="s">
        <v>417</v>
      </c>
      <c r="J504" t="s">
        <v>823</v>
      </c>
      <c r="K504" t="s">
        <v>1405</v>
      </c>
      <c r="L504" s="8">
        <f>D504*N504</f>
        <v>0</v>
      </c>
      <c r="N504" s="8">
        <f>IF(E504="HUF", 1, IFERROR(VLOOKUP(A504&amp;E504, '91_Data_ExRates'!A:D, 4, FALSE), 1))</f>
        <v>0</v>
      </c>
    </row>
    <row r="505" spans="1:14">
      <c r="A505" t="s">
        <v>318</v>
      </c>
      <c r="B505" t="s">
        <v>381</v>
      </c>
      <c r="C505" t="s">
        <v>384</v>
      </c>
      <c r="D505">
        <v>5600</v>
      </c>
      <c r="E505" t="s">
        <v>396</v>
      </c>
      <c r="F505" t="s">
        <v>403</v>
      </c>
      <c r="I505" t="s">
        <v>417</v>
      </c>
      <c r="J505" t="s">
        <v>824</v>
      </c>
      <c r="K505" t="s">
        <v>1406</v>
      </c>
      <c r="L505" s="8">
        <f>D505*N505</f>
        <v>0</v>
      </c>
      <c r="N505" s="8">
        <f>IF(E505="HUF", 1, IFERROR(VLOOKUP(A505&amp;E505, '91_Data_ExRates'!A:D, 4, FALSE), 1))</f>
        <v>0</v>
      </c>
    </row>
    <row r="506" spans="1:14">
      <c r="A506" t="s">
        <v>319</v>
      </c>
      <c r="B506" t="s">
        <v>381</v>
      </c>
      <c r="C506" t="s">
        <v>384</v>
      </c>
      <c r="D506">
        <v>2000</v>
      </c>
      <c r="E506" t="s">
        <v>396</v>
      </c>
      <c r="F506" t="s">
        <v>404</v>
      </c>
      <c r="I506" t="s">
        <v>417</v>
      </c>
      <c r="J506" t="s">
        <v>825</v>
      </c>
      <c r="K506" t="s">
        <v>1407</v>
      </c>
      <c r="L506" s="8">
        <f>D506*N506</f>
        <v>0</v>
      </c>
      <c r="N506" s="8">
        <f>IF(E506="HUF", 1, IFERROR(VLOOKUP(A506&amp;E506, '91_Data_ExRates'!A:D, 4, FALSE), 1))</f>
        <v>0</v>
      </c>
    </row>
    <row r="507" spans="1:14">
      <c r="A507" t="s">
        <v>320</v>
      </c>
      <c r="B507" t="s">
        <v>381</v>
      </c>
      <c r="C507" t="s">
        <v>384</v>
      </c>
      <c r="D507">
        <v>2100</v>
      </c>
      <c r="E507" t="s">
        <v>396</v>
      </c>
      <c r="F507" t="s">
        <v>403</v>
      </c>
      <c r="I507" t="s">
        <v>417</v>
      </c>
      <c r="J507" t="s">
        <v>826</v>
      </c>
      <c r="K507" t="s">
        <v>1408</v>
      </c>
      <c r="L507" s="8">
        <f>D507*N507</f>
        <v>0</v>
      </c>
      <c r="N507" s="8">
        <f>IF(E507="HUF", 1, IFERROR(VLOOKUP(A507&amp;E507, '91_Data_ExRates'!A:D, 4, FALSE), 1))</f>
        <v>0</v>
      </c>
    </row>
    <row r="508" spans="1:14">
      <c r="A508" t="s">
        <v>321</v>
      </c>
      <c r="B508" t="s">
        <v>381</v>
      </c>
      <c r="C508" t="s">
        <v>384</v>
      </c>
      <c r="D508">
        <v>828</v>
      </c>
      <c r="E508" t="s">
        <v>396</v>
      </c>
      <c r="F508" t="s">
        <v>403</v>
      </c>
      <c r="I508" t="s">
        <v>417</v>
      </c>
      <c r="J508" t="s">
        <v>827</v>
      </c>
      <c r="K508" t="s">
        <v>1409</v>
      </c>
      <c r="L508" s="8">
        <f>D508*N508</f>
        <v>0</v>
      </c>
      <c r="N508" s="8">
        <f>IF(E508="HUF", 1, IFERROR(VLOOKUP(A508&amp;E508, '91_Data_ExRates'!A:D, 4, FALSE), 1))</f>
        <v>0</v>
      </c>
    </row>
    <row r="509" spans="1:14">
      <c r="A509" t="s">
        <v>321</v>
      </c>
      <c r="B509" t="s">
        <v>381</v>
      </c>
      <c r="C509" t="s">
        <v>384</v>
      </c>
      <c r="D509">
        <v>1245</v>
      </c>
      <c r="E509" t="s">
        <v>396</v>
      </c>
      <c r="F509" t="s">
        <v>410</v>
      </c>
      <c r="I509" t="s">
        <v>417</v>
      </c>
      <c r="J509" t="s">
        <v>828</v>
      </c>
      <c r="K509" t="s">
        <v>1410</v>
      </c>
      <c r="L509" s="8">
        <f>D509*N509</f>
        <v>0</v>
      </c>
      <c r="N509" s="8">
        <f>IF(E509="HUF", 1, IFERROR(VLOOKUP(A509&amp;E509, '91_Data_ExRates'!A:D, 4, FALSE), 1))</f>
        <v>0</v>
      </c>
    </row>
    <row r="510" spans="1:14">
      <c r="A510" t="s">
        <v>322</v>
      </c>
      <c r="B510" t="s">
        <v>381</v>
      </c>
      <c r="C510" t="s">
        <v>384</v>
      </c>
      <c r="D510">
        <v>8790</v>
      </c>
      <c r="E510" t="s">
        <v>396</v>
      </c>
      <c r="F510" t="s">
        <v>410</v>
      </c>
      <c r="I510" t="s">
        <v>417</v>
      </c>
      <c r="J510" t="s">
        <v>800</v>
      </c>
      <c r="K510" t="s">
        <v>1411</v>
      </c>
      <c r="L510" s="8">
        <f>D510*N510</f>
        <v>0</v>
      </c>
      <c r="N510" s="8">
        <f>IF(E510="HUF", 1, IFERROR(VLOOKUP(A510&amp;E510, '91_Data_ExRates'!A:D, 4, FALSE), 1))</f>
        <v>0</v>
      </c>
    </row>
    <row r="511" spans="1:14">
      <c r="A511" t="s">
        <v>323</v>
      </c>
      <c r="B511" t="s">
        <v>381</v>
      </c>
      <c r="C511" t="s">
        <v>384</v>
      </c>
      <c r="D511">
        <v>1890</v>
      </c>
      <c r="E511" t="s">
        <v>396</v>
      </c>
      <c r="F511" t="s">
        <v>402</v>
      </c>
      <c r="I511" t="s">
        <v>417</v>
      </c>
      <c r="J511" t="s">
        <v>604</v>
      </c>
      <c r="K511" t="s">
        <v>1412</v>
      </c>
      <c r="L511" s="8">
        <f>D511*N511</f>
        <v>0</v>
      </c>
      <c r="N511" s="8">
        <f>IF(E511="HUF", 1, IFERROR(VLOOKUP(A511&amp;E511, '91_Data_ExRates'!A:D, 4, FALSE), 1))</f>
        <v>0</v>
      </c>
    </row>
    <row r="512" spans="1:14">
      <c r="A512" t="s">
        <v>324</v>
      </c>
      <c r="B512" t="s">
        <v>381</v>
      </c>
      <c r="C512" t="s">
        <v>384</v>
      </c>
      <c r="D512">
        <v>25000</v>
      </c>
      <c r="E512" t="s">
        <v>396</v>
      </c>
      <c r="F512" t="s">
        <v>403</v>
      </c>
      <c r="I512" t="s">
        <v>417</v>
      </c>
      <c r="J512" t="s">
        <v>829</v>
      </c>
      <c r="K512" t="s">
        <v>1413</v>
      </c>
      <c r="L512" s="8">
        <f>D512*N512</f>
        <v>0</v>
      </c>
      <c r="N512" s="8">
        <f>IF(E512="HUF", 1, IFERROR(VLOOKUP(A512&amp;E512, '91_Data_ExRates'!A:D, 4, FALSE), 1))</f>
        <v>0</v>
      </c>
    </row>
    <row r="513" spans="1:14">
      <c r="A513" t="s">
        <v>324</v>
      </c>
      <c r="B513" t="s">
        <v>381</v>
      </c>
      <c r="C513" t="s">
        <v>384</v>
      </c>
      <c r="D513">
        <v>3730</v>
      </c>
      <c r="E513" t="s">
        <v>396</v>
      </c>
      <c r="F513" t="s">
        <v>404</v>
      </c>
      <c r="I513" t="s">
        <v>417</v>
      </c>
      <c r="J513" t="s">
        <v>830</v>
      </c>
      <c r="K513" t="s">
        <v>1414</v>
      </c>
      <c r="L513" s="8">
        <f>D513*N513</f>
        <v>0</v>
      </c>
      <c r="N513" s="8">
        <f>IF(E513="HUF", 1, IFERROR(VLOOKUP(A513&amp;E513, '91_Data_ExRates'!A:D, 4, FALSE), 1))</f>
        <v>0</v>
      </c>
    </row>
    <row r="514" spans="1:14">
      <c r="A514" t="s">
        <v>325</v>
      </c>
      <c r="B514" t="s">
        <v>381</v>
      </c>
      <c r="C514" t="s">
        <v>385</v>
      </c>
      <c r="D514">
        <v>1800</v>
      </c>
      <c r="E514" t="s">
        <v>396</v>
      </c>
      <c r="F514" t="s">
        <v>403</v>
      </c>
      <c r="I514" t="s">
        <v>417</v>
      </c>
      <c r="J514" t="s">
        <v>831</v>
      </c>
      <c r="K514" t="s">
        <v>1415</v>
      </c>
      <c r="L514" s="8">
        <f>D514*N514</f>
        <v>0</v>
      </c>
      <c r="N514" s="8">
        <f>IF(E514="HUF", 1, IFERROR(VLOOKUP(A514&amp;E514, '91_Data_ExRates'!A:D, 4, FALSE), 1))</f>
        <v>0</v>
      </c>
    </row>
    <row r="515" spans="1:14">
      <c r="A515" t="s">
        <v>325</v>
      </c>
      <c r="B515" t="s">
        <v>381</v>
      </c>
      <c r="C515" t="s">
        <v>385</v>
      </c>
      <c r="D515">
        <v>1020</v>
      </c>
      <c r="E515" t="s">
        <v>396</v>
      </c>
      <c r="F515" t="s">
        <v>404</v>
      </c>
      <c r="I515" t="s">
        <v>417</v>
      </c>
      <c r="J515" t="s">
        <v>832</v>
      </c>
      <c r="K515" t="s">
        <v>1416</v>
      </c>
      <c r="L515" s="8">
        <f>D515*N515</f>
        <v>0</v>
      </c>
      <c r="N515" s="8">
        <f>IF(E515="HUF", 1, IFERROR(VLOOKUP(A515&amp;E515, '91_Data_ExRates'!A:D, 4, FALSE), 1))</f>
        <v>0</v>
      </c>
    </row>
    <row r="516" spans="1:14">
      <c r="A516" t="s">
        <v>326</v>
      </c>
      <c r="B516" t="s">
        <v>382</v>
      </c>
      <c r="C516" t="s">
        <v>384</v>
      </c>
      <c r="D516">
        <v>220050</v>
      </c>
      <c r="E516" t="s">
        <v>396</v>
      </c>
      <c r="F516" t="s">
        <v>412</v>
      </c>
      <c r="I516" t="s">
        <v>417</v>
      </c>
      <c r="K516" t="s">
        <v>1417</v>
      </c>
      <c r="L516" s="8">
        <f>D516*N516</f>
        <v>0</v>
      </c>
      <c r="N516" s="8">
        <f>IF(E516="HUF", 1, IFERROR(VLOOKUP(A516&amp;E516, '91_Data_ExRates'!A:D, 4, FALSE), 1))</f>
        <v>0</v>
      </c>
    </row>
    <row r="517" spans="1:14">
      <c r="A517" t="s">
        <v>327</v>
      </c>
      <c r="B517" t="s">
        <v>381</v>
      </c>
      <c r="C517" t="s">
        <v>384</v>
      </c>
      <c r="D517">
        <v>1429</v>
      </c>
      <c r="E517" t="s">
        <v>396</v>
      </c>
      <c r="F517" t="s">
        <v>410</v>
      </c>
      <c r="I517" t="s">
        <v>417</v>
      </c>
      <c r="J517" t="s">
        <v>833</v>
      </c>
      <c r="K517" t="s">
        <v>1418</v>
      </c>
      <c r="L517" s="8">
        <f>D517*N517</f>
        <v>0</v>
      </c>
      <c r="N517" s="8">
        <f>IF(E517="HUF", 1, IFERROR(VLOOKUP(A517&amp;E517, '91_Data_ExRates'!A:D, 4, FALSE), 1))</f>
        <v>0</v>
      </c>
    </row>
    <row r="518" spans="1:14">
      <c r="A518" t="s">
        <v>328</v>
      </c>
      <c r="B518" t="s">
        <v>381</v>
      </c>
      <c r="C518" t="s">
        <v>384</v>
      </c>
      <c r="D518">
        <v>1679</v>
      </c>
      <c r="E518" t="s">
        <v>396</v>
      </c>
      <c r="F518" t="s">
        <v>410</v>
      </c>
      <c r="I518" t="s">
        <v>417</v>
      </c>
      <c r="J518" t="s">
        <v>833</v>
      </c>
      <c r="K518" t="s">
        <v>1419</v>
      </c>
      <c r="L518" s="8">
        <f>D518*N518</f>
        <v>0</v>
      </c>
      <c r="N518" s="8">
        <f>IF(E518="HUF", 1, IFERROR(VLOOKUP(A518&amp;E518, '91_Data_ExRates'!A:D, 4, FALSE), 1))</f>
        <v>0</v>
      </c>
    </row>
    <row r="519" spans="1:14">
      <c r="A519" t="s">
        <v>328</v>
      </c>
      <c r="B519" t="s">
        <v>382</v>
      </c>
      <c r="C519" t="s">
        <v>385</v>
      </c>
      <c r="D519">
        <v>100000</v>
      </c>
      <c r="E519" t="s">
        <v>396</v>
      </c>
      <c r="F519" t="s">
        <v>401</v>
      </c>
      <c r="I519" t="s">
        <v>417</v>
      </c>
      <c r="J519" t="s">
        <v>834</v>
      </c>
      <c r="K519" t="s">
        <v>1420</v>
      </c>
      <c r="L519" s="8">
        <f>D519*N519</f>
        <v>0</v>
      </c>
      <c r="N519" s="8">
        <f>IF(E519="HUF", 1, IFERROR(VLOOKUP(A519&amp;E519, '91_Data_ExRates'!A:D, 4, FALSE), 1))</f>
        <v>0</v>
      </c>
    </row>
    <row r="520" spans="1:14">
      <c r="A520" t="s">
        <v>328</v>
      </c>
      <c r="B520" t="s">
        <v>382</v>
      </c>
      <c r="C520" t="s">
        <v>385</v>
      </c>
      <c r="D520">
        <v>10000</v>
      </c>
      <c r="E520" t="s">
        <v>396</v>
      </c>
      <c r="F520" t="s">
        <v>401</v>
      </c>
      <c r="I520" t="s">
        <v>417</v>
      </c>
      <c r="J520" t="s">
        <v>723</v>
      </c>
      <c r="K520" t="s">
        <v>1421</v>
      </c>
      <c r="L520" s="8">
        <f>D520*N520</f>
        <v>0</v>
      </c>
      <c r="N520" s="8">
        <f>IF(E520="HUF", 1, IFERROR(VLOOKUP(A520&amp;E520, '91_Data_ExRates'!A:D, 4, FALSE), 1))</f>
        <v>0</v>
      </c>
    </row>
    <row r="521" spans="1:14">
      <c r="A521" t="s">
        <v>329</v>
      </c>
      <c r="B521" t="s">
        <v>381</v>
      </c>
      <c r="C521" t="s">
        <v>384</v>
      </c>
      <c r="D521">
        <v>3000</v>
      </c>
      <c r="E521" t="s">
        <v>396</v>
      </c>
      <c r="F521" t="s">
        <v>403</v>
      </c>
      <c r="I521" t="s">
        <v>417</v>
      </c>
      <c r="J521" t="s">
        <v>813</v>
      </c>
      <c r="K521" t="s">
        <v>1422</v>
      </c>
      <c r="L521" s="8">
        <f>D521*N521</f>
        <v>0</v>
      </c>
      <c r="N521" s="8">
        <f>IF(E521="HUF", 1, IFERROR(VLOOKUP(A521&amp;E521, '91_Data_ExRates'!A:D, 4, FALSE), 1))</f>
        <v>0</v>
      </c>
    </row>
    <row r="522" spans="1:14">
      <c r="A522" t="s">
        <v>330</v>
      </c>
      <c r="B522" t="s">
        <v>381</v>
      </c>
      <c r="C522" t="s">
        <v>384</v>
      </c>
      <c r="D522">
        <v>349</v>
      </c>
      <c r="E522" t="s">
        <v>396</v>
      </c>
      <c r="F522" t="s">
        <v>404</v>
      </c>
      <c r="I522" t="s">
        <v>417</v>
      </c>
      <c r="J522" t="s">
        <v>835</v>
      </c>
      <c r="K522" t="s">
        <v>1423</v>
      </c>
      <c r="L522" s="8">
        <f>D522*N522</f>
        <v>0</v>
      </c>
      <c r="N522" s="8">
        <f>IF(E522="HUF", 1, IFERROR(VLOOKUP(A522&amp;E522, '91_Data_ExRates'!A:D, 4, FALSE), 1))</f>
        <v>0</v>
      </c>
    </row>
    <row r="523" spans="1:14">
      <c r="A523" t="s">
        <v>331</v>
      </c>
      <c r="B523" t="s">
        <v>381</v>
      </c>
      <c r="C523" t="s">
        <v>384</v>
      </c>
      <c r="D523">
        <v>646</v>
      </c>
      <c r="E523" t="s">
        <v>396</v>
      </c>
      <c r="F523" t="s">
        <v>410</v>
      </c>
      <c r="I523" t="s">
        <v>417</v>
      </c>
      <c r="J523" t="s">
        <v>833</v>
      </c>
      <c r="K523" t="s">
        <v>1424</v>
      </c>
      <c r="L523" s="8">
        <f>D523*N523</f>
        <v>0</v>
      </c>
      <c r="N523" s="8">
        <f>IF(E523="HUF", 1, IFERROR(VLOOKUP(A523&amp;E523, '91_Data_ExRates'!A:D, 4, FALSE), 1))</f>
        <v>0</v>
      </c>
    </row>
    <row r="524" spans="1:14">
      <c r="A524" t="s">
        <v>331</v>
      </c>
      <c r="B524" t="s">
        <v>381</v>
      </c>
      <c r="C524" t="s">
        <v>384</v>
      </c>
      <c r="D524">
        <v>670</v>
      </c>
      <c r="E524" t="s">
        <v>396</v>
      </c>
      <c r="F524" t="s">
        <v>410</v>
      </c>
      <c r="I524" t="s">
        <v>417</v>
      </c>
      <c r="J524" t="s">
        <v>833</v>
      </c>
      <c r="K524" t="s">
        <v>1425</v>
      </c>
      <c r="L524" s="8">
        <f>D524*N524</f>
        <v>0</v>
      </c>
      <c r="N524" s="8">
        <f>IF(E524="HUF", 1, IFERROR(VLOOKUP(A524&amp;E524, '91_Data_ExRates'!A:D, 4, FALSE), 1))</f>
        <v>0</v>
      </c>
    </row>
    <row r="525" spans="1:14">
      <c r="A525" t="s">
        <v>332</v>
      </c>
      <c r="B525" t="s">
        <v>381</v>
      </c>
      <c r="C525" t="s">
        <v>384</v>
      </c>
      <c r="D525">
        <v>745</v>
      </c>
      <c r="E525" t="s">
        <v>396</v>
      </c>
      <c r="F525" t="s">
        <v>410</v>
      </c>
      <c r="I525" t="s">
        <v>417</v>
      </c>
      <c r="J525" t="s">
        <v>833</v>
      </c>
      <c r="K525" t="s">
        <v>1426</v>
      </c>
      <c r="L525" s="8">
        <f>D525*N525</f>
        <v>0</v>
      </c>
      <c r="N525" s="8">
        <f>IF(E525="HUF", 1, IFERROR(VLOOKUP(A525&amp;E525, '91_Data_ExRates'!A:D, 4, FALSE), 1))</f>
        <v>0</v>
      </c>
    </row>
    <row r="526" spans="1:14">
      <c r="A526" t="s">
        <v>333</v>
      </c>
      <c r="B526" t="s">
        <v>381</v>
      </c>
      <c r="C526" t="s">
        <v>384</v>
      </c>
      <c r="D526">
        <v>3000</v>
      </c>
      <c r="E526" t="s">
        <v>396</v>
      </c>
      <c r="F526" t="s">
        <v>403</v>
      </c>
      <c r="I526" t="s">
        <v>417</v>
      </c>
      <c r="J526" t="s">
        <v>813</v>
      </c>
      <c r="K526" t="s">
        <v>1427</v>
      </c>
      <c r="L526" s="8">
        <f>D526*N526</f>
        <v>0</v>
      </c>
      <c r="N526" s="8">
        <f>IF(E526="HUF", 1, IFERROR(VLOOKUP(A526&amp;E526, '91_Data_ExRates'!A:D, 4, FALSE), 1))</f>
        <v>0</v>
      </c>
    </row>
    <row r="527" spans="1:14">
      <c r="A527" t="s">
        <v>334</v>
      </c>
      <c r="B527" t="s">
        <v>381</v>
      </c>
      <c r="C527" t="s">
        <v>384</v>
      </c>
      <c r="D527">
        <v>1016</v>
      </c>
      <c r="E527" t="s">
        <v>396</v>
      </c>
      <c r="F527" t="s">
        <v>410</v>
      </c>
      <c r="I527" t="s">
        <v>417</v>
      </c>
      <c r="J527" t="s">
        <v>833</v>
      </c>
      <c r="K527" t="s">
        <v>1428</v>
      </c>
      <c r="L527" s="8">
        <f>D527*N527</f>
        <v>0</v>
      </c>
      <c r="N527" s="8">
        <f>IF(E527="HUF", 1, IFERROR(VLOOKUP(A527&amp;E527, '91_Data_ExRates'!A:D, 4, FALSE), 1))</f>
        <v>0</v>
      </c>
    </row>
    <row r="528" spans="1:14">
      <c r="A528" t="s">
        <v>335</v>
      </c>
      <c r="B528" t="s">
        <v>381</v>
      </c>
      <c r="C528" t="s">
        <v>384</v>
      </c>
      <c r="D528">
        <v>3000</v>
      </c>
      <c r="E528" t="s">
        <v>396</v>
      </c>
      <c r="F528" t="s">
        <v>403</v>
      </c>
      <c r="I528" t="s">
        <v>417</v>
      </c>
      <c r="J528" t="s">
        <v>813</v>
      </c>
      <c r="K528" t="s">
        <v>1429</v>
      </c>
      <c r="L528" s="8">
        <f>D528*N528</f>
        <v>0</v>
      </c>
      <c r="N528" s="8">
        <f>IF(E528="HUF", 1, IFERROR(VLOOKUP(A528&amp;E528, '91_Data_ExRates'!A:D, 4, FALSE), 1))</f>
        <v>0</v>
      </c>
    </row>
    <row r="529" spans="1:14">
      <c r="A529" t="s">
        <v>336</v>
      </c>
      <c r="B529" t="s">
        <v>381</v>
      </c>
      <c r="C529" t="s">
        <v>384</v>
      </c>
      <c r="D529">
        <v>363</v>
      </c>
      <c r="E529" t="s">
        <v>396</v>
      </c>
      <c r="F529" t="s">
        <v>403</v>
      </c>
      <c r="I529" t="s">
        <v>417</v>
      </c>
      <c r="J529" t="s">
        <v>836</v>
      </c>
      <c r="K529" t="s">
        <v>1430</v>
      </c>
      <c r="L529" s="8">
        <f>D529*N529</f>
        <v>0</v>
      </c>
      <c r="N529" s="8">
        <f>IF(E529="HUF", 1, IFERROR(VLOOKUP(A529&amp;E529, '91_Data_ExRates'!A:D, 4, FALSE), 1))</f>
        <v>0</v>
      </c>
    </row>
    <row r="530" spans="1:14">
      <c r="A530" t="s">
        <v>337</v>
      </c>
      <c r="B530" t="s">
        <v>381</v>
      </c>
      <c r="C530" t="s">
        <v>384</v>
      </c>
      <c r="D530">
        <v>2524</v>
      </c>
      <c r="E530" t="s">
        <v>396</v>
      </c>
      <c r="F530" t="s">
        <v>406</v>
      </c>
      <c r="I530" t="s">
        <v>417</v>
      </c>
      <c r="J530" t="s">
        <v>837</v>
      </c>
      <c r="K530" t="s">
        <v>1431</v>
      </c>
      <c r="L530" s="8">
        <f>D530*N530</f>
        <v>0</v>
      </c>
      <c r="N530" s="8">
        <f>IF(E530="HUF", 1, IFERROR(VLOOKUP(A530&amp;E530, '91_Data_ExRates'!A:D, 4, FALSE), 1))</f>
        <v>0</v>
      </c>
    </row>
    <row r="531" spans="1:14">
      <c r="A531" t="s">
        <v>337</v>
      </c>
      <c r="B531" t="s">
        <v>381</v>
      </c>
      <c r="C531" t="s">
        <v>384</v>
      </c>
      <c r="D531">
        <v>8790</v>
      </c>
      <c r="E531" t="s">
        <v>396</v>
      </c>
      <c r="F531" t="s">
        <v>410</v>
      </c>
      <c r="I531" t="s">
        <v>417</v>
      </c>
      <c r="J531" t="s">
        <v>800</v>
      </c>
      <c r="K531" t="s">
        <v>1432</v>
      </c>
      <c r="L531" s="8">
        <f>D531*N531</f>
        <v>0</v>
      </c>
      <c r="N531" s="8">
        <f>IF(E531="HUF", 1, IFERROR(VLOOKUP(A531&amp;E531, '91_Data_ExRates'!A:D, 4, FALSE), 1))</f>
        <v>0</v>
      </c>
    </row>
    <row r="532" spans="1:14">
      <c r="A532" t="s">
        <v>338</v>
      </c>
      <c r="B532" t="s">
        <v>381</v>
      </c>
      <c r="C532" t="s">
        <v>384</v>
      </c>
      <c r="D532">
        <v>7866</v>
      </c>
      <c r="E532" t="s">
        <v>396</v>
      </c>
      <c r="F532" t="s">
        <v>403</v>
      </c>
      <c r="I532" t="s">
        <v>417</v>
      </c>
      <c r="J532" t="s">
        <v>838</v>
      </c>
      <c r="K532" t="s">
        <v>1433</v>
      </c>
      <c r="L532" s="8">
        <f>D532*N532</f>
        <v>0</v>
      </c>
      <c r="N532" s="8">
        <f>IF(E532="HUF", 1, IFERROR(VLOOKUP(A532&amp;E532, '91_Data_ExRates'!A:D, 4, FALSE), 1))</f>
        <v>0</v>
      </c>
    </row>
    <row r="533" spans="1:14">
      <c r="A533" t="s">
        <v>339</v>
      </c>
      <c r="B533" t="s">
        <v>381</v>
      </c>
      <c r="C533" t="s">
        <v>384</v>
      </c>
      <c r="D533">
        <v>1890</v>
      </c>
      <c r="E533" t="s">
        <v>396</v>
      </c>
      <c r="F533" t="s">
        <v>402</v>
      </c>
      <c r="I533" t="s">
        <v>417</v>
      </c>
      <c r="J533" t="s">
        <v>604</v>
      </c>
      <c r="K533" t="s">
        <v>1434</v>
      </c>
      <c r="L533" s="8">
        <f>D533*N533</f>
        <v>0</v>
      </c>
      <c r="N533" s="8">
        <f>IF(E533="HUF", 1, IFERROR(VLOOKUP(A533&amp;E533, '91_Data_ExRates'!A:D, 4, FALSE), 1))</f>
        <v>0</v>
      </c>
    </row>
    <row r="534" spans="1:14">
      <c r="A534" t="s">
        <v>340</v>
      </c>
      <c r="B534" t="s">
        <v>381</v>
      </c>
      <c r="C534" t="s">
        <v>384</v>
      </c>
      <c r="D534">
        <v>3000</v>
      </c>
      <c r="E534" t="s">
        <v>396</v>
      </c>
      <c r="F534" t="s">
        <v>403</v>
      </c>
      <c r="I534" t="s">
        <v>417</v>
      </c>
      <c r="J534" t="s">
        <v>813</v>
      </c>
      <c r="K534" t="s">
        <v>1435</v>
      </c>
      <c r="L534" s="8">
        <f>D534*N534</f>
        <v>0</v>
      </c>
      <c r="N534" s="8">
        <f>IF(E534="HUF", 1, IFERROR(VLOOKUP(A534&amp;E534, '91_Data_ExRates'!A:D, 4, FALSE), 1))</f>
        <v>0</v>
      </c>
    </row>
    <row r="535" spans="1:14">
      <c r="A535" t="s">
        <v>341</v>
      </c>
      <c r="B535" t="s">
        <v>381</v>
      </c>
      <c r="C535" t="s">
        <v>384</v>
      </c>
      <c r="D535">
        <v>4000</v>
      </c>
      <c r="E535" t="s">
        <v>396</v>
      </c>
      <c r="F535" t="s">
        <v>404</v>
      </c>
      <c r="I535" t="s">
        <v>417</v>
      </c>
      <c r="J535" t="s">
        <v>839</v>
      </c>
      <c r="K535" t="s">
        <v>1436</v>
      </c>
      <c r="L535" s="8">
        <f>D535*N535</f>
        <v>0</v>
      </c>
      <c r="N535" s="8">
        <f>IF(E535="HUF", 1, IFERROR(VLOOKUP(A535&amp;E535, '91_Data_ExRates'!A:D, 4, FALSE), 1))</f>
        <v>0</v>
      </c>
    </row>
    <row r="536" spans="1:14">
      <c r="A536" t="s">
        <v>342</v>
      </c>
      <c r="B536" t="s">
        <v>381</v>
      </c>
      <c r="C536" t="s">
        <v>384</v>
      </c>
      <c r="D536">
        <v>22500</v>
      </c>
      <c r="E536" t="s">
        <v>396</v>
      </c>
      <c r="F536" t="s">
        <v>403</v>
      </c>
      <c r="I536" t="s">
        <v>417</v>
      </c>
      <c r="J536" t="s">
        <v>840</v>
      </c>
      <c r="K536" t="s">
        <v>1437</v>
      </c>
      <c r="L536" s="8">
        <f>D536*N536</f>
        <v>0</v>
      </c>
      <c r="N536" s="8">
        <f>IF(E536="HUF", 1, IFERROR(VLOOKUP(A536&amp;E536, '91_Data_ExRates'!A:D, 4, FALSE), 1))</f>
        <v>0</v>
      </c>
    </row>
    <row r="537" spans="1:14">
      <c r="A537" t="s">
        <v>343</v>
      </c>
      <c r="B537" t="s">
        <v>381</v>
      </c>
      <c r="C537" t="s">
        <v>384</v>
      </c>
      <c r="D537">
        <v>217.39</v>
      </c>
      <c r="E537" t="s">
        <v>396</v>
      </c>
      <c r="F537" t="s">
        <v>404</v>
      </c>
      <c r="I537" t="s">
        <v>417</v>
      </c>
      <c r="J537" t="s">
        <v>841</v>
      </c>
      <c r="K537" t="s">
        <v>1438</v>
      </c>
      <c r="L537" s="8">
        <f>D537*N537</f>
        <v>0</v>
      </c>
      <c r="N537" s="8">
        <f>IF(E537="HUF", 1, IFERROR(VLOOKUP(A537&amp;E537, '91_Data_ExRates'!A:D, 4, FALSE), 1))</f>
        <v>0</v>
      </c>
    </row>
    <row r="538" spans="1:14">
      <c r="A538" t="s">
        <v>343</v>
      </c>
      <c r="B538" t="s">
        <v>381</v>
      </c>
      <c r="C538" t="s">
        <v>384</v>
      </c>
      <c r="D538">
        <v>1530</v>
      </c>
      <c r="E538" t="s">
        <v>396</v>
      </c>
      <c r="F538" t="s">
        <v>410</v>
      </c>
      <c r="I538" t="s">
        <v>417</v>
      </c>
      <c r="J538" t="s">
        <v>833</v>
      </c>
      <c r="K538" t="s">
        <v>1439</v>
      </c>
      <c r="L538" s="8">
        <f>D538*N538</f>
        <v>0</v>
      </c>
      <c r="N538" s="8">
        <f>IF(E538="HUF", 1, IFERROR(VLOOKUP(A538&amp;E538, '91_Data_ExRates'!A:D, 4, FALSE), 1))</f>
        <v>0</v>
      </c>
    </row>
    <row r="539" spans="1:14">
      <c r="A539" t="s">
        <v>344</v>
      </c>
      <c r="B539" t="s">
        <v>381</v>
      </c>
      <c r="C539" t="s">
        <v>384</v>
      </c>
      <c r="D539">
        <v>2180.52</v>
      </c>
      <c r="E539" t="s">
        <v>396</v>
      </c>
      <c r="F539" t="s">
        <v>402</v>
      </c>
      <c r="I539" t="s">
        <v>417</v>
      </c>
      <c r="J539" t="s">
        <v>842</v>
      </c>
      <c r="K539" t="s">
        <v>1440</v>
      </c>
      <c r="L539" s="8">
        <f>D539*N539</f>
        <v>0</v>
      </c>
      <c r="N539" s="8">
        <f>IF(E539="HUF", 1, IFERROR(VLOOKUP(A539&amp;E539, '91_Data_ExRates'!A:D, 4, FALSE), 1))</f>
        <v>0</v>
      </c>
    </row>
    <row r="540" spans="1:14">
      <c r="A540" t="s">
        <v>344</v>
      </c>
      <c r="B540" t="s">
        <v>381</v>
      </c>
      <c r="C540" t="s">
        <v>384</v>
      </c>
      <c r="D540">
        <v>2173.91</v>
      </c>
      <c r="E540" t="s">
        <v>396</v>
      </c>
      <c r="F540" t="s">
        <v>402</v>
      </c>
      <c r="I540" t="s">
        <v>417</v>
      </c>
      <c r="J540" t="s">
        <v>842</v>
      </c>
      <c r="K540" t="s">
        <v>1441</v>
      </c>
      <c r="L540" s="8">
        <f>D540*N540</f>
        <v>0</v>
      </c>
      <c r="N540" s="8">
        <f>IF(E540="HUF", 1, IFERROR(VLOOKUP(A540&amp;E540, '91_Data_ExRates'!A:D, 4, FALSE), 1))</f>
        <v>0</v>
      </c>
    </row>
    <row r="541" spans="1:14">
      <c r="A541" t="s">
        <v>345</v>
      </c>
      <c r="B541" t="s">
        <v>381</v>
      </c>
      <c r="C541" t="s">
        <v>384</v>
      </c>
      <c r="D541">
        <v>4377.96</v>
      </c>
      <c r="E541" t="s">
        <v>396</v>
      </c>
      <c r="F541" t="s">
        <v>402</v>
      </c>
      <c r="I541" t="s">
        <v>417</v>
      </c>
      <c r="J541" t="s">
        <v>843</v>
      </c>
      <c r="K541" t="s">
        <v>1442</v>
      </c>
      <c r="L541" s="8">
        <f>D541*N541</f>
        <v>0</v>
      </c>
      <c r="N541" s="8">
        <f>IF(E541="HUF", 1, IFERROR(VLOOKUP(A541&amp;E541, '91_Data_ExRates'!A:D, 4, FALSE), 1))</f>
        <v>0</v>
      </c>
    </row>
    <row r="542" spans="1:14">
      <c r="A542" t="s">
        <v>345</v>
      </c>
      <c r="B542" t="s">
        <v>381</v>
      </c>
      <c r="C542" t="s">
        <v>384</v>
      </c>
      <c r="D542">
        <v>5.2</v>
      </c>
      <c r="E542" t="s">
        <v>396</v>
      </c>
      <c r="F542" t="s">
        <v>404</v>
      </c>
      <c r="I542" t="s">
        <v>417</v>
      </c>
      <c r="J542" t="s">
        <v>844</v>
      </c>
      <c r="K542" t="s">
        <v>1443</v>
      </c>
      <c r="L542" s="8">
        <f>D542*N542</f>
        <v>0</v>
      </c>
      <c r="N542" s="8">
        <f>IF(E542="HUF", 1, IFERROR(VLOOKUP(A542&amp;E542, '91_Data_ExRates'!A:D, 4, FALSE), 1))</f>
        <v>0</v>
      </c>
    </row>
    <row r="543" spans="1:14">
      <c r="A543" t="s">
        <v>346</v>
      </c>
      <c r="B543" t="s">
        <v>382</v>
      </c>
      <c r="C543" t="s">
        <v>384</v>
      </c>
      <c r="D543">
        <v>220050</v>
      </c>
      <c r="E543" t="s">
        <v>396</v>
      </c>
      <c r="F543" t="s">
        <v>412</v>
      </c>
      <c r="I543" t="s">
        <v>417</v>
      </c>
      <c r="K543" t="s">
        <v>1444</v>
      </c>
      <c r="L543" s="8">
        <f>D543*N543</f>
        <v>0</v>
      </c>
      <c r="N543" s="8">
        <f>IF(E543="HUF", 1, IFERROR(VLOOKUP(A543&amp;E543, '91_Data_ExRates'!A:D, 4, FALSE), 1))</f>
        <v>0</v>
      </c>
    </row>
    <row r="544" spans="1:14">
      <c r="A544" t="s">
        <v>347</v>
      </c>
      <c r="B544" t="s">
        <v>381</v>
      </c>
      <c r="C544" t="s">
        <v>384</v>
      </c>
      <c r="D544">
        <v>3700</v>
      </c>
      <c r="E544" t="s">
        <v>396</v>
      </c>
      <c r="F544" t="s">
        <v>403</v>
      </c>
      <c r="I544" t="s">
        <v>417</v>
      </c>
      <c r="J544" t="s">
        <v>845</v>
      </c>
      <c r="K544" t="s">
        <v>1445</v>
      </c>
      <c r="L544" s="8">
        <f>D544*N544</f>
        <v>0</v>
      </c>
      <c r="N544" s="8">
        <f>IF(E544="HUF", 1, IFERROR(VLOOKUP(A544&amp;E544, '91_Data_ExRates'!A:D, 4, FALSE), 1))</f>
        <v>0</v>
      </c>
    </row>
    <row r="545" spans="1:14">
      <c r="A545" t="s">
        <v>347</v>
      </c>
      <c r="B545" t="s">
        <v>381</v>
      </c>
      <c r="C545" t="s">
        <v>384</v>
      </c>
      <c r="D545">
        <v>1890</v>
      </c>
      <c r="E545" t="s">
        <v>396</v>
      </c>
      <c r="F545" t="s">
        <v>404</v>
      </c>
      <c r="I545" t="s">
        <v>417</v>
      </c>
      <c r="J545" t="s">
        <v>846</v>
      </c>
      <c r="K545" t="s">
        <v>1446</v>
      </c>
      <c r="L545" s="8">
        <f>D545*N545</f>
        <v>0</v>
      </c>
      <c r="N545" s="8">
        <f>IF(E545="HUF", 1, IFERROR(VLOOKUP(A545&amp;E545, '91_Data_ExRates'!A:D, 4, FALSE), 1))</f>
        <v>0</v>
      </c>
    </row>
    <row r="546" spans="1:14">
      <c r="A546" t="s">
        <v>348</v>
      </c>
      <c r="B546" t="s">
        <v>381</v>
      </c>
      <c r="C546" t="s">
        <v>384</v>
      </c>
      <c r="D546">
        <v>5000</v>
      </c>
      <c r="E546" t="s">
        <v>396</v>
      </c>
      <c r="F546" t="s">
        <v>413</v>
      </c>
      <c r="I546" t="s">
        <v>417</v>
      </c>
      <c r="J546" t="s">
        <v>847</v>
      </c>
      <c r="K546" t="s">
        <v>1447</v>
      </c>
      <c r="L546" s="8">
        <f>D546*N546</f>
        <v>0</v>
      </c>
      <c r="N546" s="8">
        <f>IF(E546="HUF", 1, IFERROR(VLOOKUP(A546&amp;E546, '91_Data_ExRates'!A:D, 4, FALSE), 1))</f>
        <v>0</v>
      </c>
    </row>
    <row r="547" spans="1:14">
      <c r="A547" t="s">
        <v>348</v>
      </c>
      <c r="B547" t="s">
        <v>381</v>
      </c>
      <c r="C547" t="s">
        <v>384</v>
      </c>
      <c r="D547">
        <v>25000</v>
      </c>
      <c r="E547" t="s">
        <v>396</v>
      </c>
      <c r="F547" t="s">
        <v>413</v>
      </c>
      <c r="I547" t="s">
        <v>417</v>
      </c>
      <c r="J547" t="s">
        <v>848</v>
      </c>
      <c r="K547" t="s">
        <v>1448</v>
      </c>
      <c r="L547" s="8">
        <f>D547*N547</f>
        <v>0</v>
      </c>
      <c r="N547" s="8">
        <f>IF(E547="HUF", 1, IFERROR(VLOOKUP(A547&amp;E547, '91_Data_ExRates'!A:D, 4, FALSE), 1))</f>
        <v>0</v>
      </c>
    </row>
    <row r="548" spans="1:14">
      <c r="A548" t="s">
        <v>348</v>
      </c>
      <c r="B548" t="s">
        <v>381</v>
      </c>
      <c r="C548" t="s">
        <v>395</v>
      </c>
      <c r="D548">
        <v>152000</v>
      </c>
      <c r="E548" t="s">
        <v>396</v>
      </c>
      <c r="F548" t="s">
        <v>413</v>
      </c>
      <c r="I548" t="s">
        <v>417</v>
      </c>
      <c r="J548" t="s">
        <v>849</v>
      </c>
      <c r="K548" t="s">
        <v>1449</v>
      </c>
      <c r="L548" s="8">
        <f>D548*N548</f>
        <v>0</v>
      </c>
      <c r="N548" s="8">
        <f>IF(E548="HUF", 1, IFERROR(VLOOKUP(A548&amp;E548, '91_Data_ExRates'!A:D, 4, FALSE), 1))</f>
        <v>0</v>
      </c>
    </row>
    <row r="549" spans="1:14">
      <c r="A549" t="s">
        <v>348</v>
      </c>
      <c r="B549" t="s">
        <v>381</v>
      </c>
      <c r="C549" t="s">
        <v>384</v>
      </c>
      <c r="D549">
        <v>1949</v>
      </c>
      <c r="E549" t="s">
        <v>396</v>
      </c>
      <c r="F549" t="s">
        <v>403</v>
      </c>
      <c r="I549" t="s">
        <v>417</v>
      </c>
      <c r="J549" t="s">
        <v>850</v>
      </c>
      <c r="K549" t="s">
        <v>1450</v>
      </c>
      <c r="L549" s="8">
        <f>D549*N549</f>
        <v>0</v>
      </c>
      <c r="N549" s="8">
        <f>IF(E549="HUF", 1, IFERROR(VLOOKUP(A549&amp;E549, '91_Data_ExRates'!A:D, 4, FALSE), 1))</f>
        <v>0</v>
      </c>
    </row>
    <row r="550" spans="1:14">
      <c r="A550" t="s">
        <v>348</v>
      </c>
      <c r="B550" t="s">
        <v>383</v>
      </c>
      <c r="C550" t="s">
        <v>384</v>
      </c>
      <c r="D550">
        <v>155000</v>
      </c>
      <c r="E550" t="s">
        <v>396</v>
      </c>
      <c r="I550" t="s">
        <v>417</v>
      </c>
      <c r="K550" t="s">
        <v>1451</v>
      </c>
      <c r="L550" s="8">
        <f>D550*N550</f>
        <v>0</v>
      </c>
      <c r="N550" s="8">
        <f>IF(E550="HUF", 1, IFERROR(VLOOKUP(A550&amp;E550, '91_Data_ExRates'!A:D, 4, FALSE), 1))</f>
        <v>0</v>
      </c>
    </row>
    <row r="551" spans="1:14">
      <c r="A551" t="s">
        <v>349</v>
      </c>
      <c r="B551" t="s">
        <v>381</v>
      </c>
      <c r="C551" t="s">
        <v>385</v>
      </c>
      <c r="D551">
        <v>800</v>
      </c>
      <c r="E551" t="s">
        <v>396</v>
      </c>
      <c r="F551" t="s">
        <v>403</v>
      </c>
      <c r="I551" t="s">
        <v>417</v>
      </c>
      <c r="J551" t="s">
        <v>851</v>
      </c>
      <c r="K551" t="s">
        <v>1452</v>
      </c>
      <c r="L551" s="8">
        <f>D551*N551</f>
        <v>0</v>
      </c>
      <c r="N551" s="8">
        <f>IF(E551="HUF", 1, IFERROR(VLOOKUP(A551&amp;E551, '91_Data_ExRates'!A:D, 4, FALSE), 1))</f>
        <v>0</v>
      </c>
    </row>
    <row r="552" spans="1:14">
      <c r="A552" t="s">
        <v>349</v>
      </c>
      <c r="B552" t="s">
        <v>381</v>
      </c>
      <c r="C552" t="s">
        <v>385</v>
      </c>
      <c r="D552">
        <v>2880</v>
      </c>
      <c r="E552" t="s">
        <v>396</v>
      </c>
      <c r="F552" t="s">
        <v>403</v>
      </c>
      <c r="I552" t="s">
        <v>417</v>
      </c>
      <c r="J552" t="s">
        <v>852</v>
      </c>
      <c r="K552" t="s">
        <v>1453</v>
      </c>
      <c r="L552" s="8">
        <f>D552*N552</f>
        <v>0</v>
      </c>
      <c r="N552" s="8">
        <f>IF(E552="HUF", 1, IFERROR(VLOOKUP(A552&amp;E552, '91_Data_ExRates'!A:D, 4, FALSE), 1))</f>
        <v>0</v>
      </c>
    </row>
    <row r="553" spans="1:14">
      <c r="A553" t="s">
        <v>349</v>
      </c>
      <c r="B553" t="s">
        <v>381</v>
      </c>
      <c r="C553" t="s">
        <v>384</v>
      </c>
      <c r="D553">
        <v>19866</v>
      </c>
      <c r="E553" t="s">
        <v>396</v>
      </c>
      <c r="F553" t="s">
        <v>411</v>
      </c>
      <c r="I553" t="s">
        <v>417</v>
      </c>
      <c r="J553" t="s">
        <v>853</v>
      </c>
      <c r="K553" t="s">
        <v>1454</v>
      </c>
      <c r="L553" s="8">
        <f>D553*N553</f>
        <v>0</v>
      </c>
      <c r="N553" s="8">
        <f>IF(E553="HUF", 1, IFERROR(VLOOKUP(A553&amp;E553, '91_Data_ExRates'!A:D, 4, FALSE), 1))</f>
        <v>0</v>
      </c>
    </row>
    <row r="554" spans="1:14">
      <c r="A554" t="s">
        <v>350</v>
      </c>
      <c r="B554" t="s">
        <v>382</v>
      </c>
      <c r="C554" t="s">
        <v>384</v>
      </c>
      <c r="D554">
        <v>150000</v>
      </c>
      <c r="E554" t="s">
        <v>396</v>
      </c>
      <c r="G554" t="s">
        <v>414</v>
      </c>
      <c r="I554" t="s">
        <v>417</v>
      </c>
      <c r="J554" t="s">
        <v>854</v>
      </c>
      <c r="K554" t="s">
        <v>1455</v>
      </c>
      <c r="L554" s="8">
        <f>D554*N554</f>
        <v>0</v>
      </c>
      <c r="M554" t="s">
        <v>1514</v>
      </c>
      <c r="N554" s="8">
        <f>IF(E554="HUF", 1, IFERROR(VLOOKUP(A554&amp;E554, '91_Data_ExRates'!A:D, 4, FALSE), 1))</f>
        <v>0</v>
      </c>
    </row>
    <row r="555" spans="1:14">
      <c r="A555" t="s">
        <v>350</v>
      </c>
      <c r="B555" t="s">
        <v>382</v>
      </c>
      <c r="C555" t="s">
        <v>385</v>
      </c>
      <c r="D555">
        <v>400000</v>
      </c>
      <c r="E555" t="s">
        <v>396</v>
      </c>
      <c r="G555" t="s">
        <v>415</v>
      </c>
      <c r="I555" t="s">
        <v>417</v>
      </c>
      <c r="J555" t="s">
        <v>854</v>
      </c>
      <c r="K555" t="s">
        <v>1456</v>
      </c>
      <c r="L555" s="8">
        <f>D555*N555</f>
        <v>0</v>
      </c>
      <c r="M555" t="s">
        <v>1515</v>
      </c>
      <c r="N555" s="8">
        <f>IF(E555="HUF", 1, IFERROR(VLOOKUP(A555&amp;E555, '91_Data_ExRates'!A:D, 4, FALSE), 1))</f>
        <v>0</v>
      </c>
    </row>
    <row r="556" spans="1:14">
      <c r="A556" t="s">
        <v>350</v>
      </c>
      <c r="B556" t="s">
        <v>382</v>
      </c>
      <c r="C556" t="s">
        <v>386</v>
      </c>
      <c r="D556">
        <v>1850000</v>
      </c>
      <c r="E556" t="s">
        <v>396</v>
      </c>
      <c r="G556" t="s">
        <v>416</v>
      </c>
      <c r="I556" t="s">
        <v>417</v>
      </c>
      <c r="J556" t="s">
        <v>854</v>
      </c>
      <c r="K556" t="s">
        <v>1457</v>
      </c>
      <c r="L556" s="8">
        <f>D556*N556</f>
        <v>0</v>
      </c>
      <c r="M556" t="s">
        <v>1516</v>
      </c>
      <c r="N556" s="8">
        <f>IF(E556="HUF", 1, IFERROR(VLOOKUP(A556&amp;E556, '91_Data_ExRates'!A:D, 4, FALSE), 1))</f>
        <v>0</v>
      </c>
    </row>
    <row r="557" spans="1:14">
      <c r="A557" t="s">
        <v>350</v>
      </c>
      <c r="B557" t="s">
        <v>382</v>
      </c>
      <c r="C557" t="s">
        <v>386</v>
      </c>
      <c r="D557">
        <v>840000</v>
      </c>
      <c r="E557" t="s">
        <v>396</v>
      </c>
      <c r="G557" t="s">
        <v>416</v>
      </c>
      <c r="I557" t="s">
        <v>417</v>
      </c>
      <c r="J557" t="s">
        <v>854</v>
      </c>
      <c r="K557" t="s">
        <v>1458</v>
      </c>
      <c r="L557" s="8">
        <f>D557*N557</f>
        <v>0</v>
      </c>
      <c r="M557" t="s">
        <v>1517</v>
      </c>
      <c r="N557" s="8">
        <f>IF(E557="HUF", 1, IFERROR(VLOOKUP(A557&amp;E557, '91_Data_ExRates'!A:D, 4, FALSE), 1))</f>
        <v>0</v>
      </c>
    </row>
    <row r="558" spans="1:14">
      <c r="A558" t="s">
        <v>350</v>
      </c>
      <c r="B558" t="s">
        <v>381</v>
      </c>
      <c r="C558" t="s">
        <v>395</v>
      </c>
      <c r="D558">
        <v>1058</v>
      </c>
      <c r="E558" t="s">
        <v>396</v>
      </c>
      <c r="F558" t="s">
        <v>413</v>
      </c>
      <c r="I558" t="s">
        <v>417</v>
      </c>
      <c r="K558" t="s">
        <v>1459</v>
      </c>
      <c r="L558" s="8">
        <f>D558*N558</f>
        <v>0</v>
      </c>
      <c r="M558" t="s">
        <v>1518</v>
      </c>
      <c r="N558" s="8">
        <f>IF(E558="HUF", 1, IFERROR(VLOOKUP(A558&amp;E558, '91_Data_ExRates'!A:D, 4, FALSE), 1))</f>
        <v>0</v>
      </c>
    </row>
    <row r="559" spans="1:14">
      <c r="A559" t="s">
        <v>351</v>
      </c>
      <c r="B559" t="s">
        <v>382</v>
      </c>
      <c r="C559" t="s">
        <v>395</v>
      </c>
      <c r="D559">
        <v>7990</v>
      </c>
      <c r="E559" t="s">
        <v>396</v>
      </c>
      <c r="F559" t="s">
        <v>413</v>
      </c>
      <c r="I559" t="s">
        <v>417</v>
      </c>
      <c r="K559" t="s">
        <v>1460</v>
      </c>
      <c r="L559" s="8">
        <f>D559*N559</f>
        <v>0</v>
      </c>
      <c r="M559" t="s">
        <v>1519</v>
      </c>
      <c r="N559" s="8">
        <f>IF(E559="HUF", 1, IFERROR(VLOOKUP(A559&amp;E559, '91_Data_ExRates'!A:D, 4, FALSE), 1))</f>
        <v>0</v>
      </c>
    </row>
    <row r="560" spans="1:14">
      <c r="A560" t="s">
        <v>352</v>
      </c>
      <c r="B560" t="s">
        <v>381</v>
      </c>
      <c r="C560" t="s">
        <v>384</v>
      </c>
      <c r="D560">
        <v>-3957</v>
      </c>
      <c r="E560" t="s">
        <v>396</v>
      </c>
      <c r="F560" t="s">
        <v>404</v>
      </c>
      <c r="I560" t="s">
        <v>417</v>
      </c>
      <c r="J560" t="s">
        <v>855</v>
      </c>
      <c r="K560" t="s">
        <v>1461</v>
      </c>
      <c r="L560" s="8">
        <f>D560*N560</f>
        <v>0</v>
      </c>
      <c r="M560" t="s">
        <v>1520</v>
      </c>
      <c r="N560" s="8">
        <f>IF(E560="HUF", 1, IFERROR(VLOOKUP(A560&amp;E560, '91_Data_ExRates'!A:D, 4, FALSE), 1))</f>
        <v>0</v>
      </c>
    </row>
    <row r="561" spans="1:14">
      <c r="A561" t="s">
        <v>353</v>
      </c>
      <c r="B561" t="s">
        <v>381</v>
      </c>
      <c r="C561" t="s">
        <v>385</v>
      </c>
      <c r="D561">
        <v>1150</v>
      </c>
      <c r="E561" t="s">
        <v>396</v>
      </c>
      <c r="F561" t="s">
        <v>403</v>
      </c>
      <c r="I561" t="s">
        <v>417</v>
      </c>
      <c r="J561" t="s">
        <v>856</v>
      </c>
      <c r="K561" t="s">
        <v>1462</v>
      </c>
      <c r="L561" s="8">
        <f>D561*N561</f>
        <v>0</v>
      </c>
      <c r="M561" t="s">
        <v>1521</v>
      </c>
      <c r="N561" s="8">
        <f>IF(E561="HUF", 1, IFERROR(VLOOKUP(A561&amp;E561, '91_Data_ExRates'!A:D, 4, FALSE), 1))</f>
        <v>0</v>
      </c>
    </row>
    <row r="562" spans="1:14">
      <c r="A562" t="s">
        <v>354</v>
      </c>
      <c r="B562" t="s">
        <v>381</v>
      </c>
      <c r="C562" t="s">
        <v>384</v>
      </c>
      <c r="D562">
        <v>4950</v>
      </c>
      <c r="E562" t="s">
        <v>396</v>
      </c>
      <c r="I562" t="s">
        <v>417</v>
      </c>
      <c r="J562" t="s">
        <v>857</v>
      </c>
      <c r="K562" t="s">
        <v>1463</v>
      </c>
      <c r="L562" s="8">
        <f>D562*N562</f>
        <v>0</v>
      </c>
      <c r="M562" t="s">
        <v>1522</v>
      </c>
      <c r="N562" s="8">
        <f>IF(E562="HUF", 1, IFERROR(VLOOKUP(A562&amp;E562, '91_Data_ExRates'!A:D, 4, FALSE), 1))</f>
        <v>0</v>
      </c>
    </row>
    <row r="563" spans="1:14">
      <c r="A563" t="s">
        <v>355</v>
      </c>
      <c r="B563" t="s">
        <v>381</v>
      </c>
      <c r="C563" t="s">
        <v>384</v>
      </c>
      <c r="D563">
        <v>8790</v>
      </c>
      <c r="E563" t="s">
        <v>396</v>
      </c>
      <c r="F563" t="s">
        <v>410</v>
      </c>
      <c r="I563" t="s">
        <v>417</v>
      </c>
      <c r="J563" t="s">
        <v>858</v>
      </c>
      <c r="K563" t="s">
        <v>1464</v>
      </c>
      <c r="L563" s="8">
        <f>D563*N563</f>
        <v>0</v>
      </c>
      <c r="M563" t="s">
        <v>1523</v>
      </c>
      <c r="N563" s="8">
        <f>IF(E563="HUF", 1, IFERROR(VLOOKUP(A563&amp;E563, '91_Data_ExRates'!A:D, 4, FALSE), 1))</f>
        <v>0</v>
      </c>
    </row>
    <row r="564" spans="1:14">
      <c r="A564" t="s">
        <v>356</v>
      </c>
      <c r="B564" t="s">
        <v>381</v>
      </c>
      <c r="C564" t="s">
        <v>384</v>
      </c>
      <c r="D564">
        <v>1749</v>
      </c>
      <c r="E564" t="s">
        <v>396</v>
      </c>
      <c r="F564" t="s">
        <v>406</v>
      </c>
      <c r="I564" t="s">
        <v>417</v>
      </c>
      <c r="J564" t="s">
        <v>859</v>
      </c>
      <c r="K564" t="s">
        <v>1465</v>
      </c>
      <c r="L564" s="8">
        <f>D564*N564</f>
        <v>0</v>
      </c>
      <c r="M564" t="s">
        <v>1524</v>
      </c>
      <c r="N564" s="8">
        <f>IF(E564="HUF", 1, IFERROR(VLOOKUP(A564&amp;E564, '91_Data_ExRates'!A:D, 4, FALSE), 1))</f>
        <v>0</v>
      </c>
    </row>
    <row r="565" spans="1:14">
      <c r="A565" t="s">
        <v>357</v>
      </c>
      <c r="B565" t="s">
        <v>381</v>
      </c>
      <c r="C565" t="s">
        <v>384</v>
      </c>
      <c r="D565">
        <v>4050</v>
      </c>
      <c r="E565" t="s">
        <v>396</v>
      </c>
      <c r="F565" t="s">
        <v>403</v>
      </c>
      <c r="I565" t="s">
        <v>417</v>
      </c>
      <c r="J565" t="s">
        <v>860</v>
      </c>
      <c r="K565" t="s">
        <v>1466</v>
      </c>
      <c r="L565" s="8">
        <f>D565*N565</f>
        <v>0</v>
      </c>
      <c r="M565" t="s">
        <v>1525</v>
      </c>
      <c r="N565" s="8">
        <f>IF(E565="HUF", 1, IFERROR(VLOOKUP(A565&amp;E565, '91_Data_ExRates'!A:D, 4, FALSE), 1))</f>
        <v>0</v>
      </c>
    </row>
    <row r="566" spans="1:14">
      <c r="A566" t="s">
        <v>357</v>
      </c>
      <c r="B566" t="s">
        <v>382</v>
      </c>
      <c r="C566" t="s">
        <v>384</v>
      </c>
      <c r="D566">
        <v>11896</v>
      </c>
      <c r="E566" t="s">
        <v>396</v>
      </c>
      <c r="F566" t="s">
        <v>403</v>
      </c>
      <c r="I566" t="s">
        <v>417</v>
      </c>
      <c r="J566" t="s">
        <v>861</v>
      </c>
      <c r="K566" t="s">
        <v>1467</v>
      </c>
      <c r="L566" s="8">
        <f>D566*N566</f>
        <v>0</v>
      </c>
      <c r="M566" t="s">
        <v>1526</v>
      </c>
      <c r="N566" s="8">
        <f>IF(E566="HUF", 1, IFERROR(VLOOKUP(A566&amp;E566, '91_Data_ExRates'!A:D, 4, FALSE), 1))</f>
        <v>0</v>
      </c>
    </row>
    <row r="567" spans="1:14">
      <c r="A567" t="s">
        <v>357</v>
      </c>
      <c r="B567" t="s">
        <v>381</v>
      </c>
      <c r="C567" t="s">
        <v>384</v>
      </c>
      <c r="D567">
        <v>39396</v>
      </c>
      <c r="E567" t="s">
        <v>396</v>
      </c>
      <c r="F567" t="s">
        <v>411</v>
      </c>
      <c r="I567" t="s">
        <v>417</v>
      </c>
      <c r="J567" t="s">
        <v>862</v>
      </c>
      <c r="K567" t="s">
        <v>1468</v>
      </c>
      <c r="L567" s="8">
        <f>D567*N567</f>
        <v>0</v>
      </c>
      <c r="M567" t="s">
        <v>1527</v>
      </c>
      <c r="N567" s="8">
        <f>IF(E567="HUF", 1, IFERROR(VLOOKUP(A567&amp;E567, '91_Data_ExRates'!A:D, 4, FALSE), 1))</f>
        <v>0</v>
      </c>
    </row>
    <row r="568" spans="1:14">
      <c r="A568" t="s">
        <v>357</v>
      </c>
      <c r="B568" t="s">
        <v>381</v>
      </c>
      <c r="C568" t="s">
        <v>384</v>
      </c>
      <c r="D568">
        <v>357</v>
      </c>
      <c r="E568" t="s">
        <v>396</v>
      </c>
      <c r="F568" t="s">
        <v>403</v>
      </c>
      <c r="I568" t="s">
        <v>417</v>
      </c>
      <c r="J568" t="s">
        <v>863</v>
      </c>
      <c r="K568" t="s">
        <v>1469</v>
      </c>
      <c r="L568" s="8">
        <f>D568*N568</f>
        <v>0</v>
      </c>
      <c r="M568" t="s">
        <v>1528</v>
      </c>
      <c r="N568" s="8">
        <f>IF(E568="HUF", 1, IFERROR(VLOOKUP(A568&amp;E568, '91_Data_ExRates'!A:D, 4, FALSE), 1))</f>
        <v>0</v>
      </c>
    </row>
    <row r="569" spans="1:14">
      <c r="A569" t="s">
        <v>357</v>
      </c>
      <c r="B569" t="s">
        <v>381</v>
      </c>
      <c r="C569" t="s">
        <v>384</v>
      </c>
      <c r="D569">
        <v>1500</v>
      </c>
      <c r="E569" t="s">
        <v>396</v>
      </c>
      <c r="F569" t="s">
        <v>404</v>
      </c>
      <c r="I569" t="s">
        <v>417</v>
      </c>
      <c r="J569" t="s">
        <v>864</v>
      </c>
      <c r="K569" t="s">
        <v>1470</v>
      </c>
      <c r="L569" s="8">
        <f>D569*N569</f>
        <v>0</v>
      </c>
      <c r="M569" t="s">
        <v>1529</v>
      </c>
      <c r="N569" s="8">
        <f>IF(E569="HUF", 1, IFERROR(VLOOKUP(A569&amp;E569, '91_Data_ExRates'!A:D, 4, FALSE), 1))</f>
        <v>0</v>
      </c>
    </row>
    <row r="570" spans="1:14">
      <c r="A570" t="s">
        <v>357</v>
      </c>
      <c r="B570" t="s">
        <v>381</v>
      </c>
      <c r="C570" t="s">
        <v>384</v>
      </c>
      <c r="D570">
        <v>39396</v>
      </c>
      <c r="E570" t="s">
        <v>396</v>
      </c>
      <c r="F570" t="s">
        <v>411</v>
      </c>
      <c r="I570" t="s">
        <v>417</v>
      </c>
      <c r="J570" t="s">
        <v>865</v>
      </c>
      <c r="K570" t="s">
        <v>1471</v>
      </c>
      <c r="L570" s="8">
        <f>D570*N570</f>
        <v>0</v>
      </c>
      <c r="M570" t="s">
        <v>1530</v>
      </c>
      <c r="N570" s="8">
        <f>IF(E570="HUF", 1, IFERROR(VLOOKUP(A570&amp;E570, '91_Data_ExRates'!A:D, 4, FALSE), 1))</f>
        <v>0</v>
      </c>
    </row>
    <row r="571" spans="1:14">
      <c r="A571" t="s">
        <v>358</v>
      </c>
      <c r="B571" t="s">
        <v>381</v>
      </c>
      <c r="C571" t="s">
        <v>384</v>
      </c>
      <c r="D571">
        <v>7690</v>
      </c>
      <c r="E571" t="s">
        <v>396</v>
      </c>
      <c r="F571" t="s">
        <v>404</v>
      </c>
      <c r="I571" t="s">
        <v>417</v>
      </c>
      <c r="J571" t="s">
        <v>866</v>
      </c>
      <c r="K571" t="s">
        <v>1472</v>
      </c>
      <c r="L571" s="8">
        <f>D571*N571</f>
        <v>0</v>
      </c>
      <c r="M571" t="s">
        <v>1531</v>
      </c>
      <c r="N571" s="8">
        <f>IF(E571="HUF", 1, IFERROR(VLOOKUP(A571&amp;E571, '91_Data_ExRates'!A:D, 4, FALSE), 1))</f>
        <v>0</v>
      </c>
    </row>
    <row r="572" spans="1:14">
      <c r="A572" t="s">
        <v>359</v>
      </c>
      <c r="B572" t="s">
        <v>382</v>
      </c>
      <c r="C572" t="s">
        <v>384</v>
      </c>
      <c r="D572">
        <v>220050</v>
      </c>
      <c r="E572" t="s">
        <v>396</v>
      </c>
      <c r="F572" t="s">
        <v>412</v>
      </c>
      <c r="I572" t="s">
        <v>417</v>
      </c>
      <c r="K572" t="s">
        <v>1473</v>
      </c>
      <c r="L572" s="8">
        <f>D572*N572</f>
        <v>0</v>
      </c>
      <c r="M572" t="s">
        <v>1532</v>
      </c>
      <c r="N572" s="8">
        <f>IF(E572="HUF", 1, IFERROR(VLOOKUP(A572&amp;E572, '91_Data_ExRates'!A:D, 4, FALSE), 1))</f>
        <v>0</v>
      </c>
    </row>
    <row r="573" spans="1:14">
      <c r="A573" t="s">
        <v>360</v>
      </c>
      <c r="B573" t="s">
        <v>381</v>
      </c>
      <c r="C573" t="s">
        <v>384</v>
      </c>
      <c r="D573">
        <v>2010</v>
      </c>
      <c r="E573" t="s">
        <v>396</v>
      </c>
      <c r="F573" t="s">
        <v>404</v>
      </c>
      <c r="I573" t="s">
        <v>417</v>
      </c>
      <c r="J573" t="s">
        <v>867</v>
      </c>
      <c r="K573" t="s">
        <v>1474</v>
      </c>
      <c r="L573" s="8">
        <f>D573*N573</f>
        <v>0</v>
      </c>
      <c r="M573" t="s">
        <v>1533</v>
      </c>
      <c r="N573" s="8">
        <f>IF(E573="HUF", 1, IFERROR(VLOOKUP(A573&amp;E573, '91_Data_ExRates'!A:D, 4, FALSE), 1))</f>
        <v>0</v>
      </c>
    </row>
    <row r="574" spans="1:14">
      <c r="A574" t="s">
        <v>361</v>
      </c>
      <c r="B574" t="s">
        <v>381</v>
      </c>
      <c r="C574" t="s">
        <v>384</v>
      </c>
      <c r="D574">
        <v>2193</v>
      </c>
      <c r="E574" t="s">
        <v>396</v>
      </c>
      <c r="F574" t="s">
        <v>411</v>
      </c>
      <c r="I574" t="s">
        <v>417</v>
      </c>
      <c r="J574" t="s">
        <v>868</v>
      </c>
      <c r="K574" t="s">
        <v>1475</v>
      </c>
      <c r="L574" s="8">
        <f>D574*N574</f>
        <v>0</v>
      </c>
      <c r="M574" t="s">
        <v>1534</v>
      </c>
      <c r="N574" s="8">
        <f>IF(E574="HUF", 1, IFERROR(VLOOKUP(A574&amp;E574, '91_Data_ExRates'!A:D, 4, FALSE), 1))</f>
        <v>0</v>
      </c>
    </row>
    <row r="575" spans="1:14">
      <c r="A575" t="s">
        <v>362</v>
      </c>
      <c r="B575" t="s">
        <v>381</v>
      </c>
      <c r="C575" t="s">
        <v>384</v>
      </c>
      <c r="D575">
        <v>3500</v>
      </c>
      <c r="E575" t="s">
        <v>396</v>
      </c>
      <c r="F575" t="s">
        <v>404</v>
      </c>
      <c r="I575" t="s">
        <v>417</v>
      </c>
      <c r="J575" t="s">
        <v>869</v>
      </c>
      <c r="K575" t="s">
        <v>1476</v>
      </c>
      <c r="L575" s="8">
        <f>D575*N575</f>
        <v>0</v>
      </c>
      <c r="M575" t="s">
        <v>1535</v>
      </c>
      <c r="N575" s="8">
        <f>IF(E575="HUF", 1, IFERROR(VLOOKUP(A575&amp;E575, '91_Data_ExRates'!A:D, 4, FALSE), 1))</f>
        <v>0</v>
      </c>
    </row>
    <row r="576" spans="1:14">
      <c r="A576" t="s">
        <v>363</v>
      </c>
      <c r="B576" t="s">
        <v>381</v>
      </c>
      <c r="C576" t="s">
        <v>384</v>
      </c>
      <c r="D576">
        <v>2400</v>
      </c>
      <c r="E576" t="s">
        <v>396</v>
      </c>
      <c r="F576" t="s">
        <v>403</v>
      </c>
      <c r="I576" t="s">
        <v>417</v>
      </c>
      <c r="J576" t="s">
        <v>870</v>
      </c>
      <c r="K576" t="s">
        <v>1477</v>
      </c>
      <c r="L576" s="8">
        <f>D576*N576</f>
        <v>0</v>
      </c>
      <c r="M576" t="s">
        <v>1536</v>
      </c>
      <c r="N576" s="8">
        <f>IF(E576="HUF", 1, IFERROR(VLOOKUP(A576&amp;E576, '91_Data_ExRates'!A:D, 4, FALSE), 1))</f>
        <v>0</v>
      </c>
    </row>
    <row r="577" spans="1:14">
      <c r="A577" t="s">
        <v>364</v>
      </c>
      <c r="B577" t="s">
        <v>381</v>
      </c>
      <c r="C577" t="s">
        <v>384</v>
      </c>
      <c r="D577">
        <v>4000</v>
      </c>
      <c r="E577" t="s">
        <v>396</v>
      </c>
      <c r="F577" t="s">
        <v>401</v>
      </c>
      <c r="I577" t="s">
        <v>417</v>
      </c>
      <c r="J577" t="s">
        <v>871</v>
      </c>
      <c r="K577" t="s">
        <v>1478</v>
      </c>
      <c r="L577" s="8">
        <f>D577*N577</f>
        <v>0</v>
      </c>
      <c r="M577" t="s">
        <v>1537</v>
      </c>
      <c r="N577" s="8">
        <f>IF(E577="HUF", 1, IFERROR(VLOOKUP(A577&amp;E577, '91_Data_ExRates'!A:D, 4, FALSE), 1))</f>
        <v>0</v>
      </c>
    </row>
    <row r="578" spans="1:14">
      <c r="A578" t="s">
        <v>364</v>
      </c>
      <c r="B578" t="s">
        <v>381</v>
      </c>
      <c r="C578" t="s">
        <v>384</v>
      </c>
      <c r="D578">
        <v>3500</v>
      </c>
      <c r="E578" t="s">
        <v>396</v>
      </c>
      <c r="F578" t="s">
        <v>404</v>
      </c>
      <c r="I578" t="s">
        <v>417</v>
      </c>
      <c r="J578" t="s">
        <v>872</v>
      </c>
      <c r="K578" t="s">
        <v>1479</v>
      </c>
      <c r="L578" s="8">
        <f>D578*N578</f>
        <v>0</v>
      </c>
      <c r="M578" t="s">
        <v>1538</v>
      </c>
      <c r="N578" s="8">
        <f>IF(E578="HUF", 1, IFERROR(VLOOKUP(A578&amp;E578, '91_Data_ExRates'!A:D, 4, FALSE), 1))</f>
        <v>0</v>
      </c>
    </row>
    <row r="579" spans="1:14">
      <c r="A579" t="s">
        <v>364</v>
      </c>
      <c r="B579" t="s">
        <v>381</v>
      </c>
      <c r="C579" t="s">
        <v>384</v>
      </c>
      <c r="D579">
        <v>2400</v>
      </c>
      <c r="E579" t="s">
        <v>396</v>
      </c>
      <c r="F579" t="s">
        <v>403</v>
      </c>
      <c r="I579" t="s">
        <v>417</v>
      </c>
      <c r="J579" t="s">
        <v>873</v>
      </c>
      <c r="K579" t="s">
        <v>1480</v>
      </c>
      <c r="L579" s="8">
        <f>D579*N579</f>
        <v>0</v>
      </c>
      <c r="M579" t="s">
        <v>1539</v>
      </c>
      <c r="N579" s="8">
        <f>IF(E579="HUF", 1, IFERROR(VLOOKUP(A579&amp;E579, '91_Data_ExRates'!A:D, 4, FALSE), 1))</f>
        <v>0</v>
      </c>
    </row>
    <row r="580" spans="1:14">
      <c r="A580" t="s">
        <v>365</v>
      </c>
      <c r="B580" t="s">
        <v>381</v>
      </c>
      <c r="C580" t="s">
        <v>388</v>
      </c>
      <c r="D580">
        <v>41.68</v>
      </c>
      <c r="E580" t="s">
        <v>397</v>
      </c>
      <c r="F580" t="s">
        <v>411</v>
      </c>
      <c r="I580" t="s">
        <v>417</v>
      </c>
      <c r="J580" t="s">
        <v>874</v>
      </c>
      <c r="K580" t="s">
        <v>1481</v>
      </c>
      <c r="L580" s="8">
        <f>D580*N580</f>
        <v>0</v>
      </c>
      <c r="M580" t="s">
        <v>1540</v>
      </c>
      <c r="N580" s="8">
        <f>IF(E580="HUF", 1, IFERROR(VLOOKUP(A580&amp;E580, '91_Data_ExRates'!A:D, 4, FALSE), 1))</f>
        <v>0</v>
      </c>
    </row>
    <row r="581" spans="1:14">
      <c r="A581" t="s">
        <v>365</v>
      </c>
      <c r="B581" t="s">
        <v>381</v>
      </c>
      <c r="C581" t="s">
        <v>384</v>
      </c>
      <c r="D581">
        <v>45465</v>
      </c>
      <c r="E581" t="s">
        <v>396</v>
      </c>
      <c r="F581" t="s">
        <v>401</v>
      </c>
      <c r="I581" t="s">
        <v>417</v>
      </c>
      <c r="J581" t="s">
        <v>874</v>
      </c>
      <c r="K581" t="s">
        <v>1482</v>
      </c>
      <c r="L581" s="8">
        <f>D581*N581</f>
        <v>0</v>
      </c>
      <c r="M581" t="s">
        <v>1541</v>
      </c>
      <c r="N581" s="8">
        <f>IF(E581="HUF", 1, IFERROR(VLOOKUP(A581&amp;E581, '91_Data_ExRates'!A:D, 4, FALSE), 1))</f>
        <v>0</v>
      </c>
    </row>
    <row r="582" spans="1:14">
      <c r="A582" t="s">
        <v>366</v>
      </c>
      <c r="B582" t="s">
        <v>381</v>
      </c>
      <c r="C582" t="s">
        <v>384</v>
      </c>
      <c r="D582">
        <v>8790</v>
      </c>
      <c r="E582" t="s">
        <v>396</v>
      </c>
      <c r="F582" t="s">
        <v>410</v>
      </c>
      <c r="I582" t="s">
        <v>417</v>
      </c>
      <c r="J582" t="s">
        <v>875</v>
      </c>
      <c r="K582" t="s">
        <v>1483</v>
      </c>
      <c r="L582" s="8">
        <f>D582*N582</f>
        <v>0</v>
      </c>
      <c r="M582" t="s">
        <v>1542</v>
      </c>
      <c r="N582" s="8">
        <f>IF(E582="HUF", 1, IFERROR(VLOOKUP(A582&amp;E582, '91_Data_ExRates'!A:D, 4, FALSE), 1))</f>
        <v>0</v>
      </c>
    </row>
    <row r="583" spans="1:14">
      <c r="A583" t="s">
        <v>366</v>
      </c>
      <c r="B583" t="s">
        <v>381</v>
      </c>
      <c r="C583" t="s">
        <v>384</v>
      </c>
      <c r="D583">
        <v>565</v>
      </c>
      <c r="E583" t="s">
        <v>396</v>
      </c>
      <c r="F583" t="s">
        <v>405</v>
      </c>
      <c r="I583" t="s">
        <v>417</v>
      </c>
      <c r="J583" t="s">
        <v>876</v>
      </c>
      <c r="K583" t="s">
        <v>1484</v>
      </c>
      <c r="L583" s="8">
        <f>D583*N583</f>
        <v>0</v>
      </c>
      <c r="M583" t="s">
        <v>1543</v>
      </c>
      <c r="N583" s="8">
        <f>IF(E583="HUF", 1, IFERROR(VLOOKUP(A583&amp;E583, '91_Data_ExRates'!A:D, 4, FALSE), 1))</f>
        <v>0</v>
      </c>
    </row>
    <row r="584" spans="1:14">
      <c r="A584" t="s">
        <v>367</v>
      </c>
      <c r="B584" t="s">
        <v>381</v>
      </c>
      <c r="C584" t="s">
        <v>384</v>
      </c>
      <c r="D584">
        <v>1450</v>
      </c>
      <c r="E584" t="s">
        <v>396</v>
      </c>
      <c r="F584" t="s">
        <v>403</v>
      </c>
      <c r="I584" t="s">
        <v>417</v>
      </c>
      <c r="J584" t="s">
        <v>877</v>
      </c>
      <c r="K584" t="s">
        <v>1485</v>
      </c>
      <c r="L584" s="8">
        <f>D584*N584</f>
        <v>0</v>
      </c>
      <c r="M584" t="s">
        <v>1544</v>
      </c>
      <c r="N584" s="8">
        <f>IF(E584="HUF", 1, IFERROR(VLOOKUP(A584&amp;E584, '91_Data_ExRates'!A:D, 4, FALSE), 1))</f>
        <v>0</v>
      </c>
    </row>
    <row r="585" spans="1:14">
      <c r="A585" t="s">
        <v>368</v>
      </c>
      <c r="B585" t="s">
        <v>381</v>
      </c>
      <c r="C585" t="s">
        <v>384</v>
      </c>
      <c r="D585">
        <v>3026</v>
      </c>
      <c r="E585" t="s">
        <v>396</v>
      </c>
      <c r="F585" t="s">
        <v>404</v>
      </c>
      <c r="I585" t="s">
        <v>417</v>
      </c>
      <c r="J585" t="s">
        <v>878</v>
      </c>
      <c r="K585" t="s">
        <v>1486</v>
      </c>
      <c r="L585" s="8">
        <f>D585*N585</f>
        <v>0</v>
      </c>
      <c r="M585" t="s">
        <v>1545</v>
      </c>
      <c r="N585" s="8">
        <f>IF(E585="HUF", 1, IFERROR(VLOOKUP(A585&amp;E585, '91_Data_ExRates'!A:D, 4, FALSE), 1))</f>
        <v>0</v>
      </c>
    </row>
    <row r="586" spans="1:14">
      <c r="A586" t="s">
        <v>368</v>
      </c>
      <c r="B586" t="s">
        <v>381</v>
      </c>
      <c r="C586" t="s">
        <v>384</v>
      </c>
      <c r="D586">
        <v>2790</v>
      </c>
      <c r="E586" t="s">
        <v>396</v>
      </c>
      <c r="F586" t="s">
        <v>403</v>
      </c>
      <c r="I586" t="s">
        <v>417</v>
      </c>
      <c r="J586" t="s">
        <v>879</v>
      </c>
      <c r="K586" t="s">
        <v>1487</v>
      </c>
      <c r="L586" s="8">
        <f>D586*N586</f>
        <v>0</v>
      </c>
      <c r="M586" t="s">
        <v>1546</v>
      </c>
      <c r="N586" s="8">
        <f>IF(E586="HUF", 1, IFERROR(VLOOKUP(A586&amp;E586, '91_Data_ExRates'!A:D, 4, FALSE), 1))</f>
        <v>0</v>
      </c>
    </row>
    <row r="587" spans="1:14">
      <c r="A587" t="s">
        <v>368</v>
      </c>
      <c r="B587" t="s">
        <v>381</v>
      </c>
      <c r="C587" t="s">
        <v>384</v>
      </c>
      <c r="D587">
        <v>790</v>
      </c>
      <c r="E587" t="s">
        <v>396</v>
      </c>
      <c r="F587" t="s">
        <v>404</v>
      </c>
      <c r="I587" t="s">
        <v>417</v>
      </c>
      <c r="J587" t="s">
        <v>880</v>
      </c>
      <c r="K587" t="s">
        <v>1488</v>
      </c>
      <c r="L587" s="8">
        <f>D587*N587</f>
        <v>0</v>
      </c>
      <c r="M587" t="s">
        <v>1547</v>
      </c>
      <c r="N587" s="8">
        <f>IF(E587="HUF", 1, IFERROR(VLOOKUP(A587&amp;E587, '91_Data_ExRates'!A:D, 4, FALSE), 1))</f>
        <v>0</v>
      </c>
    </row>
    <row r="588" spans="1:14">
      <c r="A588" t="s">
        <v>368</v>
      </c>
      <c r="B588" t="s">
        <v>381</v>
      </c>
      <c r="C588" t="s">
        <v>384</v>
      </c>
      <c r="D588">
        <v>1890</v>
      </c>
      <c r="E588" t="s">
        <v>396</v>
      </c>
      <c r="I588" t="s">
        <v>417</v>
      </c>
      <c r="J588" t="s">
        <v>604</v>
      </c>
      <c r="K588" t="s">
        <v>1489</v>
      </c>
      <c r="L588" s="8">
        <f>D588*N588</f>
        <v>0</v>
      </c>
      <c r="M588" t="s">
        <v>1548</v>
      </c>
      <c r="N588" s="8">
        <f>IF(E588="HUF", 1, IFERROR(VLOOKUP(A588&amp;E588, '91_Data_ExRates'!A:D, 4, FALSE), 1))</f>
        <v>0</v>
      </c>
    </row>
    <row r="589" spans="1:14">
      <c r="A589" t="s">
        <v>369</v>
      </c>
      <c r="B589" t="s">
        <v>381</v>
      </c>
      <c r="C589" t="s">
        <v>384</v>
      </c>
      <c r="D589">
        <v>4250</v>
      </c>
      <c r="E589" t="s">
        <v>396</v>
      </c>
      <c r="F589" t="s">
        <v>403</v>
      </c>
      <c r="I589" t="s">
        <v>417</v>
      </c>
      <c r="J589" t="s">
        <v>881</v>
      </c>
      <c r="K589" t="s">
        <v>1490</v>
      </c>
      <c r="L589" s="8">
        <f>D589*N589</f>
        <v>0</v>
      </c>
      <c r="M589" t="s">
        <v>1549</v>
      </c>
      <c r="N589" s="8">
        <f>IF(E589="HUF", 1, IFERROR(VLOOKUP(A589&amp;E589, '91_Data_ExRates'!A:D, 4, FALSE), 1))</f>
        <v>0</v>
      </c>
    </row>
    <row r="590" spans="1:14">
      <c r="A590" t="s">
        <v>369</v>
      </c>
      <c r="B590" t="s">
        <v>381</v>
      </c>
      <c r="C590" t="s">
        <v>384</v>
      </c>
      <c r="D590">
        <v>1839</v>
      </c>
      <c r="E590" t="s">
        <v>396</v>
      </c>
      <c r="F590" t="s">
        <v>406</v>
      </c>
      <c r="I590" t="s">
        <v>417</v>
      </c>
      <c r="J590" t="s">
        <v>882</v>
      </c>
      <c r="K590" t="s">
        <v>1491</v>
      </c>
      <c r="L590" s="8">
        <f>D590*N590</f>
        <v>0</v>
      </c>
      <c r="M590" t="s">
        <v>1550</v>
      </c>
      <c r="N590" s="8">
        <f>IF(E590="HUF", 1, IFERROR(VLOOKUP(A590&amp;E590, '91_Data_ExRates'!A:D, 4, FALSE), 1))</f>
        <v>0</v>
      </c>
    </row>
    <row r="591" spans="1:14">
      <c r="A591" t="s">
        <v>370</v>
      </c>
      <c r="B591" t="s">
        <v>381</v>
      </c>
      <c r="C591" t="s">
        <v>384</v>
      </c>
      <c r="D591">
        <v>17500</v>
      </c>
      <c r="E591" t="s">
        <v>396</v>
      </c>
      <c r="F591" t="s">
        <v>403</v>
      </c>
      <c r="I591" t="s">
        <v>417</v>
      </c>
      <c r="J591" t="s">
        <v>883</v>
      </c>
      <c r="K591" t="s">
        <v>1492</v>
      </c>
      <c r="L591" s="8">
        <f>D591*N591</f>
        <v>0</v>
      </c>
      <c r="M591" t="s">
        <v>1551</v>
      </c>
      <c r="N591" s="8">
        <f>IF(E591="HUF", 1, IFERROR(VLOOKUP(A591&amp;E591, '91_Data_ExRates'!A:D, 4, FALSE), 1))</f>
        <v>0</v>
      </c>
    </row>
    <row r="592" spans="1:14">
      <c r="A592" t="s">
        <v>371</v>
      </c>
      <c r="B592" t="s">
        <v>382</v>
      </c>
      <c r="C592" t="s">
        <v>384</v>
      </c>
      <c r="D592">
        <v>220500</v>
      </c>
      <c r="E592" t="s">
        <v>396</v>
      </c>
      <c r="F592" t="s">
        <v>412</v>
      </c>
      <c r="I592" t="s">
        <v>417</v>
      </c>
      <c r="J592" t="s">
        <v>884</v>
      </c>
      <c r="K592" t="s">
        <v>1493</v>
      </c>
      <c r="L592" s="8">
        <f>D592*N592</f>
        <v>0</v>
      </c>
      <c r="M592" t="s">
        <v>1552</v>
      </c>
      <c r="N592" s="8">
        <f>IF(E592="HUF", 1, IFERROR(VLOOKUP(A592&amp;E592, '91_Data_ExRates'!A:D, 4, FALSE), 1))</f>
        <v>0</v>
      </c>
    </row>
    <row r="593" spans="1:14">
      <c r="A593" t="s">
        <v>371</v>
      </c>
      <c r="B593" t="s">
        <v>382</v>
      </c>
      <c r="C593" t="s">
        <v>384</v>
      </c>
      <c r="D593">
        <v>220500</v>
      </c>
      <c r="E593" t="s">
        <v>396</v>
      </c>
      <c r="F593" t="s">
        <v>412</v>
      </c>
      <c r="I593" t="s">
        <v>417</v>
      </c>
      <c r="J593" t="s">
        <v>885</v>
      </c>
      <c r="K593" t="s">
        <v>1494</v>
      </c>
      <c r="L593" s="8">
        <f>D593*N593</f>
        <v>0</v>
      </c>
      <c r="M593" t="s">
        <v>1553</v>
      </c>
      <c r="N593" s="8">
        <f>IF(E593="HUF", 1, IFERROR(VLOOKUP(A593&amp;E593, '91_Data_ExRates'!A:D, 4, FALSE), 1))</f>
        <v>0</v>
      </c>
    </row>
    <row r="594" spans="1:14">
      <c r="A594" t="s">
        <v>371</v>
      </c>
      <c r="B594" t="s">
        <v>382</v>
      </c>
      <c r="C594" t="s">
        <v>384</v>
      </c>
      <c r="D594">
        <v>203750</v>
      </c>
      <c r="E594" t="s">
        <v>396</v>
      </c>
      <c r="F594" t="s">
        <v>412</v>
      </c>
      <c r="I594" t="s">
        <v>417</v>
      </c>
      <c r="J594" t="s">
        <v>886</v>
      </c>
      <c r="K594" t="s">
        <v>1495</v>
      </c>
      <c r="L594" s="8">
        <f>D594*N594</f>
        <v>0</v>
      </c>
      <c r="M594" t="s">
        <v>1554</v>
      </c>
      <c r="N594" s="8">
        <f>IF(E594="HUF", 1, IFERROR(VLOOKUP(A594&amp;E594, '91_Data_ExRates'!A:D, 4, FALSE), 1))</f>
        <v>0</v>
      </c>
    </row>
    <row r="595" spans="1:14">
      <c r="A595" t="s">
        <v>371</v>
      </c>
      <c r="B595" t="s">
        <v>381</v>
      </c>
      <c r="C595" t="s">
        <v>384</v>
      </c>
      <c r="D595">
        <v>1227</v>
      </c>
      <c r="E595" t="s">
        <v>396</v>
      </c>
      <c r="F595" t="s">
        <v>400</v>
      </c>
      <c r="I595" t="s">
        <v>417</v>
      </c>
      <c r="J595" t="s">
        <v>887</v>
      </c>
      <c r="K595" t="s">
        <v>1496</v>
      </c>
      <c r="L595" s="8">
        <f>D595*N595</f>
        <v>0</v>
      </c>
      <c r="M595" t="s">
        <v>1555</v>
      </c>
      <c r="N595" s="8">
        <f>IF(E595="HUF", 1, IFERROR(VLOOKUP(A595&amp;E595, '91_Data_ExRates'!A:D, 4, FALSE), 1))</f>
        <v>0</v>
      </c>
    </row>
    <row r="596" spans="1:14">
      <c r="A596" t="s">
        <v>372</v>
      </c>
      <c r="B596" t="s">
        <v>381</v>
      </c>
      <c r="C596" t="s">
        <v>384</v>
      </c>
      <c r="D596">
        <v>500</v>
      </c>
      <c r="E596" t="s">
        <v>396</v>
      </c>
      <c r="F596" t="s">
        <v>403</v>
      </c>
      <c r="I596" t="s">
        <v>417</v>
      </c>
      <c r="J596" t="s">
        <v>888</v>
      </c>
      <c r="K596" t="s">
        <v>1497</v>
      </c>
      <c r="L596" s="8">
        <f>D596*N596</f>
        <v>0</v>
      </c>
      <c r="M596" t="s">
        <v>1556</v>
      </c>
      <c r="N596" s="8">
        <f>IF(E596="HUF", 1, IFERROR(VLOOKUP(A596&amp;E596, '91_Data_ExRates'!A:D, 4, FALSE), 1))</f>
        <v>0</v>
      </c>
    </row>
    <row r="597" spans="1:14">
      <c r="A597" t="s">
        <v>373</v>
      </c>
      <c r="B597" t="s">
        <v>381</v>
      </c>
      <c r="C597" t="s">
        <v>384</v>
      </c>
      <c r="D597">
        <v>257</v>
      </c>
      <c r="E597" t="s">
        <v>396</v>
      </c>
      <c r="F597" t="s">
        <v>403</v>
      </c>
      <c r="I597" t="s">
        <v>417</v>
      </c>
      <c r="J597" t="s">
        <v>889</v>
      </c>
      <c r="K597" t="s">
        <v>1498</v>
      </c>
      <c r="L597" s="8">
        <f>D597*N597</f>
        <v>0</v>
      </c>
      <c r="M597" t="s">
        <v>1557</v>
      </c>
      <c r="N597" s="8">
        <f>IF(E597="HUF", 1, IFERROR(VLOOKUP(A597&amp;E597, '91_Data_ExRates'!A:D, 4, FALSE), 1))</f>
        <v>0</v>
      </c>
    </row>
    <row r="598" spans="1:14">
      <c r="A598" t="s">
        <v>374</v>
      </c>
      <c r="B598" t="s">
        <v>381</v>
      </c>
      <c r="C598" t="s">
        <v>385</v>
      </c>
      <c r="D598">
        <v>2300</v>
      </c>
      <c r="E598" t="s">
        <v>396</v>
      </c>
      <c r="F598" t="s">
        <v>403</v>
      </c>
      <c r="I598" t="s">
        <v>417</v>
      </c>
      <c r="J598" t="s">
        <v>890</v>
      </c>
      <c r="K598" t="s">
        <v>1499</v>
      </c>
      <c r="L598" s="8">
        <f>D598*N598</f>
        <v>0</v>
      </c>
      <c r="M598" t="s">
        <v>1558</v>
      </c>
      <c r="N598" s="8">
        <f>IF(E598="HUF", 1, IFERROR(VLOOKUP(A598&amp;E598, '91_Data_ExRates'!A:D, 4, FALSE), 1))</f>
        <v>0</v>
      </c>
    </row>
    <row r="599" spans="1:14">
      <c r="A599" t="s">
        <v>374</v>
      </c>
      <c r="B599" t="s">
        <v>381</v>
      </c>
      <c r="C599" t="s">
        <v>384</v>
      </c>
      <c r="D599">
        <v>4300</v>
      </c>
      <c r="E599" t="s">
        <v>396</v>
      </c>
      <c r="F599" t="s">
        <v>410</v>
      </c>
      <c r="I599" t="s">
        <v>417</v>
      </c>
      <c r="J599" t="s">
        <v>891</v>
      </c>
      <c r="K599" t="s">
        <v>1500</v>
      </c>
      <c r="L599" s="8">
        <f>D599*N599</f>
        <v>0</v>
      </c>
      <c r="M599" t="s">
        <v>1559</v>
      </c>
      <c r="N599" s="8">
        <f>IF(E599="HUF", 1, IFERROR(VLOOKUP(A599&amp;E599, '91_Data_ExRates'!A:D, 4, FALSE), 1))</f>
        <v>0</v>
      </c>
    </row>
    <row r="600" spans="1:14">
      <c r="A600" t="s">
        <v>375</v>
      </c>
      <c r="B600" t="s">
        <v>381</v>
      </c>
      <c r="C600" t="s">
        <v>384</v>
      </c>
      <c r="D600">
        <v>633</v>
      </c>
      <c r="E600" t="s">
        <v>396</v>
      </c>
      <c r="I600" t="s">
        <v>417</v>
      </c>
      <c r="J600" t="s">
        <v>892</v>
      </c>
      <c r="K600" t="s">
        <v>1501</v>
      </c>
      <c r="L600" s="8">
        <f>D600*N600</f>
        <v>0</v>
      </c>
      <c r="M600" t="s">
        <v>1560</v>
      </c>
      <c r="N600" s="8">
        <f>IF(E600="HUF", 1, IFERROR(VLOOKUP(A600&amp;E600, '91_Data_ExRates'!A:D, 4, FALSE), 1))</f>
        <v>0</v>
      </c>
    </row>
    <row r="601" spans="1:14">
      <c r="A601" t="s">
        <v>376</v>
      </c>
      <c r="B601" t="s">
        <v>381</v>
      </c>
      <c r="C601" t="s">
        <v>384</v>
      </c>
      <c r="D601">
        <v>1800</v>
      </c>
      <c r="E601" t="s">
        <v>396</v>
      </c>
      <c r="F601" t="s">
        <v>406</v>
      </c>
      <c r="I601" t="s">
        <v>417</v>
      </c>
      <c r="J601" t="s">
        <v>893</v>
      </c>
      <c r="K601" t="s">
        <v>1502</v>
      </c>
      <c r="L601" s="8">
        <f>D601*N601</f>
        <v>0</v>
      </c>
      <c r="M601" t="s">
        <v>1561</v>
      </c>
      <c r="N601" s="8">
        <f>IF(E601="HUF", 1, IFERROR(VLOOKUP(A601&amp;E601, '91_Data_ExRates'!A:D, 4, FALSE), 1))</f>
        <v>0</v>
      </c>
    </row>
    <row r="602" spans="1:14">
      <c r="A602" t="s">
        <v>377</v>
      </c>
      <c r="B602" t="s">
        <v>381</v>
      </c>
      <c r="C602" t="s">
        <v>384</v>
      </c>
      <c r="D602">
        <v>3400</v>
      </c>
      <c r="E602" t="s">
        <v>396</v>
      </c>
      <c r="F602" t="s">
        <v>403</v>
      </c>
      <c r="I602" t="s">
        <v>417</v>
      </c>
      <c r="J602" t="s">
        <v>894</v>
      </c>
      <c r="K602" t="s">
        <v>1503</v>
      </c>
      <c r="L602" s="8">
        <f>D602*N602</f>
        <v>0</v>
      </c>
      <c r="M602" t="s">
        <v>1562</v>
      </c>
      <c r="N602" s="8">
        <f>IF(E602="HUF", 1, IFERROR(VLOOKUP(A602&amp;E602, '91_Data_ExRates'!A:D, 4, FALSE), 1))</f>
        <v>0</v>
      </c>
    </row>
    <row r="603" spans="1:14">
      <c r="A603" t="s">
        <v>377</v>
      </c>
      <c r="B603" t="s">
        <v>381</v>
      </c>
      <c r="C603" t="s">
        <v>384</v>
      </c>
      <c r="D603">
        <v>1390</v>
      </c>
      <c r="E603" t="s">
        <v>396</v>
      </c>
      <c r="F603" t="s">
        <v>404</v>
      </c>
      <c r="I603" t="s">
        <v>417</v>
      </c>
      <c r="J603" t="s">
        <v>895</v>
      </c>
      <c r="K603" t="s">
        <v>1504</v>
      </c>
      <c r="L603" s="8">
        <f>D603*N603</f>
        <v>0</v>
      </c>
      <c r="M603" t="s">
        <v>1563</v>
      </c>
      <c r="N603" s="8">
        <f>IF(E603="HUF", 1, IFERROR(VLOOKUP(A603&amp;E603, '91_Data_ExRates'!A:D, 4, FALSE), 1))</f>
        <v>0</v>
      </c>
    </row>
    <row r="604" spans="1:14">
      <c r="A604" t="s">
        <v>377</v>
      </c>
      <c r="B604" t="s">
        <v>381</v>
      </c>
      <c r="C604" t="s">
        <v>384</v>
      </c>
      <c r="D604">
        <v>4460</v>
      </c>
      <c r="E604" t="s">
        <v>396</v>
      </c>
      <c r="F604" t="s">
        <v>404</v>
      </c>
      <c r="I604" t="s">
        <v>417</v>
      </c>
      <c r="J604" t="s">
        <v>896</v>
      </c>
      <c r="K604" t="s">
        <v>1505</v>
      </c>
      <c r="L604" s="8">
        <f>D604*N604</f>
        <v>0</v>
      </c>
      <c r="M604" t="s">
        <v>1564</v>
      </c>
      <c r="N604" s="8">
        <f>IF(E604="HUF", 1, IFERROR(VLOOKUP(A604&amp;E604, '91_Data_ExRates'!A:D, 4, FALSE), 1))</f>
        <v>0</v>
      </c>
    </row>
    <row r="605" spans="1:14">
      <c r="A605" t="s">
        <v>378</v>
      </c>
      <c r="B605" t="s">
        <v>381</v>
      </c>
      <c r="C605" t="s">
        <v>384</v>
      </c>
      <c r="D605">
        <v>988</v>
      </c>
      <c r="E605" t="s">
        <v>396</v>
      </c>
      <c r="F605" t="s">
        <v>404</v>
      </c>
      <c r="I605" t="s">
        <v>417</v>
      </c>
      <c r="J605" t="s">
        <v>897</v>
      </c>
      <c r="K605" t="s">
        <v>1506</v>
      </c>
      <c r="L605" s="8">
        <f>D605*N605</f>
        <v>0</v>
      </c>
      <c r="M605" t="s">
        <v>1565</v>
      </c>
      <c r="N605" s="8">
        <f>IF(E605="HUF", 1, IFERROR(VLOOKUP(A605&amp;E605, '91_Data_ExRates'!A:D, 4, FALSE), 1))</f>
        <v>0</v>
      </c>
    </row>
    <row r="606" spans="1:14">
      <c r="A606" t="s">
        <v>378</v>
      </c>
      <c r="B606" t="s">
        <v>381</v>
      </c>
      <c r="C606" t="s">
        <v>384</v>
      </c>
      <c r="D606">
        <v>10290</v>
      </c>
      <c r="E606" t="s">
        <v>396</v>
      </c>
      <c r="F606" t="s">
        <v>403</v>
      </c>
      <c r="I606" t="s">
        <v>417</v>
      </c>
      <c r="J606" t="s">
        <v>898</v>
      </c>
      <c r="K606" t="s">
        <v>1507</v>
      </c>
      <c r="L606" s="8">
        <f>D606*N606</f>
        <v>0</v>
      </c>
      <c r="M606" t="s">
        <v>1566</v>
      </c>
      <c r="N606" s="8">
        <f>IF(E606="HUF", 1, IFERROR(VLOOKUP(A606&amp;E606, '91_Data_ExRates'!A:D, 4, FALSE), 1))</f>
        <v>0</v>
      </c>
    </row>
    <row r="607" spans="1:14">
      <c r="A607" t="s">
        <v>379</v>
      </c>
      <c r="B607" t="s">
        <v>381</v>
      </c>
      <c r="C607" t="s">
        <v>385</v>
      </c>
      <c r="D607">
        <v>2406</v>
      </c>
      <c r="E607" t="s">
        <v>396</v>
      </c>
      <c r="F607" t="s">
        <v>410</v>
      </c>
      <c r="I607" t="s">
        <v>417</v>
      </c>
      <c r="J607" t="s">
        <v>899</v>
      </c>
      <c r="K607" t="s">
        <v>1508</v>
      </c>
      <c r="L607" s="8">
        <f>D607*N607</f>
        <v>0</v>
      </c>
      <c r="M607" t="s">
        <v>1567</v>
      </c>
      <c r="N607" s="8">
        <f>IF(E607="HUF", 1, IFERROR(VLOOKUP(A607&amp;E607, '91_Data_ExRates'!A:D, 4, FALSE), 1))</f>
        <v>0</v>
      </c>
    </row>
    <row r="608" spans="1:14">
      <c r="A608" t="s">
        <v>379</v>
      </c>
      <c r="B608" t="s">
        <v>381</v>
      </c>
      <c r="C608" t="s">
        <v>385</v>
      </c>
      <c r="D608">
        <v>2925</v>
      </c>
      <c r="E608" t="s">
        <v>396</v>
      </c>
      <c r="F608" t="s">
        <v>403</v>
      </c>
      <c r="I608" t="s">
        <v>417</v>
      </c>
      <c r="J608" t="s">
        <v>900</v>
      </c>
      <c r="K608" t="s">
        <v>1509</v>
      </c>
      <c r="L608" s="8">
        <f>D608*N608</f>
        <v>0</v>
      </c>
      <c r="M608" t="s">
        <v>1568</v>
      </c>
      <c r="N608" s="8">
        <f>IF(E608="HUF", 1, IFERROR(VLOOKUP(A608&amp;E608, '91_Data_ExRates'!A:D, 4, FALSE), 1))</f>
        <v>0</v>
      </c>
    </row>
    <row r="609" spans="1:14">
      <c r="A609" t="s">
        <v>380</v>
      </c>
      <c r="B609" t="s">
        <v>381</v>
      </c>
      <c r="C609" t="s">
        <v>385</v>
      </c>
      <c r="D609">
        <v>8790</v>
      </c>
      <c r="E609" t="s">
        <v>396</v>
      </c>
      <c r="F609" t="s">
        <v>410</v>
      </c>
      <c r="I609" t="s">
        <v>417</v>
      </c>
      <c r="J609" t="s">
        <v>800</v>
      </c>
      <c r="K609" t="s">
        <v>1510</v>
      </c>
      <c r="L609" s="8">
        <f>D609*N609</f>
        <v>0</v>
      </c>
      <c r="M609" t="s">
        <v>1569</v>
      </c>
      <c r="N609" s="8">
        <f>IF(E609="HUF", 1, IFERROR(VLOOKUP(A609&amp;E609, '91_Data_ExRates'!A:D, 4, FALSE), 1))</f>
        <v>0</v>
      </c>
    </row>
    <row r="610" spans="1:14">
      <c r="A610" t="s">
        <v>380</v>
      </c>
      <c r="B610" t="s">
        <v>381</v>
      </c>
      <c r="C610" t="s">
        <v>384</v>
      </c>
      <c r="D610">
        <v>2209</v>
      </c>
      <c r="E610" t="s">
        <v>396</v>
      </c>
      <c r="F610" t="s">
        <v>410</v>
      </c>
      <c r="I610" t="s">
        <v>417</v>
      </c>
      <c r="J610" t="s">
        <v>901</v>
      </c>
      <c r="K610" t="s">
        <v>1511</v>
      </c>
      <c r="L610" s="8">
        <f>D610*N610</f>
        <v>0</v>
      </c>
      <c r="M610" t="s">
        <v>1570</v>
      </c>
      <c r="N610" s="8">
        <f>IF(E610="HUF", 1, IFERROR(VLOOKUP(A610&amp;E610, '91_Data_ExRates'!A:D, 4, FALSE), 1))</f>
        <v>0</v>
      </c>
    </row>
    <row r="611" spans="1:14">
      <c r="A611" t="s">
        <v>380</v>
      </c>
      <c r="B611" t="s">
        <v>381</v>
      </c>
      <c r="C611" t="s">
        <v>384</v>
      </c>
      <c r="D611">
        <v>1890</v>
      </c>
      <c r="E611" t="s">
        <v>396</v>
      </c>
      <c r="I611" t="s">
        <v>417</v>
      </c>
      <c r="J611" t="s">
        <v>604</v>
      </c>
      <c r="K611" t="s">
        <v>1512</v>
      </c>
      <c r="L611" s="8">
        <f>D611*N611</f>
        <v>0</v>
      </c>
      <c r="M611" t="s">
        <v>1571</v>
      </c>
      <c r="N611" s="8">
        <f>IF(E611="HUF", 1, IFERROR(VLOOKUP(A611&amp;E611, '91_Data_ExRates'!A:D, 4, FALSE), 1))</f>
        <v>0</v>
      </c>
    </row>
    <row r="612" spans="1:14">
      <c r="A612" t="s">
        <v>380</v>
      </c>
      <c r="B612" t="s">
        <v>381</v>
      </c>
      <c r="C612" t="s">
        <v>384</v>
      </c>
      <c r="D612">
        <v>5579</v>
      </c>
      <c r="E612" t="s">
        <v>396</v>
      </c>
      <c r="I612" t="s">
        <v>417</v>
      </c>
      <c r="J612" t="s">
        <v>902</v>
      </c>
      <c r="K612" t="s">
        <v>1513</v>
      </c>
      <c r="L612" s="8">
        <f>D612*N612</f>
        <v>0</v>
      </c>
      <c r="M612" t="s">
        <v>1572</v>
      </c>
      <c r="N612" s="8">
        <f>IF(E612="HUF", 1, IFERROR(VLOOKUP(A612&amp;E612, '91_Data_ExRates'!A:D, 4, FALSE), 1))</f>
        <v>0</v>
      </c>
    </row>
  </sheetData>
  <dataValidations count="6">
    <dataValidation type="list" allowBlank="1" showInputMessage="1" showErrorMessage="1" sqref="B2:B1048576">
      <formula1>"Income,Expense,Transfer,Investment"</formula1>
    </dataValidation>
    <dataValidation type="list" allowBlank="1" showInputMessage="1" showErrorMessage="1" sqref="C2:C1048576">
      <formula1>'02_Accounts'!$A$2:$A$200</formula1>
    </dataValidation>
    <dataValidation type="list" allowBlank="1" showInputMessage="1" showErrorMessage="1" sqref="E2:E1048576">
      <formula1>"HUF,EUR,USD,GBP"</formula1>
    </dataValidation>
    <dataValidation type="list" allowBlank="1" showInputMessage="1" showErrorMessage="1" sqref="F2:F1048576">
      <formula1>'90_Settings'!$B$2:$B$200</formula1>
    </dataValidation>
    <dataValidation type="list" allowBlank="1" showInputMessage="1" showErrorMessage="1" sqref="G2:G1048576">
      <formula1>'04_Pockets'!$A$2:$A$100</formula1>
    </dataValidation>
    <dataValidation type="list" allowBlank="1" showInputMessage="1" showErrorMessage="1" sqref="I2:I1048576">
      <formula1>'90_Settings'!$A$2:$A$20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0.7109375" customWidth="1"/>
    <col min="3" max="3" width="14.7109375" customWidth="1"/>
    <col min="4" max="4" width="11.7109375" customWidth="1"/>
    <col min="5" max="5" width="20.7109375" customWidth="1"/>
    <col min="6" max="6" width="16.7109375" customWidth="1"/>
    <col min="7" max="7" width="26.7109375" customWidth="1"/>
  </cols>
  <sheetData>
    <row r="1" spans="1:7">
      <c r="A1" s="5" t="s">
        <v>1576</v>
      </c>
      <c r="B1" s="5" t="s">
        <v>17</v>
      </c>
      <c r="C1" s="5" t="s">
        <v>20</v>
      </c>
      <c r="D1" s="5" t="s">
        <v>24</v>
      </c>
      <c r="E1" s="5" t="s">
        <v>1577</v>
      </c>
      <c r="F1" s="5" t="s">
        <v>1578</v>
      </c>
      <c r="G1" s="5" t="s">
        <v>1595</v>
      </c>
    </row>
    <row r="2" spans="1:7">
      <c r="A2" t="s">
        <v>385</v>
      </c>
      <c r="B2" t="s">
        <v>1581</v>
      </c>
      <c r="C2" t="s">
        <v>396</v>
      </c>
      <c r="D2" t="s">
        <v>417</v>
      </c>
      <c r="E2">
        <v>869500</v>
      </c>
      <c r="F2" t="b">
        <v>0</v>
      </c>
      <c r="G2" t="s">
        <v>1582</v>
      </c>
    </row>
    <row r="3" spans="1:7">
      <c r="A3" t="s">
        <v>384</v>
      </c>
      <c r="B3" t="s">
        <v>1581</v>
      </c>
      <c r="C3" t="s">
        <v>396</v>
      </c>
      <c r="D3" t="s">
        <v>417</v>
      </c>
      <c r="E3">
        <v>325521.18</v>
      </c>
      <c r="F3" t="b">
        <v>0</v>
      </c>
      <c r="G3" t="s">
        <v>1583</v>
      </c>
    </row>
    <row r="4" spans="1:7">
      <c r="A4" t="s">
        <v>395</v>
      </c>
      <c r="B4" t="s">
        <v>1581</v>
      </c>
      <c r="C4" t="s">
        <v>396</v>
      </c>
      <c r="D4" t="s">
        <v>417</v>
      </c>
      <c r="E4">
        <v>0</v>
      </c>
      <c r="F4" t="b">
        <v>0</v>
      </c>
      <c r="G4" t="s">
        <v>1584</v>
      </c>
    </row>
    <row r="5" spans="1:7">
      <c r="A5" t="s">
        <v>388</v>
      </c>
      <c r="B5" t="s">
        <v>1581</v>
      </c>
      <c r="C5" t="s">
        <v>397</v>
      </c>
      <c r="D5" t="s">
        <v>417</v>
      </c>
      <c r="E5">
        <v>14.81</v>
      </c>
      <c r="F5" t="b">
        <v>0</v>
      </c>
      <c r="G5" t="s">
        <v>1585</v>
      </c>
    </row>
    <row r="6" spans="1:7">
      <c r="A6" t="s">
        <v>392</v>
      </c>
      <c r="B6" t="s">
        <v>1581</v>
      </c>
      <c r="C6" t="s">
        <v>396</v>
      </c>
      <c r="D6" t="s">
        <v>417</v>
      </c>
      <c r="E6">
        <v>8737</v>
      </c>
      <c r="F6" t="b">
        <v>0</v>
      </c>
      <c r="G6" t="s">
        <v>1586</v>
      </c>
    </row>
    <row r="7" spans="1:7">
      <c r="A7" t="s">
        <v>390</v>
      </c>
      <c r="B7" t="s">
        <v>1581</v>
      </c>
      <c r="C7" t="s">
        <v>398</v>
      </c>
      <c r="D7" t="s">
        <v>417</v>
      </c>
      <c r="E7">
        <v>4.3</v>
      </c>
      <c r="F7" t="b">
        <v>0</v>
      </c>
      <c r="G7" t="s">
        <v>1587</v>
      </c>
    </row>
    <row r="8" spans="1:7">
      <c r="A8" t="s">
        <v>393</v>
      </c>
      <c r="B8" t="s">
        <v>1581</v>
      </c>
      <c r="C8" t="s">
        <v>397</v>
      </c>
      <c r="D8" t="s">
        <v>417</v>
      </c>
      <c r="E8">
        <v>-251.49</v>
      </c>
      <c r="F8" t="b">
        <v>0</v>
      </c>
      <c r="G8" t="s">
        <v>1588</v>
      </c>
    </row>
    <row r="9" spans="1:7">
      <c r="A9" t="s">
        <v>387</v>
      </c>
      <c r="B9" t="s">
        <v>1581</v>
      </c>
      <c r="C9" t="s">
        <v>396</v>
      </c>
      <c r="D9" t="s">
        <v>417</v>
      </c>
      <c r="E9">
        <v>0</v>
      </c>
      <c r="F9" t="b">
        <v>0</v>
      </c>
      <c r="G9" t="s">
        <v>1589</v>
      </c>
    </row>
    <row r="10" spans="1:7">
      <c r="A10" t="s">
        <v>386</v>
      </c>
      <c r="B10" t="s">
        <v>1581</v>
      </c>
      <c r="C10" t="s">
        <v>396</v>
      </c>
      <c r="D10" t="s">
        <v>417</v>
      </c>
      <c r="E10">
        <v>1350000</v>
      </c>
      <c r="F10" t="b">
        <v>0</v>
      </c>
      <c r="G10" t="s">
        <v>1590</v>
      </c>
    </row>
    <row r="11" spans="1:7">
      <c r="A11" t="s">
        <v>394</v>
      </c>
      <c r="B11" t="s">
        <v>1581</v>
      </c>
      <c r="C11" t="s">
        <v>399</v>
      </c>
      <c r="D11" t="s">
        <v>417</v>
      </c>
      <c r="E11">
        <v>-10.86</v>
      </c>
      <c r="F11" t="b">
        <v>0</v>
      </c>
      <c r="G11" t="s">
        <v>1591</v>
      </c>
    </row>
    <row r="12" spans="1:7">
      <c r="A12" t="s">
        <v>1580</v>
      </c>
      <c r="B12" t="s">
        <v>1581</v>
      </c>
      <c r="C12" t="s">
        <v>396</v>
      </c>
      <c r="D12" t="s">
        <v>417</v>
      </c>
      <c r="E12">
        <v>0</v>
      </c>
      <c r="F12" t="b">
        <v>0</v>
      </c>
      <c r="G12" t="s">
        <v>1592</v>
      </c>
    </row>
    <row r="13" spans="1:7">
      <c r="A13" t="s">
        <v>391</v>
      </c>
      <c r="B13" t="s">
        <v>1581</v>
      </c>
      <c r="C13" t="s">
        <v>399</v>
      </c>
      <c r="D13" t="s">
        <v>417</v>
      </c>
      <c r="E13">
        <v>521.22</v>
      </c>
      <c r="F13" t="b">
        <v>0</v>
      </c>
      <c r="G13" t="s">
        <v>1593</v>
      </c>
    </row>
    <row r="14" spans="1:7">
      <c r="A14" t="s">
        <v>389</v>
      </c>
      <c r="B14" t="s">
        <v>1581</v>
      </c>
      <c r="C14" t="s">
        <v>396</v>
      </c>
      <c r="D14" t="s">
        <v>417</v>
      </c>
      <c r="E14">
        <v>0</v>
      </c>
      <c r="F14" t="b">
        <v>0</v>
      </c>
      <c r="G14" t="s">
        <v>1594</v>
      </c>
    </row>
  </sheetData>
  <dataValidations count="3">
    <dataValidation type="list" allowBlank="1" showInputMessage="1" showErrorMessage="1" sqref="B2:B1048576">
      <formula1>"Bank,Cash,Crypto,Investment,CreditCard,Loan"</formula1>
    </dataValidation>
    <dataValidation type="list" allowBlank="1" showInputMessage="1" showErrorMessage="1" sqref="C2:C1048576">
      <formula1>"HUF,EUR,USD,GBP"</formula1>
    </dataValidation>
    <dataValidation type="list" allowBlank="1" showInputMessage="1" showErrorMessage="1" sqref="D2:D1048576">
      <formula1>'90_Settings'!$A$2:$A$20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2.7109375" customWidth="1"/>
    <col min="6" max="6" width="10.7109375" customWidth="1"/>
  </cols>
  <sheetData>
    <row r="1" spans="1:7">
      <c r="A1" s="5" t="s">
        <v>1576</v>
      </c>
      <c r="B1" s="5" t="s">
        <v>17</v>
      </c>
      <c r="C1" s="5" t="s">
        <v>24</v>
      </c>
      <c r="D1" s="5" t="s">
        <v>1596</v>
      </c>
      <c r="E1" s="5" t="s">
        <v>1597</v>
      </c>
      <c r="F1" s="5" t="s">
        <v>25</v>
      </c>
      <c r="G1" s="9" t="s">
        <v>1598</v>
      </c>
    </row>
    <row r="2" spans="1:7">
      <c r="A2" t="s">
        <v>1599</v>
      </c>
      <c r="B2" t="s">
        <v>1601</v>
      </c>
      <c r="C2" t="s">
        <v>417</v>
      </c>
      <c r="D2">
        <v>0</v>
      </c>
      <c r="E2" t="s">
        <v>1603</v>
      </c>
    </row>
    <row r="3" spans="1:7">
      <c r="A3" t="s">
        <v>1600</v>
      </c>
      <c r="B3" t="s">
        <v>1601</v>
      </c>
      <c r="C3" t="s">
        <v>417</v>
      </c>
      <c r="D3">
        <v>0</v>
      </c>
      <c r="E3" t="s">
        <v>1603</v>
      </c>
    </row>
    <row r="4" spans="1:7">
      <c r="A4" t="s">
        <v>415</v>
      </c>
      <c r="B4" t="s">
        <v>1602</v>
      </c>
      <c r="C4" t="s">
        <v>417</v>
      </c>
      <c r="D4">
        <v>0</v>
      </c>
    </row>
  </sheetData>
  <dataValidations count="3">
    <dataValidation type="list" allowBlank="1" showInputMessage="1" showErrorMessage="1" sqref="B2:B1048576">
      <formula1>"Budget,Goal"</formula1>
    </dataValidation>
    <dataValidation type="list" allowBlank="1" showInputMessage="1" showErrorMessage="1" sqref="C2:C1048576">
      <formula1>'90_Settings'!$A$2:$A$20</formula1>
    </dataValidation>
    <dataValidation type="list" allowBlank="1" showInputMessage="1" showErrorMessage="1" sqref="E2:E1048576">
      <formula1>"Monthly,Yearly,One-time"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14.7109375" customWidth="1"/>
    <col min="4" max="4" width="12.7109375" customWidth="1"/>
    <col min="5" max="5" width="26.7109375" customWidth="1"/>
  </cols>
  <sheetData>
    <row r="1" spans="1:5">
      <c r="A1" s="5" t="s">
        <v>22</v>
      </c>
      <c r="B1" s="5" t="s">
        <v>24</v>
      </c>
      <c r="C1" s="5" t="s">
        <v>20</v>
      </c>
      <c r="D1" s="5" t="s">
        <v>1596</v>
      </c>
      <c r="E1" s="5" t="s">
        <v>1595</v>
      </c>
    </row>
    <row r="2" spans="1:5">
      <c r="A2" t="s">
        <v>414</v>
      </c>
      <c r="B2" t="s">
        <v>417</v>
      </c>
      <c r="C2" t="s">
        <v>396</v>
      </c>
      <c r="D2">
        <v>200000</v>
      </c>
      <c r="E2" t="s">
        <v>1604</v>
      </c>
    </row>
    <row r="3" spans="1:5">
      <c r="A3" t="s">
        <v>415</v>
      </c>
      <c r="B3" t="s">
        <v>417</v>
      </c>
      <c r="C3" t="s">
        <v>396</v>
      </c>
      <c r="D3">
        <v>400000</v>
      </c>
      <c r="E3" t="s">
        <v>1605</v>
      </c>
    </row>
    <row r="4" spans="1:5">
      <c r="A4" t="s">
        <v>416</v>
      </c>
      <c r="B4" t="s">
        <v>417</v>
      </c>
      <c r="C4" t="s">
        <v>396</v>
      </c>
      <c r="D4">
        <v>2000000</v>
      </c>
      <c r="E4" t="s">
        <v>1606</v>
      </c>
    </row>
  </sheetData>
  <dataValidations count="2">
    <dataValidation type="list" allowBlank="1" showInputMessage="1" showErrorMessage="1" sqref="B2:B1048576">
      <formula1>'90_Settings'!$A$2:$A$20</formula1>
    </dataValidation>
    <dataValidation type="list" allowBlank="1" showInputMessage="1" showErrorMessage="1" sqref="C2:C1048576">
      <formula1>"HUF,EUR,USD"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8.7109375" customWidth="1"/>
    <col min="2" max="2" width="24.7109375" customWidth="1"/>
    <col min="3" max="3" width="20.7109375" customWidth="1"/>
    <col min="4" max="4" width="16.7109375" customWidth="1"/>
  </cols>
  <sheetData>
    <row r="1" spans="1:4">
      <c r="A1" s="10" t="s">
        <v>1607</v>
      </c>
      <c r="B1" s="10" t="s">
        <v>1608</v>
      </c>
      <c r="C1" s="10" t="s">
        <v>1609</v>
      </c>
      <c r="D1" s="10" t="s">
        <v>1610</v>
      </c>
    </row>
    <row r="2" spans="1:4">
      <c r="A2" s="11" t="s">
        <v>417</v>
      </c>
      <c r="B2" s="11" t="s">
        <v>403</v>
      </c>
      <c r="C2" s="11" t="s">
        <v>1611</v>
      </c>
      <c r="D2" s="11" t="s">
        <v>1615</v>
      </c>
    </row>
    <row r="3" spans="1:4">
      <c r="A3" s="11"/>
      <c r="B3" s="11" t="s">
        <v>411</v>
      </c>
      <c r="C3" s="11" t="s">
        <v>1612</v>
      </c>
      <c r="D3" s="11" t="s">
        <v>1616</v>
      </c>
    </row>
    <row r="4" spans="1:4">
      <c r="A4" s="11"/>
      <c r="B4" s="11" t="s">
        <v>413</v>
      </c>
      <c r="C4" s="11" t="s">
        <v>1613</v>
      </c>
      <c r="D4" s="11" t="s">
        <v>401</v>
      </c>
    </row>
    <row r="5" spans="1:4">
      <c r="A5" s="11"/>
      <c r="B5" s="11" t="s">
        <v>404</v>
      </c>
      <c r="C5" s="11" t="s">
        <v>1614</v>
      </c>
      <c r="D5" s="11"/>
    </row>
    <row r="6" spans="1:4">
      <c r="A6" s="11"/>
      <c r="B6" s="11" t="s">
        <v>402</v>
      </c>
      <c r="C6" s="11"/>
      <c r="D6" s="11"/>
    </row>
    <row r="7" spans="1:4">
      <c r="A7" s="11"/>
      <c r="B7" s="11" t="s">
        <v>410</v>
      </c>
      <c r="C7" s="11"/>
      <c r="D7" s="11"/>
    </row>
    <row r="8" spans="1:4">
      <c r="A8" s="11"/>
      <c r="B8" s="11" t="s">
        <v>406</v>
      </c>
      <c r="C8" s="11"/>
      <c r="D8" s="11"/>
    </row>
    <row r="9" spans="1:4">
      <c r="A9" s="11"/>
      <c r="B9" s="11" t="s">
        <v>407</v>
      </c>
      <c r="C9" s="11"/>
      <c r="D9" s="11"/>
    </row>
    <row r="10" spans="1:4">
      <c r="A10" s="11"/>
      <c r="B10" s="11" t="s">
        <v>400</v>
      </c>
      <c r="C10" s="11"/>
      <c r="D10" s="11"/>
    </row>
    <row r="11" spans="1:4">
      <c r="A11" s="11"/>
      <c r="B11" s="11" t="s">
        <v>412</v>
      </c>
      <c r="C11" s="11"/>
      <c r="D11" s="11"/>
    </row>
    <row r="12" spans="1:4">
      <c r="A12" s="11"/>
      <c r="B12" s="11" t="s">
        <v>401</v>
      </c>
      <c r="C12" s="11"/>
      <c r="D12" s="11"/>
    </row>
    <row r="13" spans="1:4">
      <c r="A13" s="11"/>
      <c r="B13" s="11" t="s">
        <v>408</v>
      </c>
      <c r="C13" s="11"/>
      <c r="D13" s="11"/>
    </row>
    <row r="14" spans="1:4">
      <c r="A14" s="11"/>
      <c r="B14" s="11" t="s">
        <v>409</v>
      </c>
      <c r="C14" s="11"/>
      <c r="D14" s="11"/>
    </row>
    <row r="15" spans="1:4">
      <c r="A15" s="11"/>
      <c r="B15" s="11" t="s">
        <v>405</v>
      </c>
      <c r="C15" s="11"/>
      <c r="D1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6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4.7109375" customWidth="1"/>
    <col min="4" max="4" width="17.7109375" customWidth="1"/>
  </cols>
  <sheetData>
    <row r="1" spans="1:4">
      <c r="A1" s="5" t="s">
        <v>7454</v>
      </c>
      <c r="B1" s="5" t="s">
        <v>16</v>
      </c>
      <c r="C1" s="5" t="s">
        <v>20</v>
      </c>
      <c r="D1" s="5" t="s">
        <v>1618</v>
      </c>
    </row>
    <row r="2" spans="1:4">
      <c r="A2" t="s">
        <v>1619</v>
      </c>
      <c r="B2" t="s">
        <v>7287</v>
      </c>
      <c r="C2" t="s">
        <v>7292</v>
      </c>
      <c r="D2">
        <v>221.995296</v>
      </c>
    </row>
    <row r="3" spans="1:4">
      <c r="A3" t="s">
        <v>1620</v>
      </c>
      <c r="B3" t="s">
        <v>7287</v>
      </c>
      <c r="C3" t="s">
        <v>7293</v>
      </c>
      <c r="D3">
        <v>62.437988</v>
      </c>
    </row>
    <row r="4" spans="1:4">
      <c r="A4" t="s">
        <v>1621</v>
      </c>
      <c r="B4" t="s">
        <v>7287</v>
      </c>
      <c r="C4" t="s">
        <v>7294</v>
      </c>
      <c r="D4">
        <v>223.642372</v>
      </c>
    </row>
    <row r="5" spans="1:4">
      <c r="A5" t="s">
        <v>1622</v>
      </c>
      <c r="B5" t="s">
        <v>7287</v>
      </c>
      <c r="C5" t="s">
        <v>7295</v>
      </c>
      <c r="D5">
        <v>391.807755</v>
      </c>
    </row>
    <row r="6" spans="1:4">
      <c r="A6" t="s">
        <v>1623</v>
      </c>
      <c r="B6" t="s">
        <v>7287</v>
      </c>
      <c r="C6" t="s">
        <v>7296</v>
      </c>
      <c r="D6">
        <v>45.087737</v>
      </c>
    </row>
    <row r="7" spans="1:4">
      <c r="A7" t="s">
        <v>1624</v>
      </c>
      <c r="B7" t="s">
        <v>7287</v>
      </c>
      <c r="C7" t="s">
        <v>7297</v>
      </c>
      <c r="D7">
        <v>14.732821</v>
      </c>
    </row>
    <row r="8" spans="1:4">
      <c r="A8" t="s">
        <v>1625</v>
      </c>
      <c r="B8" t="s">
        <v>7287</v>
      </c>
      <c r="C8" t="s">
        <v>7298</v>
      </c>
      <c r="D8">
        <v>47.994327</v>
      </c>
    </row>
    <row r="9" spans="1:4">
      <c r="A9" t="s">
        <v>1626</v>
      </c>
      <c r="B9" t="s">
        <v>7287</v>
      </c>
      <c r="C9" t="s">
        <v>7299</v>
      </c>
      <c r="D9">
        <v>413.663465</v>
      </c>
    </row>
    <row r="10" spans="1:4">
      <c r="A10" t="s">
        <v>1627</v>
      </c>
      <c r="B10" t="s">
        <v>7287</v>
      </c>
      <c r="C10" t="s">
        <v>7300</v>
      </c>
      <c r="D10">
        <v>39.101761</v>
      </c>
    </row>
    <row r="11" spans="1:4">
      <c r="A11" t="s">
        <v>1628</v>
      </c>
      <c r="B11" t="s">
        <v>7287</v>
      </c>
      <c r="C11" t="s">
        <v>7301</v>
      </c>
      <c r="D11">
        <v>0.0175</v>
      </c>
    </row>
    <row r="12" spans="1:4">
      <c r="A12" t="s">
        <v>1629</v>
      </c>
      <c r="B12" t="s">
        <v>7287</v>
      </c>
      <c r="C12" t="s">
        <v>7302</v>
      </c>
      <c r="D12">
        <v>105.295603</v>
      </c>
    </row>
    <row r="13" spans="1:4">
      <c r="A13" t="s">
        <v>1630</v>
      </c>
      <c r="B13" t="s">
        <v>7287</v>
      </c>
      <c r="C13" t="s">
        <v>7303</v>
      </c>
      <c r="D13">
        <v>3.200413</v>
      </c>
    </row>
    <row r="14" spans="1:4">
      <c r="A14" t="s">
        <v>1631</v>
      </c>
      <c r="B14" t="s">
        <v>7287</v>
      </c>
      <c r="C14" t="s">
        <v>7304</v>
      </c>
      <c r="D14">
        <v>2.497911</v>
      </c>
    </row>
    <row r="15" spans="1:4">
      <c r="A15" t="s">
        <v>1632</v>
      </c>
      <c r="B15" t="s">
        <v>7287</v>
      </c>
      <c r="C15" t="s">
        <v>7305</v>
      </c>
      <c r="D15">
        <v>1.940702</v>
      </c>
    </row>
    <row r="16" spans="1:4">
      <c r="A16" t="s">
        <v>1633</v>
      </c>
      <c r="B16" t="s">
        <v>7287</v>
      </c>
      <c r="C16" t="s">
        <v>7306</v>
      </c>
      <c r="D16">
        <v>0.205692</v>
      </c>
    </row>
    <row r="17" spans="1:4">
      <c r="A17" t="s">
        <v>1634</v>
      </c>
      <c r="B17" t="s">
        <v>7287</v>
      </c>
      <c r="C17" t="s">
        <v>7307</v>
      </c>
      <c r="D17">
        <v>17.777315</v>
      </c>
    </row>
    <row r="18" spans="1:4">
      <c r="A18" t="s">
        <v>1635</v>
      </c>
      <c r="B18" t="s">
        <v>7287</v>
      </c>
      <c r="C18" t="s">
        <v>7308</v>
      </c>
      <c r="D18">
        <v>77.900361</v>
      </c>
    </row>
    <row r="19" spans="1:4">
      <c r="A19" t="s">
        <v>1636</v>
      </c>
      <c r="B19" t="s">
        <v>7287</v>
      </c>
      <c r="C19" t="s">
        <v>7309</v>
      </c>
      <c r="D19">
        <v>33.393846</v>
      </c>
    </row>
    <row r="20" spans="1:4">
      <c r="A20" t="s">
        <v>1637</v>
      </c>
      <c r="B20" t="s">
        <v>7287</v>
      </c>
      <c r="C20" t="s">
        <v>7310</v>
      </c>
      <c r="D20">
        <v>181.62945</v>
      </c>
    </row>
    <row r="21" spans="1:4">
      <c r="A21" t="s">
        <v>1638</v>
      </c>
      <c r="B21" t="s">
        <v>7287</v>
      </c>
      <c r="C21" t="s">
        <v>7311</v>
      </c>
      <c r="D21">
        <v>4.987139</v>
      </c>
    </row>
    <row r="22" spans="1:4">
      <c r="A22" t="s">
        <v>1639</v>
      </c>
      <c r="B22" t="s">
        <v>7287</v>
      </c>
      <c r="C22" t="s">
        <v>7312</v>
      </c>
      <c r="D22">
        <v>84.374191</v>
      </c>
    </row>
    <row r="23" spans="1:4">
      <c r="A23" t="s">
        <v>1640</v>
      </c>
      <c r="B23" t="s">
        <v>7287</v>
      </c>
      <c r="C23" t="s">
        <v>7313</v>
      </c>
      <c r="D23">
        <v>68.899944</v>
      </c>
    </row>
    <row r="24" spans="1:4">
      <c r="A24" t="s">
        <v>1641</v>
      </c>
      <c r="B24" t="s">
        <v>7287</v>
      </c>
      <c r="C24" t="s">
        <v>7314</v>
      </c>
      <c r="D24">
        <v>32.863033</v>
      </c>
    </row>
    <row r="25" spans="1:4">
      <c r="A25" t="s">
        <v>1642</v>
      </c>
      <c r="B25" t="s">
        <v>7287</v>
      </c>
      <c r="C25" t="s">
        <v>7315</v>
      </c>
      <c r="D25">
        <v>240.673645</v>
      </c>
    </row>
    <row r="26" spans="1:4">
      <c r="A26" t="s">
        <v>1643</v>
      </c>
      <c r="B26" t="s">
        <v>7287</v>
      </c>
      <c r="C26" t="s">
        <v>7316</v>
      </c>
      <c r="D26">
        <v>9.469377</v>
      </c>
    </row>
    <row r="27" spans="1:4">
      <c r="A27" t="s">
        <v>1644</v>
      </c>
      <c r="B27" t="s">
        <v>7287</v>
      </c>
      <c r="C27" t="s">
        <v>7317</v>
      </c>
      <c r="D27">
        <v>6.741607</v>
      </c>
    </row>
    <row r="28" spans="1:4">
      <c r="A28" t="s">
        <v>1645</v>
      </c>
      <c r="B28" t="s">
        <v>7287</v>
      </c>
      <c r="C28" t="s">
        <v>399</v>
      </c>
      <c r="D28">
        <v>306.188647</v>
      </c>
    </row>
    <row r="29" spans="1:4">
      <c r="A29" t="s">
        <v>1646</v>
      </c>
      <c r="B29" t="s">
        <v>7287</v>
      </c>
      <c r="C29" t="s">
        <v>7318</v>
      </c>
      <c r="D29">
        <v>18.613267</v>
      </c>
    </row>
    <row r="30" spans="1:4">
      <c r="A30" t="s">
        <v>1647</v>
      </c>
      <c r="B30" t="s">
        <v>7287</v>
      </c>
      <c r="C30" t="s">
        <v>397</v>
      </c>
      <c r="D30">
        <v>358.7</v>
      </c>
    </row>
    <row r="31" spans="1:4">
      <c r="A31" t="s">
        <v>1648</v>
      </c>
      <c r="B31" t="s">
        <v>350</v>
      </c>
      <c r="C31" t="s">
        <v>7292</v>
      </c>
      <c r="D31">
        <v>221.15456</v>
      </c>
    </row>
    <row r="32" spans="1:4">
      <c r="A32" t="s">
        <v>1649</v>
      </c>
      <c r="B32" t="s">
        <v>350</v>
      </c>
      <c r="C32" t="s">
        <v>7293</v>
      </c>
      <c r="D32">
        <v>61.125267</v>
      </c>
    </row>
    <row r="33" spans="1:4">
      <c r="A33" t="s">
        <v>1650</v>
      </c>
      <c r="B33" t="s">
        <v>350</v>
      </c>
      <c r="C33" t="s">
        <v>7294</v>
      </c>
      <c r="D33">
        <v>222.559153</v>
      </c>
    </row>
    <row r="34" spans="1:4">
      <c r="A34" t="s">
        <v>1651</v>
      </c>
      <c r="B34" t="s">
        <v>350</v>
      </c>
      <c r="C34" t="s">
        <v>7295</v>
      </c>
      <c r="D34">
        <v>390.63388</v>
      </c>
    </row>
    <row r="35" spans="1:4">
      <c r="A35" t="s">
        <v>1652</v>
      </c>
      <c r="B35" t="s">
        <v>350</v>
      </c>
      <c r="C35" t="s">
        <v>7296</v>
      </c>
      <c r="D35">
        <v>45.016373</v>
      </c>
    </row>
    <row r="36" spans="1:4">
      <c r="A36" t="s">
        <v>1653</v>
      </c>
      <c r="B36" t="s">
        <v>350</v>
      </c>
      <c r="C36" t="s">
        <v>7297</v>
      </c>
      <c r="D36">
        <v>14.707843</v>
      </c>
    </row>
    <row r="37" spans="1:4">
      <c r="A37" t="s">
        <v>1654</v>
      </c>
      <c r="B37" t="s">
        <v>350</v>
      </c>
      <c r="C37" t="s">
        <v>7298</v>
      </c>
      <c r="D37">
        <v>47.83016</v>
      </c>
    </row>
    <row r="38" spans="1:4">
      <c r="A38" t="s">
        <v>1655</v>
      </c>
      <c r="B38" t="s">
        <v>350</v>
      </c>
      <c r="C38" t="s">
        <v>7299</v>
      </c>
      <c r="D38">
        <v>412.65095</v>
      </c>
    </row>
    <row r="39" spans="1:4">
      <c r="A39" t="s">
        <v>1656</v>
      </c>
      <c r="B39" t="s">
        <v>350</v>
      </c>
      <c r="C39" t="s">
        <v>7300</v>
      </c>
      <c r="D39">
        <v>38.994349</v>
      </c>
    </row>
    <row r="40" spans="1:4">
      <c r="A40" t="s">
        <v>1657</v>
      </c>
      <c r="B40" t="s">
        <v>350</v>
      </c>
      <c r="C40" t="s">
        <v>7301</v>
      </c>
      <c r="D40">
        <v>0.017489</v>
      </c>
    </row>
    <row r="41" spans="1:4">
      <c r="A41" t="s">
        <v>1658</v>
      </c>
      <c r="B41" t="s">
        <v>350</v>
      </c>
      <c r="C41" t="s">
        <v>7302</v>
      </c>
      <c r="D41">
        <v>105.132655</v>
      </c>
    </row>
    <row r="42" spans="1:4">
      <c r="A42" t="s">
        <v>1659</v>
      </c>
      <c r="B42" t="s">
        <v>350</v>
      </c>
      <c r="C42" t="s">
        <v>7303</v>
      </c>
      <c r="D42">
        <v>3.189417</v>
      </c>
    </row>
    <row r="43" spans="1:4">
      <c r="A43" t="s">
        <v>1660</v>
      </c>
      <c r="B43" t="s">
        <v>350</v>
      </c>
      <c r="C43" t="s">
        <v>7304</v>
      </c>
      <c r="D43">
        <v>2.489067</v>
      </c>
    </row>
    <row r="44" spans="1:4">
      <c r="A44" t="s">
        <v>1661</v>
      </c>
      <c r="B44" t="s">
        <v>350</v>
      </c>
      <c r="C44" t="s">
        <v>7305</v>
      </c>
      <c r="D44">
        <v>1.933831</v>
      </c>
    </row>
    <row r="45" spans="1:4">
      <c r="A45" t="s">
        <v>1662</v>
      </c>
      <c r="B45" t="s">
        <v>350</v>
      </c>
      <c r="C45" t="s">
        <v>7306</v>
      </c>
      <c r="D45">
        <v>0.204758</v>
      </c>
    </row>
    <row r="46" spans="1:4">
      <c r="A46" t="s">
        <v>1663</v>
      </c>
      <c r="B46" t="s">
        <v>350</v>
      </c>
      <c r="C46" t="s">
        <v>7307</v>
      </c>
      <c r="D46">
        <v>17.760056</v>
      </c>
    </row>
    <row r="47" spans="1:4">
      <c r="A47" t="s">
        <v>1664</v>
      </c>
      <c r="B47" t="s">
        <v>350</v>
      </c>
      <c r="C47" t="s">
        <v>7308</v>
      </c>
      <c r="D47">
        <v>77.69204000000001</v>
      </c>
    </row>
    <row r="48" spans="1:4">
      <c r="A48" t="s">
        <v>1665</v>
      </c>
      <c r="B48" t="s">
        <v>350</v>
      </c>
      <c r="C48" t="s">
        <v>7309</v>
      </c>
      <c r="D48">
        <v>33.1015</v>
      </c>
    </row>
    <row r="49" spans="1:4">
      <c r="A49" t="s">
        <v>1666</v>
      </c>
      <c r="B49" t="s">
        <v>350</v>
      </c>
      <c r="C49" t="s">
        <v>7310</v>
      </c>
      <c r="D49">
        <v>181.123949</v>
      </c>
    </row>
    <row r="50" spans="1:4">
      <c r="A50" t="s">
        <v>1667</v>
      </c>
      <c r="B50" t="s">
        <v>350</v>
      </c>
      <c r="C50" t="s">
        <v>7311</v>
      </c>
      <c r="D50">
        <v>4.964443</v>
      </c>
    </row>
    <row r="51" spans="1:4">
      <c r="A51" t="s">
        <v>1668</v>
      </c>
      <c r="B51" t="s">
        <v>350</v>
      </c>
      <c r="C51" t="s">
        <v>7312</v>
      </c>
      <c r="D51">
        <v>84.34329099999999</v>
      </c>
    </row>
    <row r="52" spans="1:4">
      <c r="A52" t="s">
        <v>1669</v>
      </c>
      <c r="B52" t="s">
        <v>350</v>
      </c>
      <c r="C52" t="s">
        <v>7313</v>
      </c>
      <c r="D52">
        <v>68.665232</v>
      </c>
    </row>
    <row r="53" spans="1:4">
      <c r="A53" t="s">
        <v>1670</v>
      </c>
      <c r="B53" t="s">
        <v>350</v>
      </c>
      <c r="C53" t="s">
        <v>7314</v>
      </c>
      <c r="D53">
        <v>32.748179</v>
      </c>
    </row>
    <row r="54" spans="1:4">
      <c r="A54" t="s">
        <v>1671</v>
      </c>
      <c r="B54" t="s">
        <v>350</v>
      </c>
      <c r="C54" t="s">
        <v>7315</v>
      </c>
      <c r="D54">
        <v>239.869807</v>
      </c>
    </row>
    <row r="55" spans="1:4">
      <c r="A55" t="s">
        <v>1672</v>
      </c>
      <c r="B55" t="s">
        <v>350</v>
      </c>
      <c r="C55" t="s">
        <v>7316</v>
      </c>
      <c r="D55">
        <v>9.452069</v>
      </c>
    </row>
    <row r="56" spans="1:4">
      <c r="A56" t="s">
        <v>1673</v>
      </c>
      <c r="B56" t="s">
        <v>350</v>
      </c>
      <c r="C56" t="s">
        <v>7317</v>
      </c>
      <c r="D56">
        <v>6.722691</v>
      </c>
    </row>
    <row r="57" spans="1:4">
      <c r="A57" t="s">
        <v>1674</v>
      </c>
      <c r="B57" t="s">
        <v>350</v>
      </c>
      <c r="C57" t="s">
        <v>399</v>
      </c>
      <c r="D57">
        <v>305.443514</v>
      </c>
    </row>
    <row r="58" spans="1:4">
      <c r="A58" t="s">
        <v>1675</v>
      </c>
      <c r="B58" t="s">
        <v>350</v>
      </c>
      <c r="C58" t="s">
        <v>7318</v>
      </c>
      <c r="D58">
        <v>18.616728</v>
      </c>
    </row>
    <row r="59" spans="1:4">
      <c r="A59" t="s">
        <v>1676</v>
      </c>
      <c r="B59" t="s">
        <v>350</v>
      </c>
      <c r="C59" t="s">
        <v>397</v>
      </c>
      <c r="D59">
        <v>357.43</v>
      </c>
    </row>
    <row r="60" spans="1:4">
      <c r="A60" t="s">
        <v>1677</v>
      </c>
      <c r="B60" t="s">
        <v>351</v>
      </c>
      <c r="C60" t="s">
        <v>397</v>
      </c>
      <c r="D60">
        <v>357.671422</v>
      </c>
    </row>
    <row r="61" spans="1:4">
      <c r="A61" t="s">
        <v>1678</v>
      </c>
      <c r="B61" t="s">
        <v>351</v>
      </c>
      <c r="C61" t="s">
        <v>7319</v>
      </c>
      <c r="D61">
        <v>83.377004</v>
      </c>
    </row>
    <row r="62" spans="1:4">
      <c r="A62" t="s">
        <v>1679</v>
      </c>
      <c r="B62" t="s">
        <v>351</v>
      </c>
      <c r="C62" t="s">
        <v>7320</v>
      </c>
      <c r="D62">
        <v>4.783899</v>
      </c>
    </row>
    <row r="63" spans="1:4">
      <c r="A63" t="s">
        <v>1680</v>
      </c>
      <c r="B63" t="s">
        <v>351</v>
      </c>
      <c r="C63" t="s">
        <v>7321</v>
      </c>
      <c r="D63">
        <v>3.743815</v>
      </c>
    </row>
    <row r="64" spans="1:4">
      <c r="A64" t="s">
        <v>1681</v>
      </c>
      <c r="B64" t="s">
        <v>351</v>
      </c>
      <c r="C64" t="s">
        <v>7322</v>
      </c>
      <c r="D64">
        <v>0.828728</v>
      </c>
    </row>
    <row r="65" spans="1:4">
      <c r="A65" t="s">
        <v>1682</v>
      </c>
      <c r="B65" t="s">
        <v>351</v>
      </c>
      <c r="C65" t="s">
        <v>7323</v>
      </c>
      <c r="D65">
        <v>171.062625</v>
      </c>
    </row>
    <row r="66" spans="1:4">
      <c r="A66" t="s">
        <v>1683</v>
      </c>
      <c r="B66" t="s">
        <v>351</v>
      </c>
      <c r="C66" t="s">
        <v>7324</v>
      </c>
      <c r="D66">
        <v>0.324327</v>
      </c>
    </row>
    <row r="67" spans="1:4">
      <c r="A67" t="s">
        <v>1684</v>
      </c>
      <c r="B67" t="s">
        <v>351</v>
      </c>
      <c r="C67" t="s">
        <v>7325</v>
      </c>
      <c r="D67">
        <v>0.219778</v>
      </c>
    </row>
    <row r="68" spans="1:4">
      <c r="A68" t="s">
        <v>1685</v>
      </c>
      <c r="B68" t="s">
        <v>351</v>
      </c>
      <c r="C68" t="s">
        <v>7292</v>
      </c>
      <c r="D68">
        <v>221.343379</v>
      </c>
    </row>
    <row r="69" spans="1:4">
      <c r="A69" t="s">
        <v>1686</v>
      </c>
      <c r="B69" t="s">
        <v>351</v>
      </c>
      <c r="C69" t="s">
        <v>7326</v>
      </c>
      <c r="D69">
        <v>171.062625</v>
      </c>
    </row>
    <row r="70" spans="1:4">
      <c r="A70" t="s">
        <v>1687</v>
      </c>
      <c r="B70" t="s">
        <v>351</v>
      </c>
      <c r="C70" t="s">
        <v>7327</v>
      </c>
      <c r="D70">
        <v>179.691401</v>
      </c>
    </row>
    <row r="71" spans="1:4">
      <c r="A71" t="s">
        <v>1688</v>
      </c>
      <c r="B71" t="s">
        <v>351</v>
      </c>
      <c r="C71" t="s">
        <v>7328</v>
      </c>
      <c r="D71">
        <v>182.874494</v>
      </c>
    </row>
    <row r="72" spans="1:4">
      <c r="A72" t="s">
        <v>1689</v>
      </c>
      <c r="B72" t="s">
        <v>351</v>
      </c>
      <c r="C72" t="s">
        <v>7329</v>
      </c>
      <c r="D72">
        <v>153.101035</v>
      </c>
    </row>
    <row r="73" spans="1:4">
      <c r="A73" t="s">
        <v>1690</v>
      </c>
      <c r="B73" t="s">
        <v>351</v>
      </c>
      <c r="C73" t="s">
        <v>7330</v>
      </c>
      <c r="D73">
        <v>2.494671</v>
      </c>
    </row>
    <row r="74" spans="1:4">
      <c r="A74" t="s">
        <v>1691</v>
      </c>
      <c r="B74" t="s">
        <v>351</v>
      </c>
      <c r="C74" t="s">
        <v>398</v>
      </c>
      <c r="D74">
        <v>182.874494</v>
      </c>
    </row>
    <row r="75" spans="1:4">
      <c r="A75" t="s">
        <v>1692</v>
      </c>
      <c r="B75" t="s">
        <v>351</v>
      </c>
      <c r="C75" t="s">
        <v>7331</v>
      </c>
      <c r="D75">
        <v>814.36656</v>
      </c>
    </row>
    <row r="76" spans="1:4">
      <c r="A76" t="s">
        <v>1693</v>
      </c>
      <c r="B76" t="s">
        <v>351</v>
      </c>
      <c r="C76" t="s">
        <v>7332</v>
      </c>
      <c r="D76">
        <v>0.102442</v>
      </c>
    </row>
    <row r="77" spans="1:4">
      <c r="A77" t="s">
        <v>1694</v>
      </c>
      <c r="B77" t="s">
        <v>351</v>
      </c>
      <c r="C77" t="s">
        <v>7333</v>
      </c>
      <c r="D77">
        <v>306.201938</v>
      </c>
    </row>
    <row r="78" spans="1:4">
      <c r="A78" t="s">
        <v>1695</v>
      </c>
      <c r="B78" t="s">
        <v>351</v>
      </c>
      <c r="C78" t="s">
        <v>7334</v>
      </c>
      <c r="D78">
        <v>240.131255</v>
      </c>
    </row>
    <row r="79" spans="1:4">
      <c r="A79" t="s">
        <v>1696</v>
      </c>
      <c r="B79" t="s">
        <v>351</v>
      </c>
      <c r="C79" t="s">
        <v>7335</v>
      </c>
      <c r="D79">
        <v>44.154605</v>
      </c>
    </row>
    <row r="80" spans="1:4">
      <c r="A80" t="s">
        <v>1697</v>
      </c>
      <c r="B80" t="s">
        <v>351</v>
      </c>
      <c r="C80" t="s">
        <v>7293</v>
      </c>
      <c r="D80">
        <v>61.21473</v>
      </c>
    </row>
    <row r="81" spans="1:4">
      <c r="A81" t="s">
        <v>1698</v>
      </c>
      <c r="B81" t="s">
        <v>351</v>
      </c>
      <c r="C81" t="s">
        <v>7336</v>
      </c>
      <c r="D81">
        <v>306.201938</v>
      </c>
    </row>
    <row r="82" spans="1:4">
      <c r="A82" t="s">
        <v>1699</v>
      </c>
      <c r="B82" t="s">
        <v>351</v>
      </c>
      <c r="C82" t="s">
        <v>7337</v>
      </c>
      <c r="D82">
        <v>3.195325</v>
      </c>
    </row>
    <row r="83" spans="1:4">
      <c r="A83" t="s">
        <v>1700</v>
      </c>
      <c r="B83" t="s">
        <v>351</v>
      </c>
      <c r="C83" t="s">
        <v>7338</v>
      </c>
      <c r="D83">
        <v>21.727427</v>
      </c>
    </row>
    <row r="84" spans="1:4">
      <c r="A84" t="s">
        <v>1701</v>
      </c>
      <c r="B84" t="s">
        <v>351</v>
      </c>
      <c r="C84" t="s">
        <v>7339</v>
      </c>
      <c r="D84">
        <v>109.409485</v>
      </c>
    </row>
    <row r="85" spans="1:4">
      <c r="A85" t="s">
        <v>1702</v>
      </c>
      <c r="B85" t="s">
        <v>351</v>
      </c>
      <c r="C85" t="s">
        <v>7340</v>
      </c>
      <c r="D85">
        <v>153.101035</v>
      </c>
    </row>
    <row r="86" spans="1:4">
      <c r="A86" t="s">
        <v>1703</v>
      </c>
      <c r="B86" t="s">
        <v>351</v>
      </c>
      <c r="C86" t="s">
        <v>7294</v>
      </c>
      <c r="D86">
        <v>223.219297</v>
      </c>
    </row>
    <row r="87" spans="1:4">
      <c r="A87" t="s">
        <v>1704</v>
      </c>
      <c r="B87" t="s">
        <v>351</v>
      </c>
      <c r="C87" t="s">
        <v>7341</v>
      </c>
      <c r="D87">
        <v>0.13354</v>
      </c>
    </row>
    <row r="88" spans="1:4">
      <c r="A88" t="s">
        <v>1705</v>
      </c>
      <c r="B88" t="s">
        <v>351</v>
      </c>
      <c r="C88" t="s">
        <v>7295</v>
      </c>
      <c r="D88">
        <v>390.931482</v>
      </c>
    </row>
    <row r="89" spans="1:4">
      <c r="A89" t="s">
        <v>1706</v>
      </c>
      <c r="B89" t="s">
        <v>351</v>
      </c>
      <c r="C89" t="s">
        <v>7342</v>
      </c>
      <c r="D89">
        <v>13605.364297</v>
      </c>
    </row>
    <row r="90" spans="1:4">
      <c r="A90" t="s">
        <v>1707</v>
      </c>
      <c r="B90" t="s">
        <v>351</v>
      </c>
      <c r="C90" t="s">
        <v>7343</v>
      </c>
      <c r="D90">
        <v>0.344206</v>
      </c>
    </row>
    <row r="91" spans="1:4">
      <c r="A91" t="s">
        <v>1708</v>
      </c>
      <c r="B91" t="s">
        <v>351</v>
      </c>
      <c r="C91" t="s">
        <v>7344</v>
      </c>
      <c r="D91">
        <v>45.119345</v>
      </c>
    </row>
    <row r="92" spans="1:4">
      <c r="A92" t="s">
        <v>1709</v>
      </c>
      <c r="B92" t="s">
        <v>351</v>
      </c>
      <c r="C92" t="s">
        <v>7296</v>
      </c>
      <c r="D92">
        <v>45.034284</v>
      </c>
    </row>
    <row r="93" spans="1:4">
      <c r="A93" t="s">
        <v>1710</v>
      </c>
      <c r="B93" t="s">
        <v>351</v>
      </c>
      <c r="C93" t="s">
        <v>7345</v>
      </c>
      <c r="D93">
        <v>0.080702</v>
      </c>
    </row>
    <row r="94" spans="1:4">
      <c r="A94" t="s">
        <v>1711</v>
      </c>
      <c r="B94" t="s">
        <v>351</v>
      </c>
      <c r="C94" t="s">
        <v>7346</v>
      </c>
      <c r="D94">
        <v>0.670863</v>
      </c>
    </row>
    <row r="95" spans="1:4">
      <c r="A95" t="s">
        <v>1712</v>
      </c>
      <c r="B95" t="s">
        <v>351</v>
      </c>
      <c r="C95" t="s">
        <v>7347</v>
      </c>
      <c r="D95">
        <v>12.758419</v>
      </c>
    </row>
    <row r="96" spans="1:4">
      <c r="A96" t="s">
        <v>1713</v>
      </c>
      <c r="B96" t="s">
        <v>351</v>
      </c>
      <c r="C96" t="s">
        <v>7348</v>
      </c>
      <c r="D96">
        <v>3.243744</v>
      </c>
    </row>
    <row r="97" spans="1:4">
      <c r="A97" t="s">
        <v>1714</v>
      </c>
      <c r="B97" t="s">
        <v>351</v>
      </c>
      <c r="C97" t="s">
        <v>7297</v>
      </c>
      <c r="D97">
        <v>14.713999</v>
      </c>
    </row>
    <row r="98" spans="1:4">
      <c r="A98" t="s">
        <v>1715</v>
      </c>
      <c r="B98" t="s">
        <v>351</v>
      </c>
      <c r="C98" t="s">
        <v>7349</v>
      </c>
      <c r="D98">
        <v>1.722937</v>
      </c>
    </row>
    <row r="99" spans="1:4">
      <c r="A99" t="s">
        <v>1716</v>
      </c>
      <c r="B99" t="s">
        <v>351</v>
      </c>
      <c r="C99" t="s">
        <v>7298</v>
      </c>
      <c r="D99">
        <v>47.935072</v>
      </c>
    </row>
    <row r="100" spans="1:4">
      <c r="A100" t="s">
        <v>1717</v>
      </c>
      <c r="B100" t="s">
        <v>351</v>
      </c>
      <c r="C100" t="s">
        <v>7350</v>
      </c>
      <c r="D100">
        <v>5.168257</v>
      </c>
    </row>
    <row r="101" spans="1:4">
      <c r="A101" t="s">
        <v>1718</v>
      </c>
      <c r="B101" t="s">
        <v>351</v>
      </c>
      <c r="C101" t="s">
        <v>7351</v>
      </c>
      <c r="D101">
        <v>2.30673</v>
      </c>
    </row>
    <row r="102" spans="1:4">
      <c r="A102" t="s">
        <v>1719</v>
      </c>
      <c r="B102" t="s">
        <v>351</v>
      </c>
      <c r="C102" t="s">
        <v>7352</v>
      </c>
      <c r="D102">
        <v>5.781441</v>
      </c>
    </row>
    <row r="103" spans="1:4">
      <c r="A103" t="s">
        <v>1720</v>
      </c>
      <c r="B103" t="s">
        <v>351</v>
      </c>
      <c r="C103" t="s">
        <v>7353</v>
      </c>
      <c r="D103">
        <v>20.413471</v>
      </c>
    </row>
    <row r="104" spans="1:4">
      <c r="A104" t="s">
        <v>1721</v>
      </c>
      <c r="B104" t="s">
        <v>351</v>
      </c>
      <c r="C104" t="s">
        <v>7354</v>
      </c>
      <c r="D104">
        <v>1.936994</v>
      </c>
    </row>
    <row r="105" spans="1:4">
      <c r="A105" t="s">
        <v>1722</v>
      </c>
      <c r="B105" t="s">
        <v>351</v>
      </c>
      <c r="C105" t="s">
        <v>7355</v>
      </c>
      <c r="D105">
        <v>140.04412</v>
      </c>
    </row>
    <row r="106" spans="1:4">
      <c r="A106" t="s">
        <v>1723</v>
      </c>
      <c r="B106" t="s">
        <v>351</v>
      </c>
      <c r="C106" t="s">
        <v>7356</v>
      </c>
      <c r="D106">
        <v>411.674467</v>
      </c>
    </row>
    <row r="107" spans="1:4">
      <c r="A107" t="s">
        <v>1724</v>
      </c>
      <c r="B107" t="s">
        <v>351</v>
      </c>
      <c r="C107" t="s">
        <v>7357</v>
      </c>
      <c r="D107">
        <v>47.935078</v>
      </c>
    </row>
    <row r="108" spans="1:4">
      <c r="A108" t="s">
        <v>1725</v>
      </c>
      <c r="B108" t="s">
        <v>351</v>
      </c>
      <c r="C108" t="s">
        <v>7299</v>
      </c>
      <c r="D108">
        <v>411.672098</v>
      </c>
    </row>
    <row r="109" spans="1:4">
      <c r="A109" t="s">
        <v>1726</v>
      </c>
      <c r="B109" t="s">
        <v>351</v>
      </c>
      <c r="C109" t="s">
        <v>7358</v>
      </c>
      <c r="D109">
        <v>114.047096</v>
      </c>
    </row>
    <row r="110" spans="1:4">
      <c r="A110" t="s">
        <v>1727</v>
      </c>
      <c r="B110" t="s">
        <v>351</v>
      </c>
      <c r="C110" t="s">
        <v>7359</v>
      </c>
      <c r="D110">
        <v>411.674467</v>
      </c>
    </row>
    <row r="111" spans="1:4">
      <c r="A111" t="s">
        <v>1728</v>
      </c>
      <c r="B111" t="s">
        <v>351</v>
      </c>
      <c r="C111" t="s">
        <v>7360</v>
      </c>
      <c r="D111">
        <v>26.91029</v>
      </c>
    </row>
    <row r="112" spans="1:4">
      <c r="A112" t="s">
        <v>1729</v>
      </c>
      <c r="B112" t="s">
        <v>351</v>
      </c>
      <c r="C112" t="s">
        <v>7361</v>
      </c>
      <c r="D112">
        <v>411.674467</v>
      </c>
    </row>
    <row r="113" spans="1:4">
      <c r="A113" t="s">
        <v>1730</v>
      </c>
      <c r="B113" t="s">
        <v>351</v>
      </c>
      <c r="C113" t="s">
        <v>7362</v>
      </c>
      <c r="D113">
        <v>4.120316</v>
      </c>
    </row>
    <row r="114" spans="1:4">
      <c r="A114" t="s">
        <v>1731</v>
      </c>
      <c r="B114" t="s">
        <v>351</v>
      </c>
      <c r="C114" t="s">
        <v>7363</v>
      </c>
      <c r="D114">
        <v>0.034881</v>
      </c>
    </row>
    <row r="115" spans="1:4">
      <c r="A115" t="s">
        <v>1732</v>
      </c>
      <c r="B115" t="s">
        <v>351</v>
      </c>
      <c r="C115" t="s">
        <v>7364</v>
      </c>
      <c r="D115">
        <v>40.032282</v>
      </c>
    </row>
    <row r="116" spans="1:4">
      <c r="A116" t="s">
        <v>1733</v>
      </c>
      <c r="B116" t="s">
        <v>351</v>
      </c>
      <c r="C116" t="s">
        <v>7365</v>
      </c>
      <c r="D116">
        <v>1.458972</v>
      </c>
    </row>
    <row r="117" spans="1:4">
      <c r="A117" t="s">
        <v>1734</v>
      </c>
      <c r="B117" t="s">
        <v>351</v>
      </c>
      <c r="C117" t="s">
        <v>7300</v>
      </c>
      <c r="D117">
        <v>39.084549</v>
      </c>
    </row>
    <row r="118" spans="1:4">
      <c r="A118" t="s">
        <v>1735</v>
      </c>
      <c r="B118" t="s">
        <v>351</v>
      </c>
      <c r="C118" t="s">
        <v>7366</v>
      </c>
      <c r="D118">
        <v>11.482257</v>
      </c>
    </row>
    <row r="119" spans="1:4">
      <c r="A119" t="s">
        <v>1736</v>
      </c>
      <c r="B119" t="s">
        <v>351</v>
      </c>
      <c r="C119" t="s">
        <v>7367</v>
      </c>
      <c r="D119">
        <v>47.471156</v>
      </c>
    </row>
    <row r="120" spans="1:4">
      <c r="A120" t="s">
        <v>1737</v>
      </c>
      <c r="B120" t="s">
        <v>351</v>
      </c>
      <c r="C120" t="s">
        <v>7368</v>
      </c>
      <c r="D120">
        <v>2.330967</v>
      </c>
    </row>
    <row r="121" spans="1:4">
      <c r="A121" t="s">
        <v>1738</v>
      </c>
      <c r="B121" t="s">
        <v>351</v>
      </c>
      <c r="C121" t="s">
        <v>7301</v>
      </c>
      <c r="D121">
        <v>0.017559</v>
      </c>
    </row>
    <row r="122" spans="1:4">
      <c r="A122" t="s">
        <v>1739</v>
      </c>
      <c r="B122" t="s">
        <v>351</v>
      </c>
      <c r="C122" t="s">
        <v>7302</v>
      </c>
      <c r="D122">
        <v>105.425631</v>
      </c>
    </row>
    <row r="123" spans="1:4">
      <c r="A123" t="s">
        <v>1740</v>
      </c>
      <c r="B123" t="s">
        <v>351</v>
      </c>
      <c r="C123" t="s">
        <v>7369</v>
      </c>
      <c r="D123">
        <v>411.674467</v>
      </c>
    </row>
    <row r="124" spans="1:4">
      <c r="A124" t="s">
        <v>1741</v>
      </c>
      <c r="B124" t="s">
        <v>351</v>
      </c>
      <c r="C124" t="s">
        <v>7303</v>
      </c>
      <c r="D124">
        <v>3.195317</v>
      </c>
    </row>
    <row r="125" spans="1:4">
      <c r="A125" t="s">
        <v>1742</v>
      </c>
      <c r="B125" t="s">
        <v>351</v>
      </c>
      <c r="C125" t="s">
        <v>7370</v>
      </c>
      <c r="D125">
        <v>0.233196</v>
      </c>
    </row>
    <row r="126" spans="1:4">
      <c r="A126" t="s">
        <v>1743</v>
      </c>
      <c r="B126" t="s">
        <v>351</v>
      </c>
      <c r="C126" t="s">
        <v>7371</v>
      </c>
      <c r="D126">
        <v>0.000317</v>
      </c>
    </row>
    <row r="127" spans="1:4">
      <c r="A127" t="s">
        <v>1744</v>
      </c>
      <c r="B127" t="s">
        <v>351</v>
      </c>
      <c r="C127" t="s">
        <v>7304</v>
      </c>
      <c r="D127">
        <v>2.490634</v>
      </c>
    </row>
    <row r="128" spans="1:4">
      <c r="A128" t="s">
        <v>1745</v>
      </c>
      <c r="B128" t="s">
        <v>351</v>
      </c>
      <c r="C128" t="s">
        <v>7372</v>
      </c>
      <c r="D128">
        <v>411.674467</v>
      </c>
    </row>
    <row r="129" spans="1:4">
      <c r="A129" t="s">
        <v>1746</v>
      </c>
      <c r="B129" t="s">
        <v>351</v>
      </c>
      <c r="C129" t="s">
        <v>7373</v>
      </c>
      <c r="D129">
        <v>1.944468</v>
      </c>
    </row>
    <row r="130" spans="1:4">
      <c r="A130" t="s">
        <v>1747</v>
      </c>
      <c r="B130" t="s">
        <v>351</v>
      </c>
      <c r="C130" t="s">
        <v>7374</v>
      </c>
      <c r="D130">
        <v>431.879038</v>
      </c>
    </row>
    <row r="131" spans="1:4">
      <c r="A131" t="s">
        <v>1748</v>
      </c>
      <c r="B131" t="s">
        <v>351</v>
      </c>
      <c r="C131" t="s">
        <v>7305</v>
      </c>
      <c r="D131">
        <v>1.935993</v>
      </c>
    </row>
    <row r="132" spans="1:4">
      <c r="A132" t="s">
        <v>1749</v>
      </c>
      <c r="B132" t="s">
        <v>351</v>
      </c>
      <c r="C132" t="s">
        <v>7375</v>
      </c>
      <c r="D132">
        <v>2.363393</v>
      </c>
    </row>
    <row r="133" spans="1:4">
      <c r="A133" t="s">
        <v>1750</v>
      </c>
      <c r="B133" t="s">
        <v>351</v>
      </c>
      <c r="C133" t="s">
        <v>7376</v>
      </c>
      <c r="D133">
        <v>3.489777</v>
      </c>
    </row>
    <row r="134" spans="1:4">
      <c r="A134" t="s">
        <v>1751</v>
      </c>
      <c r="B134" t="s">
        <v>351</v>
      </c>
      <c r="C134" t="s">
        <v>7377</v>
      </c>
      <c r="D134">
        <v>0.075739</v>
      </c>
    </row>
    <row r="135" spans="1:4">
      <c r="A135" t="s">
        <v>1752</v>
      </c>
      <c r="B135" t="s">
        <v>351</v>
      </c>
      <c r="C135" t="s">
        <v>7378</v>
      </c>
      <c r="D135">
        <v>221.343516</v>
      </c>
    </row>
    <row r="136" spans="1:4">
      <c r="A136" t="s">
        <v>1753</v>
      </c>
      <c r="B136" t="s">
        <v>351</v>
      </c>
      <c r="C136" t="s">
        <v>7379</v>
      </c>
      <c r="D136">
        <v>0.7270219999999999</v>
      </c>
    </row>
    <row r="137" spans="1:4">
      <c r="A137" t="s">
        <v>1754</v>
      </c>
      <c r="B137" t="s">
        <v>351</v>
      </c>
      <c r="C137" t="s">
        <v>7306</v>
      </c>
      <c r="D137">
        <v>0.205038</v>
      </c>
    </row>
    <row r="138" spans="1:4">
      <c r="A138" t="s">
        <v>1755</v>
      </c>
      <c r="B138" t="s">
        <v>351</v>
      </c>
      <c r="C138" t="s">
        <v>7380</v>
      </c>
      <c r="D138">
        <v>994.46542</v>
      </c>
    </row>
    <row r="139" spans="1:4">
      <c r="A139" t="s">
        <v>1756</v>
      </c>
      <c r="B139" t="s">
        <v>351</v>
      </c>
      <c r="C139" t="s">
        <v>7381</v>
      </c>
      <c r="D139">
        <v>367.442452</v>
      </c>
    </row>
    <row r="140" spans="1:4">
      <c r="A140" t="s">
        <v>1757</v>
      </c>
      <c r="B140" t="s">
        <v>351</v>
      </c>
      <c r="C140" t="s">
        <v>7382</v>
      </c>
      <c r="D140">
        <v>0.647027</v>
      </c>
    </row>
    <row r="141" spans="1:4">
      <c r="A141" t="s">
        <v>1758</v>
      </c>
      <c r="B141" t="s">
        <v>351</v>
      </c>
      <c r="C141" t="s">
        <v>7383</v>
      </c>
      <c r="D141">
        <v>0.013923</v>
      </c>
    </row>
    <row r="142" spans="1:4">
      <c r="A142" t="s">
        <v>1759</v>
      </c>
      <c r="B142" t="s">
        <v>351</v>
      </c>
      <c r="C142" t="s">
        <v>7384</v>
      </c>
      <c r="D142">
        <v>0.003421</v>
      </c>
    </row>
    <row r="143" spans="1:4">
      <c r="A143" t="s">
        <v>1760</v>
      </c>
      <c r="B143" t="s">
        <v>351</v>
      </c>
      <c r="C143" t="s">
        <v>7385</v>
      </c>
      <c r="D143">
        <v>0.94167</v>
      </c>
    </row>
    <row r="144" spans="1:4">
      <c r="A144" t="s">
        <v>1761</v>
      </c>
      <c r="B144" t="s">
        <v>351</v>
      </c>
      <c r="C144" t="s">
        <v>7386</v>
      </c>
      <c r="D144">
        <v>1.668045</v>
      </c>
    </row>
    <row r="145" spans="1:4">
      <c r="A145" t="s">
        <v>1762</v>
      </c>
      <c r="B145" t="s">
        <v>351</v>
      </c>
      <c r="C145" t="s">
        <v>7387</v>
      </c>
      <c r="D145">
        <v>18.602352</v>
      </c>
    </row>
    <row r="146" spans="1:4">
      <c r="A146" t="s">
        <v>1763</v>
      </c>
      <c r="B146" t="s">
        <v>351</v>
      </c>
      <c r="C146" t="s">
        <v>7388</v>
      </c>
      <c r="D146">
        <v>48.352369</v>
      </c>
    </row>
    <row r="147" spans="1:4">
      <c r="A147" t="s">
        <v>1764</v>
      </c>
      <c r="B147" t="s">
        <v>351</v>
      </c>
      <c r="C147" t="s">
        <v>7389</v>
      </c>
      <c r="D147">
        <v>33.298005</v>
      </c>
    </row>
    <row r="148" spans="1:4">
      <c r="A148" t="s">
        <v>1765</v>
      </c>
      <c r="B148" t="s">
        <v>351</v>
      </c>
      <c r="C148" t="s">
        <v>7390</v>
      </c>
      <c r="D148">
        <v>17.809257</v>
      </c>
    </row>
    <row r="149" spans="1:4">
      <c r="A149" t="s">
        <v>1766</v>
      </c>
      <c r="B149" t="s">
        <v>351</v>
      </c>
      <c r="C149" t="s">
        <v>7391</v>
      </c>
      <c r="D149">
        <v>0.073365</v>
      </c>
    </row>
    <row r="150" spans="1:4">
      <c r="A150" t="s">
        <v>1767</v>
      </c>
      <c r="B150" t="s">
        <v>351</v>
      </c>
      <c r="C150" t="s">
        <v>7392</v>
      </c>
      <c r="D150">
        <v>5.797489</v>
      </c>
    </row>
    <row r="151" spans="1:4">
      <c r="A151" t="s">
        <v>1768</v>
      </c>
      <c r="B151" t="s">
        <v>351</v>
      </c>
      <c r="C151" t="s">
        <v>7393</v>
      </c>
      <c r="D151">
        <v>0.145493</v>
      </c>
    </row>
    <row r="152" spans="1:4">
      <c r="A152" t="s">
        <v>1769</v>
      </c>
      <c r="B152" t="s">
        <v>351</v>
      </c>
      <c r="C152" t="s">
        <v>7394</v>
      </c>
      <c r="D152">
        <v>0.08615</v>
      </c>
    </row>
    <row r="153" spans="1:4">
      <c r="A153" t="s">
        <v>1770</v>
      </c>
      <c r="B153" t="s">
        <v>351</v>
      </c>
      <c r="C153" t="s">
        <v>7395</v>
      </c>
      <c r="D153">
        <v>37.946251</v>
      </c>
    </row>
    <row r="154" spans="1:4">
      <c r="A154" t="s">
        <v>1771</v>
      </c>
      <c r="B154" t="s">
        <v>351</v>
      </c>
      <c r="C154" t="s">
        <v>7396</v>
      </c>
      <c r="D154">
        <v>7.603796</v>
      </c>
    </row>
    <row r="155" spans="1:4">
      <c r="A155" t="s">
        <v>1772</v>
      </c>
      <c r="B155" t="s">
        <v>351</v>
      </c>
      <c r="C155" t="s">
        <v>7397</v>
      </c>
      <c r="D155">
        <v>6.525118</v>
      </c>
    </row>
    <row r="156" spans="1:4">
      <c r="A156" t="s">
        <v>1773</v>
      </c>
      <c r="B156" t="s">
        <v>351</v>
      </c>
      <c r="C156" t="s">
        <v>7398</v>
      </c>
      <c r="D156">
        <v>19.773574</v>
      </c>
    </row>
    <row r="157" spans="1:4">
      <c r="A157" t="s">
        <v>1774</v>
      </c>
      <c r="B157" t="s">
        <v>351</v>
      </c>
      <c r="C157" t="s">
        <v>7399</v>
      </c>
      <c r="D157">
        <v>0.175437</v>
      </c>
    </row>
    <row r="158" spans="1:4">
      <c r="A158" t="s">
        <v>1775</v>
      </c>
      <c r="B158" t="s">
        <v>351</v>
      </c>
      <c r="C158" t="s">
        <v>7307</v>
      </c>
      <c r="D158">
        <v>17.788485</v>
      </c>
    </row>
    <row r="159" spans="1:4">
      <c r="A159" t="s">
        <v>1776</v>
      </c>
      <c r="B159" t="s">
        <v>351</v>
      </c>
      <c r="C159" t="s">
        <v>7308</v>
      </c>
      <c r="D159">
        <v>77.842568</v>
      </c>
    </row>
    <row r="160" spans="1:4">
      <c r="A160" t="s">
        <v>1777</v>
      </c>
      <c r="B160" t="s">
        <v>351</v>
      </c>
      <c r="C160" t="s">
        <v>7400</v>
      </c>
      <c r="D160">
        <v>4.791762</v>
      </c>
    </row>
    <row r="161" spans="1:4">
      <c r="A161" t="s">
        <v>1778</v>
      </c>
      <c r="B161" t="s">
        <v>351</v>
      </c>
      <c r="C161" t="s">
        <v>7401</v>
      </c>
      <c r="D161">
        <v>18.602352</v>
      </c>
    </row>
    <row r="162" spans="1:4">
      <c r="A162" t="s">
        <v>1779</v>
      </c>
      <c r="B162" t="s">
        <v>351</v>
      </c>
      <c r="C162" t="s">
        <v>7402</v>
      </c>
      <c r="D162">
        <v>0.224034</v>
      </c>
    </row>
    <row r="163" spans="1:4">
      <c r="A163" t="s">
        <v>1780</v>
      </c>
      <c r="B163" t="s">
        <v>351</v>
      </c>
      <c r="C163" t="s">
        <v>7403</v>
      </c>
      <c r="D163">
        <v>8.30752</v>
      </c>
    </row>
    <row r="164" spans="1:4">
      <c r="A164" t="s">
        <v>1781</v>
      </c>
      <c r="B164" t="s">
        <v>351</v>
      </c>
      <c r="C164" t="s">
        <v>7309</v>
      </c>
      <c r="D164">
        <v>33.151975</v>
      </c>
    </row>
    <row r="165" spans="1:4">
      <c r="A165" t="s">
        <v>1782</v>
      </c>
      <c r="B165" t="s">
        <v>351</v>
      </c>
      <c r="C165" t="s">
        <v>7404</v>
      </c>
      <c r="D165">
        <v>1.997078</v>
      </c>
    </row>
    <row r="166" spans="1:4">
      <c r="A166" t="s">
        <v>1783</v>
      </c>
      <c r="B166" t="s">
        <v>351</v>
      </c>
      <c r="C166" t="s">
        <v>7310</v>
      </c>
      <c r="D166">
        <v>181.195786</v>
      </c>
    </row>
    <row r="167" spans="1:4">
      <c r="A167" t="s">
        <v>1784</v>
      </c>
      <c r="B167" t="s">
        <v>351</v>
      </c>
      <c r="C167" t="s">
        <v>7405</v>
      </c>
      <c r="D167">
        <v>796.3703410000001</v>
      </c>
    </row>
    <row r="168" spans="1:4">
      <c r="A168" t="s">
        <v>1785</v>
      </c>
      <c r="B168" t="s">
        <v>351</v>
      </c>
      <c r="C168" t="s">
        <v>7406</v>
      </c>
      <c r="D168">
        <v>306.201938</v>
      </c>
    </row>
    <row r="169" spans="1:4">
      <c r="A169" t="s">
        <v>1786</v>
      </c>
      <c r="B169" t="s">
        <v>351</v>
      </c>
      <c r="C169" t="s">
        <v>7407</v>
      </c>
      <c r="D169">
        <v>89.506445</v>
      </c>
    </row>
    <row r="170" spans="1:4">
      <c r="A170" t="s">
        <v>1787</v>
      </c>
      <c r="B170" t="s">
        <v>351</v>
      </c>
      <c r="C170" t="s">
        <v>7408</v>
      </c>
      <c r="D170">
        <v>70.601581</v>
      </c>
    </row>
    <row r="171" spans="1:4">
      <c r="A171" t="s">
        <v>1788</v>
      </c>
      <c r="B171" t="s">
        <v>351</v>
      </c>
      <c r="C171" t="s">
        <v>7311</v>
      </c>
      <c r="D171">
        <v>4.966657</v>
      </c>
    </row>
    <row r="172" spans="1:4">
      <c r="A172" t="s">
        <v>1789</v>
      </c>
      <c r="B172" t="s">
        <v>351</v>
      </c>
      <c r="C172" t="s">
        <v>7409</v>
      </c>
      <c r="D172">
        <v>1.09792</v>
      </c>
    </row>
    <row r="173" spans="1:4">
      <c r="A173" t="s">
        <v>1790</v>
      </c>
      <c r="B173" t="s">
        <v>351</v>
      </c>
      <c r="C173" t="s">
        <v>7312</v>
      </c>
      <c r="D173">
        <v>84.334648</v>
      </c>
    </row>
    <row r="174" spans="1:4">
      <c r="A174" t="s">
        <v>1791</v>
      </c>
      <c r="B174" t="s">
        <v>351</v>
      </c>
      <c r="C174" t="s">
        <v>7410</v>
      </c>
      <c r="D174">
        <v>0.049922</v>
      </c>
    </row>
    <row r="175" spans="1:4">
      <c r="A175" t="s">
        <v>1792</v>
      </c>
      <c r="B175" t="s">
        <v>351</v>
      </c>
      <c r="C175" t="s">
        <v>7411</v>
      </c>
      <c r="D175">
        <v>84.121443</v>
      </c>
    </row>
    <row r="176" spans="1:4">
      <c r="A176" t="s">
        <v>1793</v>
      </c>
      <c r="B176" t="s">
        <v>351</v>
      </c>
      <c r="C176" t="s">
        <v>7313</v>
      </c>
      <c r="D176">
        <v>68.69663300000001</v>
      </c>
    </row>
    <row r="177" spans="1:4">
      <c r="A177" t="s">
        <v>1794</v>
      </c>
      <c r="B177" t="s">
        <v>351</v>
      </c>
      <c r="C177" t="s">
        <v>7412</v>
      </c>
      <c r="D177">
        <v>3.046657</v>
      </c>
    </row>
    <row r="178" spans="1:4">
      <c r="A178" t="s">
        <v>1795</v>
      </c>
      <c r="B178" t="s">
        <v>351</v>
      </c>
      <c r="C178" t="s">
        <v>7413</v>
      </c>
      <c r="D178">
        <v>4.160202</v>
      </c>
    </row>
    <row r="179" spans="1:4">
      <c r="A179" t="s">
        <v>1796</v>
      </c>
      <c r="B179" t="s">
        <v>351</v>
      </c>
      <c r="C179" t="s">
        <v>7414</v>
      </c>
      <c r="D179">
        <v>0.208051</v>
      </c>
    </row>
    <row r="180" spans="1:4">
      <c r="A180" t="s">
        <v>1797</v>
      </c>
      <c r="B180" t="s">
        <v>351</v>
      </c>
      <c r="C180" t="s">
        <v>7415</v>
      </c>
      <c r="D180">
        <v>81.65387800000001</v>
      </c>
    </row>
    <row r="181" spans="1:4">
      <c r="A181" t="s">
        <v>1798</v>
      </c>
      <c r="B181" t="s">
        <v>351</v>
      </c>
      <c r="C181" t="s">
        <v>7416</v>
      </c>
      <c r="D181">
        <v>38.704073</v>
      </c>
    </row>
    <row r="182" spans="1:4">
      <c r="A182" t="s">
        <v>1799</v>
      </c>
      <c r="B182" t="s">
        <v>351</v>
      </c>
      <c r="C182" t="s">
        <v>7417</v>
      </c>
      <c r="D182">
        <v>20.675399</v>
      </c>
    </row>
    <row r="183" spans="1:4">
      <c r="A183" t="s">
        <v>1800</v>
      </c>
      <c r="B183" t="s">
        <v>351</v>
      </c>
      <c r="C183" t="s">
        <v>7418</v>
      </c>
      <c r="D183">
        <v>0.682648</v>
      </c>
    </row>
    <row r="184" spans="1:4">
      <c r="A184" t="s">
        <v>1801</v>
      </c>
      <c r="B184" t="s">
        <v>351</v>
      </c>
      <c r="C184" t="s">
        <v>7314</v>
      </c>
      <c r="D184">
        <v>32.720925</v>
      </c>
    </row>
    <row r="185" spans="1:4">
      <c r="A185" t="s">
        <v>1802</v>
      </c>
      <c r="B185" t="s">
        <v>351</v>
      </c>
      <c r="C185" t="s">
        <v>7315</v>
      </c>
      <c r="D185">
        <v>240.131255</v>
      </c>
    </row>
    <row r="186" spans="1:4">
      <c r="A186" t="s">
        <v>1803</v>
      </c>
      <c r="B186" t="s">
        <v>351</v>
      </c>
      <c r="C186" t="s">
        <v>7419</v>
      </c>
      <c r="D186">
        <v>411.674467</v>
      </c>
    </row>
    <row r="187" spans="1:4">
      <c r="A187" t="s">
        <v>1804</v>
      </c>
      <c r="B187" t="s">
        <v>351</v>
      </c>
      <c r="C187" t="s">
        <v>7420</v>
      </c>
      <c r="D187">
        <v>12.46045</v>
      </c>
    </row>
    <row r="188" spans="1:4">
      <c r="A188" t="s">
        <v>1805</v>
      </c>
      <c r="B188" t="s">
        <v>351</v>
      </c>
      <c r="C188" t="s">
        <v>7421</v>
      </c>
      <c r="D188">
        <v>0.01246</v>
      </c>
    </row>
    <row r="189" spans="1:4">
      <c r="A189" t="s">
        <v>1806</v>
      </c>
      <c r="B189" t="s">
        <v>351</v>
      </c>
      <c r="C189" t="s">
        <v>7422</v>
      </c>
      <c r="D189">
        <v>0.5341590000000001</v>
      </c>
    </row>
    <row r="190" spans="1:4">
      <c r="A190" t="s">
        <v>1807</v>
      </c>
      <c r="B190" t="s">
        <v>351</v>
      </c>
      <c r="C190" t="s">
        <v>7423</v>
      </c>
      <c r="D190">
        <v>8.218678000000001</v>
      </c>
    </row>
    <row r="191" spans="1:4">
      <c r="A191" t="s">
        <v>1808</v>
      </c>
      <c r="B191" t="s">
        <v>351</v>
      </c>
      <c r="C191" t="s">
        <v>7424</v>
      </c>
      <c r="D191">
        <v>0.06507499999999999</v>
      </c>
    </row>
    <row r="192" spans="1:4">
      <c r="A192" t="s">
        <v>1809</v>
      </c>
      <c r="B192" t="s">
        <v>351</v>
      </c>
      <c r="C192" t="s">
        <v>7425</v>
      </c>
      <c r="D192">
        <v>14.598834</v>
      </c>
    </row>
    <row r="193" spans="1:4">
      <c r="A193" t="s">
        <v>1810</v>
      </c>
      <c r="B193" t="s">
        <v>351</v>
      </c>
      <c r="C193" t="s">
        <v>7426</v>
      </c>
      <c r="D193">
        <v>2.719438</v>
      </c>
    </row>
    <row r="194" spans="1:4">
      <c r="A194" t="s">
        <v>1811</v>
      </c>
      <c r="B194" t="s">
        <v>351</v>
      </c>
      <c r="C194" t="s">
        <v>7427</v>
      </c>
      <c r="D194">
        <v>18.602352</v>
      </c>
    </row>
    <row r="195" spans="1:4">
      <c r="A195" t="s">
        <v>1812</v>
      </c>
      <c r="B195" t="s">
        <v>351</v>
      </c>
      <c r="C195" t="s">
        <v>7316</v>
      </c>
      <c r="D195">
        <v>9.457813</v>
      </c>
    </row>
    <row r="196" spans="1:4">
      <c r="A196" t="s">
        <v>1813</v>
      </c>
      <c r="B196" t="s">
        <v>351</v>
      </c>
      <c r="C196" t="s">
        <v>7428</v>
      </c>
      <c r="D196">
        <v>32.722539</v>
      </c>
    </row>
    <row r="197" spans="1:4">
      <c r="A197" t="s">
        <v>1814</v>
      </c>
      <c r="B197" t="s">
        <v>351</v>
      </c>
      <c r="C197" t="s">
        <v>7429</v>
      </c>
      <c r="D197">
        <v>87.289924</v>
      </c>
    </row>
    <row r="198" spans="1:4">
      <c r="A198" t="s">
        <v>1815</v>
      </c>
      <c r="B198" t="s">
        <v>351</v>
      </c>
      <c r="C198" t="s">
        <v>7430</v>
      </c>
      <c r="D198">
        <v>105.733671</v>
      </c>
    </row>
    <row r="199" spans="1:4">
      <c r="A199" t="s">
        <v>1816</v>
      </c>
      <c r="B199" t="s">
        <v>351</v>
      </c>
      <c r="C199" t="s">
        <v>7431</v>
      </c>
      <c r="D199">
        <v>129.704728</v>
      </c>
    </row>
    <row r="200" spans="1:4">
      <c r="A200" t="s">
        <v>1817</v>
      </c>
      <c r="B200" t="s">
        <v>351</v>
      </c>
      <c r="C200" t="s">
        <v>7317</v>
      </c>
      <c r="D200">
        <v>6.729401</v>
      </c>
    </row>
    <row r="201" spans="1:4">
      <c r="A201" t="s">
        <v>1818</v>
      </c>
      <c r="B201" t="s">
        <v>351</v>
      </c>
      <c r="C201" t="s">
        <v>7432</v>
      </c>
      <c r="D201">
        <v>41.218271</v>
      </c>
    </row>
    <row r="202" spans="1:4">
      <c r="A202" t="s">
        <v>1819</v>
      </c>
      <c r="B202" t="s">
        <v>351</v>
      </c>
      <c r="C202" t="s">
        <v>7433</v>
      </c>
      <c r="D202">
        <v>221.343516</v>
      </c>
    </row>
    <row r="203" spans="1:4">
      <c r="A203" t="s">
        <v>1820</v>
      </c>
      <c r="B203" t="s">
        <v>351</v>
      </c>
      <c r="C203" t="s">
        <v>7434</v>
      </c>
      <c r="D203">
        <v>9.707324</v>
      </c>
    </row>
    <row r="204" spans="1:4">
      <c r="A204" t="s">
        <v>1821</v>
      </c>
      <c r="B204" t="s">
        <v>351</v>
      </c>
      <c r="C204" t="s">
        <v>7435</v>
      </c>
      <c r="D204">
        <v>0.118368</v>
      </c>
    </row>
    <row r="205" spans="1:4">
      <c r="A205" t="s">
        <v>1822</v>
      </c>
      <c r="B205" t="s">
        <v>351</v>
      </c>
      <c r="C205" t="s">
        <v>7436</v>
      </c>
      <c r="D205">
        <v>6.949359</v>
      </c>
    </row>
    <row r="206" spans="1:4">
      <c r="A206" t="s">
        <v>1823</v>
      </c>
      <c r="B206" t="s">
        <v>351</v>
      </c>
      <c r="C206" t="s">
        <v>7437</v>
      </c>
      <c r="D206">
        <v>0.082079</v>
      </c>
    </row>
    <row r="207" spans="1:4">
      <c r="A207" t="s">
        <v>1824</v>
      </c>
      <c r="B207" t="s">
        <v>351</v>
      </c>
      <c r="C207" t="s">
        <v>399</v>
      </c>
      <c r="D207">
        <v>306.201152</v>
      </c>
    </row>
    <row r="208" spans="1:4">
      <c r="A208" t="s">
        <v>1825</v>
      </c>
      <c r="B208" t="s">
        <v>351</v>
      </c>
      <c r="C208" t="s">
        <v>7438</v>
      </c>
      <c r="D208">
        <v>7.667625</v>
      </c>
    </row>
    <row r="209" spans="1:4">
      <c r="A209" t="s">
        <v>1826</v>
      </c>
      <c r="B209" t="s">
        <v>351</v>
      </c>
      <c r="C209" t="s">
        <v>7439</v>
      </c>
      <c r="D209">
        <v>0.02531</v>
      </c>
    </row>
    <row r="210" spans="1:4">
      <c r="A210" t="s">
        <v>1827</v>
      </c>
      <c r="B210" t="s">
        <v>351</v>
      </c>
      <c r="C210" t="s">
        <v>7440</v>
      </c>
      <c r="D210">
        <v>0</v>
      </c>
    </row>
    <row r="211" spans="1:4">
      <c r="A211" t="s">
        <v>1828</v>
      </c>
      <c r="B211" t="s">
        <v>351</v>
      </c>
      <c r="C211" t="s">
        <v>7441</v>
      </c>
      <c r="D211">
        <v>0.01173</v>
      </c>
    </row>
    <row r="212" spans="1:4">
      <c r="A212" t="s">
        <v>1829</v>
      </c>
      <c r="B212" t="s">
        <v>351</v>
      </c>
      <c r="C212" t="s">
        <v>7442</v>
      </c>
      <c r="D212">
        <v>2.608873</v>
      </c>
    </row>
    <row r="213" spans="1:4">
      <c r="A213" t="s">
        <v>1830</v>
      </c>
      <c r="B213" t="s">
        <v>351</v>
      </c>
      <c r="C213" t="s">
        <v>7443</v>
      </c>
      <c r="D213">
        <v>114.492995</v>
      </c>
    </row>
    <row r="214" spans="1:4">
      <c r="A214" t="s">
        <v>1831</v>
      </c>
      <c r="B214" t="s">
        <v>351</v>
      </c>
      <c r="C214" t="s">
        <v>7444</v>
      </c>
      <c r="D214">
        <v>0.5452669999999999</v>
      </c>
    </row>
    <row r="215" spans="1:4">
      <c r="A215" t="s">
        <v>1832</v>
      </c>
      <c r="B215" t="s">
        <v>351</v>
      </c>
      <c r="C215" t="s">
        <v>7445</v>
      </c>
      <c r="D215">
        <v>113.408161</v>
      </c>
    </row>
    <row r="216" spans="1:4">
      <c r="A216" t="s">
        <v>1833</v>
      </c>
      <c r="B216" t="s">
        <v>351</v>
      </c>
      <c r="C216" t="s">
        <v>7446</v>
      </c>
      <c r="D216">
        <v>171.062625</v>
      </c>
    </row>
    <row r="217" spans="1:4">
      <c r="A217" t="s">
        <v>1834</v>
      </c>
      <c r="B217" t="s">
        <v>351</v>
      </c>
      <c r="C217" t="s">
        <v>7447</v>
      </c>
      <c r="D217">
        <v>419.091356</v>
      </c>
    </row>
    <row r="218" spans="1:4">
      <c r="A218" t="s">
        <v>1835</v>
      </c>
      <c r="B218" t="s">
        <v>351</v>
      </c>
      <c r="C218" t="s">
        <v>7448</v>
      </c>
      <c r="D218">
        <v>0.5452669999999999</v>
      </c>
    </row>
    <row r="219" spans="1:4">
      <c r="A219" t="s">
        <v>1836</v>
      </c>
      <c r="B219" t="s">
        <v>351</v>
      </c>
      <c r="C219" t="s">
        <v>7449</v>
      </c>
      <c r="D219">
        <v>2.99728</v>
      </c>
    </row>
    <row r="220" spans="1:4">
      <c r="A220" t="s">
        <v>1837</v>
      </c>
      <c r="B220" t="s">
        <v>351</v>
      </c>
      <c r="C220" t="s">
        <v>7450</v>
      </c>
      <c r="D220">
        <v>1.279894</v>
      </c>
    </row>
    <row r="221" spans="1:4">
      <c r="A221" t="s">
        <v>1838</v>
      </c>
      <c r="B221" t="s">
        <v>351</v>
      </c>
      <c r="C221" t="s">
        <v>7318</v>
      </c>
      <c r="D221">
        <v>18.602348</v>
      </c>
    </row>
    <row r="222" spans="1:4">
      <c r="A222" t="s">
        <v>1839</v>
      </c>
      <c r="B222" t="s">
        <v>351</v>
      </c>
      <c r="C222" t="s">
        <v>7451</v>
      </c>
      <c r="D222">
        <v>16.138868</v>
      </c>
    </row>
    <row r="223" spans="1:4">
      <c r="A223" t="s">
        <v>1840</v>
      </c>
      <c r="B223" t="s">
        <v>351</v>
      </c>
      <c r="C223" t="s">
        <v>7452</v>
      </c>
      <c r="D223">
        <v>11.819668</v>
      </c>
    </row>
    <row r="224" spans="1:4">
      <c r="A224" t="s">
        <v>1841</v>
      </c>
      <c r="B224" t="s">
        <v>351</v>
      </c>
      <c r="C224" t="s">
        <v>7453</v>
      </c>
      <c r="D224">
        <v>11.819668</v>
      </c>
    </row>
    <row r="225" spans="1:4">
      <c r="A225" t="s">
        <v>1842</v>
      </c>
      <c r="B225" t="s">
        <v>352</v>
      </c>
      <c r="C225" t="s">
        <v>397</v>
      </c>
      <c r="D225">
        <v>360.393448</v>
      </c>
    </row>
    <row r="226" spans="1:4">
      <c r="A226" t="s">
        <v>1843</v>
      </c>
      <c r="B226" t="s">
        <v>352</v>
      </c>
      <c r="C226" t="s">
        <v>7319</v>
      </c>
      <c r="D226">
        <v>84.380092</v>
      </c>
    </row>
    <row r="227" spans="1:4">
      <c r="A227" t="s">
        <v>1844</v>
      </c>
      <c r="B227" t="s">
        <v>352</v>
      </c>
      <c r="C227" t="s">
        <v>7320</v>
      </c>
      <c r="D227">
        <v>4.826162</v>
      </c>
    </row>
    <row r="228" spans="1:4">
      <c r="A228" t="s">
        <v>1845</v>
      </c>
      <c r="B228" t="s">
        <v>352</v>
      </c>
      <c r="C228" t="s">
        <v>7321</v>
      </c>
      <c r="D228">
        <v>3.772068</v>
      </c>
    </row>
    <row r="229" spans="1:4">
      <c r="A229" t="s">
        <v>1846</v>
      </c>
      <c r="B229" t="s">
        <v>352</v>
      </c>
      <c r="C229" t="s">
        <v>7322</v>
      </c>
      <c r="D229">
        <v>0.839429</v>
      </c>
    </row>
    <row r="230" spans="1:4">
      <c r="A230" t="s">
        <v>1847</v>
      </c>
      <c r="B230" t="s">
        <v>352</v>
      </c>
      <c r="C230" t="s">
        <v>7323</v>
      </c>
      <c r="D230">
        <v>173.120593</v>
      </c>
    </row>
    <row r="231" spans="1:4">
      <c r="A231" t="s">
        <v>1848</v>
      </c>
      <c r="B231" t="s">
        <v>352</v>
      </c>
      <c r="C231" t="s">
        <v>7324</v>
      </c>
      <c r="D231">
        <v>0.327896</v>
      </c>
    </row>
    <row r="232" spans="1:4">
      <c r="A232" t="s">
        <v>1849</v>
      </c>
      <c r="B232" t="s">
        <v>352</v>
      </c>
      <c r="C232" t="s">
        <v>7325</v>
      </c>
      <c r="D232">
        <v>0.222085</v>
      </c>
    </row>
    <row r="233" spans="1:4">
      <c r="A233" t="s">
        <v>1850</v>
      </c>
      <c r="B233" t="s">
        <v>352</v>
      </c>
      <c r="C233" t="s">
        <v>7292</v>
      </c>
      <c r="D233">
        <v>221.683043</v>
      </c>
    </row>
    <row r="234" spans="1:4">
      <c r="A234" t="s">
        <v>1851</v>
      </c>
      <c r="B234" t="s">
        <v>352</v>
      </c>
      <c r="C234" t="s">
        <v>7326</v>
      </c>
      <c r="D234">
        <v>173.120593</v>
      </c>
    </row>
    <row r="235" spans="1:4">
      <c r="A235" t="s">
        <v>1852</v>
      </c>
      <c r="B235" t="s">
        <v>352</v>
      </c>
      <c r="C235" t="s">
        <v>7327</v>
      </c>
      <c r="D235">
        <v>181.67364</v>
      </c>
    </row>
    <row r="236" spans="1:4">
      <c r="A236" t="s">
        <v>1853</v>
      </c>
      <c r="B236" t="s">
        <v>352</v>
      </c>
      <c r="C236" t="s">
        <v>7328</v>
      </c>
      <c r="D236">
        <v>184.266244</v>
      </c>
    </row>
    <row r="237" spans="1:4">
      <c r="A237" t="s">
        <v>1854</v>
      </c>
      <c r="B237" t="s">
        <v>352</v>
      </c>
      <c r="C237" t="s">
        <v>7329</v>
      </c>
      <c r="D237">
        <v>154.942959</v>
      </c>
    </row>
    <row r="238" spans="1:4">
      <c r="A238" t="s">
        <v>1855</v>
      </c>
      <c r="B238" t="s">
        <v>352</v>
      </c>
      <c r="C238" t="s">
        <v>7330</v>
      </c>
      <c r="D238">
        <v>2.523898</v>
      </c>
    </row>
    <row r="239" spans="1:4">
      <c r="A239" t="s">
        <v>1856</v>
      </c>
      <c r="B239" t="s">
        <v>352</v>
      </c>
      <c r="C239" t="s">
        <v>398</v>
      </c>
      <c r="D239">
        <v>184.266244</v>
      </c>
    </row>
    <row r="240" spans="1:4">
      <c r="A240" t="s">
        <v>1857</v>
      </c>
      <c r="B240" t="s">
        <v>352</v>
      </c>
      <c r="C240" t="s">
        <v>7331</v>
      </c>
      <c r="D240">
        <v>824.165239</v>
      </c>
    </row>
    <row r="241" spans="1:4">
      <c r="A241" t="s">
        <v>1858</v>
      </c>
      <c r="B241" t="s">
        <v>352</v>
      </c>
      <c r="C241" t="s">
        <v>7332</v>
      </c>
      <c r="D241">
        <v>0.103486</v>
      </c>
    </row>
    <row r="242" spans="1:4">
      <c r="A242" t="s">
        <v>1859</v>
      </c>
      <c r="B242" t="s">
        <v>352</v>
      </c>
      <c r="C242" t="s">
        <v>7333</v>
      </c>
      <c r="D242">
        <v>309.885784</v>
      </c>
    </row>
    <row r="243" spans="1:4">
      <c r="A243" t="s">
        <v>1860</v>
      </c>
      <c r="B243" t="s">
        <v>352</v>
      </c>
      <c r="C243" t="s">
        <v>7334</v>
      </c>
      <c r="D243">
        <v>242.086501</v>
      </c>
    </row>
    <row r="244" spans="1:4">
      <c r="A244" t="s">
        <v>1861</v>
      </c>
      <c r="B244" t="s">
        <v>352</v>
      </c>
      <c r="C244" t="s">
        <v>7335</v>
      </c>
      <c r="D244">
        <v>44.44664</v>
      </c>
    </row>
    <row r="245" spans="1:4">
      <c r="A245" t="s">
        <v>1862</v>
      </c>
      <c r="B245" t="s">
        <v>352</v>
      </c>
      <c r="C245" t="s">
        <v>7293</v>
      </c>
      <c r="D245">
        <v>61.527667</v>
      </c>
    </row>
    <row r="246" spans="1:4">
      <c r="A246" t="s">
        <v>1863</v>
      </c>
      <c r="B246" t="s">
        <v>352</v>
      </c>
      <c r="C246" t="s">
        <v>7336</v>
      </c>
      <c r="D246">
        <v>309.885784</v>
      </c>
    </row>
    <row r="247" spans="1:4">
      <c r="A247" t="s">
        <v>1864</v>
      </c>
      <c r="B247" t="s">
        <v>352</v>
      </c>
      <c r="C247" t="s">
        <v>7337</v>
      </c>
      <c r="D247">
        <v>3.230446</v>
      </c>
    </row>
    <row r="248" spans="1:4">
      <c r="A248" t="s">
        <v>1865</v>
      </c>
      <c r="B248" t="s">
        <v>352</v>
      </c>
      <c r="C248" t="s">
        <v>7338</v>
      </c>
      <c r="D248">
        <v>21.588531</v>
      </c>
    </row>
    <row r="249" spans="1:4">
      <c r="A249" t="s">
        <v>1866</v>
      </c>
      <c r="B249" t="s">
        <v>352</v>
      </c>
      <c r="C249" t="s">
        <v>7339</v>
      </c>
      <c r="D249">
        <v>111.189374</v>
      </c>
    </row>
    <row r="250" spans="1:4">
      <c r="A250" t="s">
        <v>1867</v>
      </c>
      <c r="B250" t="s">
        <v>352</v>
      </c>
      <c r="C250" t="s">
        <v>7340</v>
      </c>
      <c r="D250">
        <v>154.942959</v>
      </c>
    </row>
    <row r="251" spans="1:4">
      <c r="A251" t="s">
        <v>1868</v>
      </c>
      <c r="B251" t="s">
        <v>352</v>
      </c>
      <c r="C251" t="s">
        <v>7294</v>
      </c>
      <c r="D251">
        <v>225.478006</v>
      </c>
    </row>
    <row r="252" spans="1:4">
      <c r="A252" t="s">
        <v>1869</v>
      </c>
      <c r="B252" t="s">
        <v>352</v>
      </c>
      <c r="C252" t="s">
        <v>7341</v>
      </c>
      <c r="D252">
        <v>0.134556</v>
      </c>
    </row>
    <row r="253" spans="1:4">
      <c r="A253" t="s">
        <v>1870</v>
      </c>
      <c r="B253" t="s">
        <v>352</v>
      </c>
      <c r="C253" t="s">
        <v>7295</v>
      </c>
      <c r="D253">
        <v>393.989741</v>
      </c>
    </row>
    <row r="254" spans="1:4">
      <c r="A254" t="s">
        <v>1871</v>
      </c>
      <c r="B254" t="s">
        <v>352</v>
      </c>
      <c r="C254" t="s">
        <v>7342</v>
      </c>
      <c r="D254">
        <v>13700.568257</v>
      </c>
    </row>
    <row r="255" spans="1:4">
      <c r="A255" t="s">
        <v>1872</v>
      </c>
      <c r="B255" t="s">
        <v>352</v>
      </c>
      <c r="C255" t="s">
        <v>7343</v>
      </c>
      <c r="D255">
        <v>0.346612</v>
      </c>
    </row>
    <row r="256" spans="1:4">
      <c r="A256" t="s">
        <v>1873</v>
      </c>
      <c r="B256" t="s">
        <v>352</v>
      </c>
      <c r="C256" t="s">
        <v>7344</v>
      </c>
      <c r="D256">
        <v>45.493757</v>
      </c>
    </row>
    <row r="257" spans="1:4">
      <c r="A257" t="s">
        <v>1874</v>
      </c>
      <c r="B257" t="s">
        <v>352</v>
      </c>
      <c r="C257" t="s">
        <v>7296</v>
      </c>
      <c r="D257">
        <v>45.454075</v>
      </c>
    </row>
    <row r="258" spans="1:4">
      <c r="A258" t="s">
        <v>1875</v>
      </c>
      <c r="B258" t="s">
        <v>352</v>
      </c>
      <c r="C258" t="s">
        <v>7345</v>
      </c>
      <c r="D258">
        <v>0.08132300000000001</v>
      </c>
    </row>
    <row r="259" spans="1:4">
      <c r="A259" t="s">
        <v>1876</v>
      </c>
      <c r="B259" t="s">
        <v>352</v>
      </c>
      <c r="C259" t="s">
        <v>7346</v>
      </c>
      <c r="D259">
        <v>0.675577</v>
      </c>
    </row>
    <row r="260" spans="1:4">
      <c r="A260" t="s">
        <v>1877</v>
      </c>
      <c r="B260" t="s">
        <v>352</v>
      </c>
      <c r="C260" t="s">
        <v>7347</v>
      </c>
      <c r="D260">
        <v>12.911913</v>
      </c>
    </row>
    <row r="261" spans="1:4">
      <c r="A261" t="s">
        <v>1878</v>
      </c>
      <c r="B261" t="s">
        <v>352</v>
      </c>
      <c r="C261" t="s">
        <v>7348</v>
      </c>
      <c r="D261">
        <v>3.26843</v>
      </c>
    </row>
    <row r="262" spans="1:4">
      <c r="A262" t="s">
        <v>1879</v>
      </c>
      <c r="B262" t="s">
        <v>352</v>
      </c>
      <c r="C262" t="s">
        <v>7297</v>
      </c>
      <c r="D262">
        <v>14.81677</v>
      </c>
    </row>
    <row r="263" spans="1:4">
      <c r="A263" t="s">
        <v>1880</v>
      </c>
      <c r="B263" t="s">
        <v>352</v>
      </c>
      <c r="C263" t="s">
        <v>7349</v>
      </c>
      <c r="D263">
        <v>1.743665</v>
      </c>
    </row>
    <row r="264" spans="1:4">
      <c r="A264" t="s">
        <v>1881</v>
      </c>
      <c r="B264" t="s">
        <v>352</v>
      </c>
      <c r="C264" t="s">
        <v>7298</v>
      </c>
      <c r="D264">
        <v>48.30428</v>
      </c>
    </row>
    <row r="265" spans="1:4">
      <c r="A265" t="s">
        <v>1882</v>
      </c>
      <c r="B265" t="s">
        <v>352</v>
      </c>
      <c r="C265" t="s">
        <v>7350</v>
      </c>
      <c r="D265">
        <v>5.20189</v>
      </c>
    </row>
    <row r="266" spans="1:4">
      <c r="A266" t="s">
        <v>1883</v>
      </c>
      <c r="B266" t="s">
        <v>352</v>
      </c>
      <c r="C266" t="s">
        <v>7351</v>
      </c>
      <c r="D266">
        <v>2.323725</v>
      </c>
    </row>
    <row r="267" spans="1:4">
      <c r="A267" t="s">
        <v>1884</v>
      </c>
      <c r="B267" t="s">
        <v>352</v>
      </c>
      <c r="C267" t="s">
        <v>7352</v>
      </c>
      <c r="D267">
        <v>5.841216</v>
      </c>
    </row>
    <row r="268" spans="1:4">
      <c r="A268" t="s">
        <v>1885</v>
      </c>
      <c r="B268" t="s">
        <v>352</v>
      </c>
      <c r="C268" t="s">
        <v>7353</v>
      </c>
      <c r="D268">
        <v>20.659061</v>
      </c>
    </row>
    <row r="269" spans="1:4">
      <c r="A269" t="s">
        <v>1886</v>
      </c>
      <c r="B269" t="s">
        <v>352</v>
      </c>
      <c r="C269" t="s">
        <v>7354</v>
      </c>
      <c r="D269">
        <v>1.953261</v>
      </c>
    </row>
    <row r="270" spans="1:4">
      <c r="A270" t="s">
        <v>1887</v>
      </c>
      <c r="B270" t="s">
        <v>352</v>
      </c>
      <c r="C270" t="s">
        <v>7355</v>
      </c>
      <c r="D270">
        <v>140.78837</v>
      </c>
    </row>
    <row r="271" spans="1:4">
      <c r="A271" t="s">
        <v>1888</v>
      </c>
      <c r="B271" t="s">
        <v>352</v>
      </c>
      <c r="C271" t="s">
        <v>7356</v>
      </c>
      <c r="D271">
        <v>413.48918</v>
      </c>
    </row>
    <row r="272" spans="1:4">
      <c r="A272" t="s">
        <v>1889</v>
      </c>
      <c r="B272" t="s">
        <v>352</v>
      </c>
      <c r="C272" t="s">
        <v>7357</v>
      </c>
      <c r="D272">
        <v>48.304286</v>
      </c>
    </row>
    <row r="273" spans="1:4">
      <c r="A273" t="s">
        <v>1890</v>
      </c>
      <c r="B273" t="s">
        <v>352</v>
      </c>
      <c r="C273" t="s">
        <v>7299</v>
      </c>
      <c r="D273">
        <v>413.487283</v>
      </c>
    </row>
    <row r="274" spans="1:4">
      <c r="A274" t="s">
        <v>1891</v>
      </c>
      <c r="B274" t="s">
        <v>352</v>
      </c>
      <c r="C274" t="s">
        <v>7358</v>
      </c>
      <c r="D274">
        <v>115.450183</v>
      </c>
    </row>
    <row r="275" spans="1:4">
      <c r="A275" t="s">
        <v>1892</v>
      </c>
      <c r="B275" t="s">
        <v>352</v>
      </c>
      <c r="C275" t="s">
        <v>7359</v>
      </c>
      <c r="D275">
        <v>413.48918</v>
      </c>
    </row>
    <row r="276" spans="1:4">
      <c r="A276" t="s">
        <v>1893</v>
      </c>
      <c r="B276" t="s">
        <v>352</v>
      </c>
      <c r="C276" t="s">
        <v>7360</v>
      </c>
      <c r="D276">
        <v>27.152355</v>
      </c>
    </row>
    <row r="277" spans="1:4">
      <c r="A277" t="s">
        <v>1894</v>
      </c>
      <c r="B277" t="s">
        <v>352</v>
      </c>
      <c r="C277" t="s">
        <v>7361</v>
      </c>
      <c r="D277">
        <v>413.48918</v>
      </c>
    </row>
    <row r="278" spans="1:4">
      <c r="A278" t="s">
        <v>1895</v>
      </c>
      <c r="B278" t="s">
        <v>352</v>
      </c>
      <c r="C278" t="s">
        <v>7362</v>
      </c>
      <c r="D278">
        <v>4.170985</v>
      </c>
    </row>
    <row r="279" spans="1:4">
      <c r="A279" t="s">
        <v>1896</v>
      </c>
      <c r="B279" t="s">
        <v>352</v>
      </c>
      <c r="C279" t="s">
        <v>7363</v>
      </c>
      <c r="D279">
        <v>0.035303</v>
      </c>
    </row>
    <row r="280" spans="1:4">
      <c r="A280" t="s">
        <v>1897</v>
      </c>
      <c r="B280" t="s">
        <v>352</v>
      </c>
      <c r="C280" t="s">
        <v>7364</v>
      </c>
      <c r="D280">
        <v>40.332195</v>
      </c>
    </row>
    <row r="281" spans="1:4">
      <c r="A281" t="s">
        <v>1898</v>
      </c>
      <c r="B281" t="s">
        <v>352</v>
      </c>
      <c r="C281" t="s">
        <v>7365</v>
      </c>
      <c r="D281">
        <v>1.470076</v>
      </c>
    </row>
    <row r="282" spans="1:4">
      <c r="A282" t="s">
        <v>1899</v>
      </c>
      <c r="B282" t="s">
        <v>352</v>
      </c>
      <c r="C282" t="s">
        <v>7300</v>
      </c>
      <c r="D282">
        <v>39.57549</v>
      </c>
    </row>
    <row r="283" spans="1:4">
      <c r="A283" t="s">
        <v>1900</v>
      </c>
      <c r="B283" t="s">
        <v>352</v>
      </c>
      <c r="C283" t="s">
        <v>7366</v>
      </c>
      <c r="D283">
        <v>11.569033</v>
      </c>
    </row>
    <row r="284" spans="1:4">
      <c r="A284" t="s">
        <v>1901</v>
      </c>
      <c r="B284" t="s">
        <v>352</v>
      </c>
      <c r="C284" t="s">
        <v>7367</v>
      </c>
      <c r="D284">
        <v>47.832431</v>
      </c>
    </row>
    <row r="285" spans="1:4">
      <c r="A285" t="s">
        <v>1902</v>
      </c>
      <c r="B285" t="s">
        <v>352</v>
      </c>
      <c r="C285" t="s">
        <v>7368</v>
      </c>
      <c r="D285">
        <v>2.348707</v>
      </c>
    </row>
    <row r="286" spans="1:4">
      <c r="A286" t="s">
        <v>1903</v>
      </c>
      <c r="B286" t="s">
        <v>352</v>
      </c>
      <c r="C286" t="s">
        <v>7301</v>
      </c>
      <c r="D286">
        <v>0.017744</v>
      </c>
    </row>
    <row r="287" spans="1:4">
      <c r="A287" t="s">
        <v>1904</v>
      </c>
      <c r="B287" t="s">
        <v>352</v>
      </c>
      <c r="C287" t="s">
        <v>7302</v>
      </c>
      <c r="D287">
        <v>106.157622</v>
      </c>
    </row>
    <row r="288" spans="1:4">
      <c r="A288" t="s">
        <v>1905</v>
      </c>
      <c r="B288" t="s">
        <v>352</v>
      </c>
      <c r="C288" t="s">
        <v>7369</v>
      </c>
      <c r="D288">
        <v>413.48918</v>
      </c>
    </row>
    <row r="289" spans="1:4">
      <c r="A289" t="s">
        <v>1906</v>
      </c>
      <c r="B289" t="s">
        <v>352</v>
      </c>
      <c r="C289" t="s">
        <v>7303</v>
      </c>
      <c r="D289">
        <v>3.23044</v>
      </c>
    </row>
    <row r="290" spans="1:4">
      <c r="A290" t="s">
        <v>1907</v>
      </c>
      <c r="B290" t="s">
        <v>352</v>
      </c>
      <c r="C290" t="s">
        <v>7370</v>
      </c>
      <c r="D290">
        <v>0.234971</v>
      </c>
    </row>
    <row r="291" spans="1:4">
      <c r="A291" t="s">
        <v>1908</v>
      </c>
      <c r="B291" t="s">
        <v>352</v>
      </c>
      <c r="C291" t="s">
        <v>7371</v>
      </c>
      <c r="D291">
        <v>0.000272</v>
      </c>
    </row>
    <row r="292" spans="1:4">
      <c r="A292" t="s">
        <v>1909</v>
      </c>
      <c r="B292" t="s">
        <v>352</v>
      </c>
      <c r="C292" t="s">
        <v>7304</v>
      </c>
      <c r="D292">
        <v>2.509684</v>
      </c>
    </row>
    <row r="293" spans="1:4">
      <c r="A293" t="s">
        <v>1910</v>
      </c>
      <c r="B293" t="s">
        <v>352</v>
      </c>
      <c r="C293" t="s">
        <v>7372</v>
      </c>
      <c r="D293">
        <v>413.48918</v>
      </c>
    </row>
    <row r="294" spans="1:4">
      <c r="A294" t="s">
        <v>1911</v>
      </c>
      <c r="B294" t="s">
        <v>352</v>
      </c>
      <c r="C294" t="s">
        <v>7373</v>
      </c>
      <c r="D294">
        <v>1.957002</v>
      </c>
    </row>
    <row r="295" spans="1:4">
      <c r="A295" t="s">
        <v>1912</v>
      </c>
      <c r="B295" t="s">
        <v>352</v>
      </c>
      <c r="C295" t="s">
        <v>7374</v>
      </c>
      <c r="D295">
        <v>437.074709</v>
      </c>
    </row>
    <row r="296" spans="1:4">
      <c r="A296" t="s">
        <v>1913</v>
      </c>
      <c r="B296" t="s">
        <v>352</v>
      </c>
      <c r="C296" t="s">
        <v>7305</v>
      </c>
      <c r="D296">
        <v>1.952915</v>
      </c>
    </row>
    <row r="297" spans="1:4">
      <c r="A297" t="s">
        <v>1914</v>
      </c>
      <c r="B297" t="s">
        <v>352</v>
      </c>
      <c r="C297" t="s">
        <v>7375</v>
      </c>
      <c r="D297">
        <v>2.387988</v>
      </c>
    </row>
    <row r="298" spans="1:4">
      <c r="A298" t="s">
        <v>1915</v>
      </c>
      <c r="B298" t="s">
        <v>352</v>
      </c>
      <c r="C298" t="s">
        <v>7376</v>
      </c>
      <c r="D298">
        <v>3.532967</v>
      </c>
    </row>
    <row r="299" spans="1:4">
      <c r="A299" t="s">
        <v>1916</v>
      </c>
      <c r="B299" t="s">
        <v>352</v>
      </c>
      <c r="C299" t="s">
        <v>7377</v>
      </c>
      <c r="D299">
        <v>0.07631499999999999</v>
      </c>
    </row>
    <row r="300" spans="1:4">
      <c r="A300" t="s">
        <v>1917</v>
      </c>
      <c r="B300" t="s">
        <v>352</v>
      </c>
      <c r="C300" t="s">
        <v>7378</v>
      </c>
      <c r="D300">
        <v>221.683725</v>
      </c>
    </row>
    <row r="301" spans="1:4">
      <c r="A301" t="s">
        <v>1918</v>
      </c>
      <c r="B301" t="s">
        <v>352</v>
      </c>
      <c r="C301" t="s">
        <v>7379</v>
      </c>
      <c r="D301">
        <v>0.732555</v>
      </c>
    </row>
    <row r="302" spans="1:4">
      <c r="A302" t="s">
        <v>1919</v>
      </c>
      <c r="B302" t="s">
        <v>352</v>
      </c>
      <c r="C302" t="s">
        <v>7306</v>
      </c>
      <c r="D302">
        <v>0.206736</v>
      </c>
    </row>
    <row r="303" spans="1:4">
      <c r="A303" t="s">
        <v>1920</v>
      </c>
      <c r="B303" t="s">
        <v>352</v>
      </c>
      <c r="C303" t="s">
        <v>7380</v>
      </c>
      <c r="D303">
        <v>1006.45508</v>
      </c>
    </row>
    <row r="304" spans="1:4">
      <c r="A304" t="s">
        <v>1921</v>
      </c>
      <c r="B304" t="s">
        <v>352</v>
      </c>
      <c r="C304" t="s">
        <v>7381</v>
      </c>
      <c r="D304">
        <v>371.863196</v>
      </c>
    </row>
    <row r="305" spans="1:4">
      <c r="A305" t="s">
        <v>1922</v>
      </c>
      <c r="B305" t="s">
        <v>352</v>
      </c>
      <c r="C305" t="s">
        <v>7382</v>
      </c>
      <c r="D305">
        <v>0.658474</v>
      </c>
    </row>
    <row r="306" spans="1:4">
      <c r="A306" t="s">
        <v>1923</v>
      </c>
      <c r="B306" t="s">
        <v>352</v>
      </c>
      <c r="C306" t="s">
        <v>7383</v>
      </c>
      <c r="D306">
        <v>0.014039</v>
      </c>
    </row>
    <row r="307" spans="1:4">
      <c r="A307" t="s">
        <v>1924</v>
      </c>
      <c r="B307" t="s">
        <v>352</v>
      </c>
      <c r="C307" t="s">
        <v>7384</v>
      </c>
      <c r="D307">
        <v>0.003462</v>
      </c>
    </row>
    <row r="308" spans="1:4">
      <c r="A308" t="s">
        <v>1925</v>
      </c>
      <c r="B308" t="s">
        <v>352</v>
      </c>
      <c r="C308" t="s">
        <v>7385</v>
      </c>
      <c r="D308">
        <v>0.949256</v>
      </c>
    </row>
    <row r="309" spans="1:4">
      <c r="A309" t="s">
        <v>1926</v>
      </c>
      <c r="B309" t="s">
        <v>352</v>
      </c>
      <c r="C309" t="s">
        <v>7386</v>
      </c>
      <c r="D309">
        <v>1.680808</v>
      </c>
    </row>
    <row r="310" spans="1:4">
      <c r="A310" t="s">
        <v>1927</v>
      </c>
      <c r="B310" t="s">
        <v>352</v>
      </c>
      <c r="C310" t="s">
        <v>7387</v>
      </c>
      <c r="D310">
        <v>18.601231</v>
      </c>
    </row>
    <row r="311" spans="1:4">
      <c r="A311" t="s">
        <v>1928</v>
      </c>
      <c r="B311" t="s">
        <v>352</v>
      </c>
      <c r="C311" t="s">
        <v>7388</v>
      </c>
      <c r="D311">
        <v>48.720351</v>
      </c>
    </row>
    <row r="312" spans="1:4">
      <c r="A312" t="s">
        <v>1929</v>
      </c>
      <c r="B312" t="s">
        <v>352</v>
      </c>
      <c r="C312" t="s">
        <v>7389</v>
      </c>
      <c r="D312">
        <v>33.608518</v>
      </c>
    </row>
    <row r="313" spans="1:4">
      <c r="A313" t="s">
        <v>1930</v>
      </c>
      <c r="B313" t="s">
        <v>352</v>
      </c>
      <c r="C313" t="s">
        <v>7390</v>
      </c>
      <c r="D313">
        <v>17.922289</v>
      </c>
    </row>
    <row r="314" spans="1:4">
      <c r="A314" t="s">
        <v>1931</v>
      </c>
      <c r="B314" t="s">
        <v>352</v>
      </c>
      <c r="C314" t="s">
        <v>7391</v>
      </c>
      <c r="D314">
        <v>0.073925</v>
      </c>
    </row>
    <row r="315" spans="1:4">
      <c r="A315" t="s">
        <v>1932</v>
      </c>
      <c r="B315" t="s">
        <v>352</v>
      </c>
      <c r="C315" t="s">
        <v>7392</v>
      </c>
      <c r="D315">
        <v>5.84179</v>
      </c>
    </row>
    <row r="316" spans="1:4">
      <c r="A316" t="s">
        <v>1933</v>
      </c>
      <c r="B316" t="s">
        <v>352</v>
      </c>
      <c r="C316" t="s">
        <v>7393</v>
      </c>
      <c r="D316">
        <v>0.146602</v>
      </c>
    </row>
    <row r="317" spans="1:4">
      <c r="A317" t="s">
        <v>1934</v>
      </c>
      <c r="B317" t="s">
        <v>352</v>
      </c>
      <c r="C317" t="s">
        <v>7394</v>
      </c>
      <c r="D317">
        <v>0.086857</v>
      </c>
    </row>
    <row r="318" spans="1:4">
      <c r="A318" t="s">
        <v>1935</v>
      </c>
      <c r="B318" t="s">
        <v>352</v>
      </c>
      <c r="C318" t="s">
        <v>7395</v>
      </c>
      <c r="D318">
        <v>38.422869</v>
      </c>
    </row>
    <row r="319" spans="1:4">
      <c r="A319" t="s">
        <v>1936</v>
      </c>
      <c r="B319" t="s">
        <v>352</v>
      </c>
      <c r="C319" t="s">
        <v>7396</v>
      </c>
      <c r="D319">
        <v>7.661664</v>
      </c>
    </row>
    <row r="320" spans="1:4">
      <c r="A320" t="s">
        <v>1937</v>
      </c>
      <c r="B320" t="s">
        <v>352</v>
      </c>
      <c r="C320" t="s">
        <v>7397</v>
      </c>
      <c r="D320">
        <v>6.578986</v>
      </c>
    </row>
    <row r="321" spans="1:4">
      <c r="A321" t="s">
        <v>1938</v>
      </c>
      <c r="B321" t="s">
        <v>352</v>
      </c>
      <c r="C321" t="s">
        <v>7398</v>
      </c>
      <c r="D321">
        <v>19.915482</v>
      </c>
    </row>
    <row r="322" spans="1:4">
      <c r="A322" t="s">
        <v>1939</v>
      </c>
      <c r="B322" t="s">
        <v>352</v>
      </c>
      <c r="C322" t="s">
        <v>7399</v>
      </c>
      <c r="D322">
        <v>0.177213</v>
      </c>
    </row>
    <row r="323" spans="1:4">
      <c r="A323" t="s">
        <v>1940</v>
      </c>
      <c r="B323" t="s">
        <v>352</v>
      </c>
      <c r="C323" t="s">
        <v>7307</v>
      </c>
      <c r="D323">
        <v>17.866719</v>
      </c>
    </row>
    <row r="324" spans="1:4">
      <c r="A324" t="s">
        <v>1941</v>
      </c>
      <c r="B324" t="s">
        <v>352</v>
      </c>
      <c r="C324" t="s">
        <v>7308</v>
      </c>
      <c r="D324">
        <v>78.46121100000001</v>
      </c>
    </row>
    <row r="325" spans="1:4">
      <c r="A325" t="s">
        <v>1942</v>
      </c>
      <c r="B325" t="s">
        <v>352</v>
      </c>
      <c r="C325" t="s">
        <v>7400</v>
      </c>
      <c r="D325">
        <v>4.84575</v>
      </c>
    </row>
    <row r="326" spans="1:4">
      <c r="A326" t="s">
        <v>1943</v>
      </c>
      <c r="B326" t="s">
        <v>352</v>
      </c>
      <c r="C326" t="s">
        <v>7401</v>
      </c>
      <c r="D326">
        <v>18.601231</v>
      </c>
    </row>
    <row r="327" spans="1:4">
      <c r="A327" t="s">
        <v>1944</v>
      </c>
      <c r="B327" t="s">
        <v>352</v>
      </c>
      <c r="C327" t="s">
        <v>7402</v>
      </c>
      <c r="D327">
        <v>0.227855</v>
      </c>
    </row>
    <row r="328" spans="1:4">
      <c r="A328" t="s">
        <v>1945</v>
      </c>
      <c r="B328" t="s">
        <v>352</v>
      </c>
      <c r="C328" t="s">
        <v>7403</v>
      </c>
      <c r="D328">
        <v>8.367025</v>
      </c>
    </row>
    <row r="329" spans="1:4">
      <c r="A329" t="s">
        <v>1946</v>
      </c>
      <c r="B329" t="s">
        <v>352</v>
      </c>
      <c r="C329" t="s">
        <v>7309</v>
      </c>
      <c r="D329">
        <v>33.28493</v>
      </c>
    </row>
    <row r="330" spans="1:4">
      <c r="A330" t="s">
        <v>1947</v>
      </c>
      <c r="B330" t="s">
        <v>352</v>
      </c>
      <c r="C330" t="s">
        <v>7404</v>
      </c>
      <c r="D330">
        <v>2.019029</v>
      </c>
    </row>
    <row r="331" spans="1:4">
      <c r="A331" t="s">
        <v>1948</v>
      </c>
      <c r="B331" t="s">
        <v>352</v>
      </c>
      <c r="C331" t="s">
        <v>7310</v>
      </c>
      <c r="D331">
        <v>181.112701</v>
      </c>
    </row>
    <row r="332" spans="1:4">
      <c r="A332" t="s">
        <v>1949</v>
      </c>
      <c r="B332" t="s">
        <v>352</v>
      </c>
      <c r="C332" t="s">
        <v>7405</v>
      </c>
      <c r="D332">
        <v>805.951825</v>
      </c>
    </row>
    <row r="333" spans="1:4">
      <c r="A333" t="s">
        <v>1950</v>
      </c>
      <c r="B333" t="s">
        <v>352</v>
      </c>
      <c r="C333" t="s">
        <v>7406</v>
      </c>
      <c r="D333">
        <v>309.885784</v>
      </c>
    </row>
    <row r="334" spans="1:4">
      <c r="A334" t="s">
        <v>1951</v>
      </c>
      <c r="B334" t="s">
        <v>352</v>
      </c>
      <c r="C334" t="s">
        <v>7407</v>
      </c>
      <c r="D334">
        <v>90.300839</v>
      </c>
    </row>
    <row r="335" spans="1:4">
      <c r="A335" t="s">
        <v>1952</v>
      </c>
      <c r="B335" t="s">
        <v>352</v>
      </c>
      <c r="C335" t="s">
        <v>7408</v>
      </c>
      <c r="D335">
        <v>70.989666</v>
      </c>
    </row>
    <row r="336" spans="1:4">
      <c r="A336" t="s">
        <v>1953</v>
      </c>
      <c r="B336" t="s">
        <v>352</v>
      </c>
      <c r="C336" t="s">
        <v>7311</v>
      </c>
      <c r="D336">
        <v>5.025504</v>
      </c>
    </row>
    <row r="337" spans="1:4">
      <c r="A337" t="s">
        <v>1954</v>
      </c>
      <c r="B337" t="s">
        <v>352</v>
      </c>
      <c r="C337" t="s">
        <v>7409</v>
      </c>
      <c r="D337">
        <v>1.11112</v>
      </c>
    </row>
    <row r="338" spans="1:4">
      <c r="A338" t="s">
        <v>1955</v>
      </c>
      <c r="B338" t="s">
        <v>352</v>
      </c>
      <c r="C338" t="s">
        <v>7312</v>
      </c>
      <c r="D338">
        <v>84.872427</v>
      </c>
    </row>
    <row r="339" spans="1:4">
      <c r="A339" t="s">
        <v>1956</v>
      </c>
      <c r="B339" t="s">
        <v>352</v>
      </c>
      <c r="C339" t="s">
        <v>7410</v>
      </c>
      <c r="D339">
        <v>0.05027</v>
      </c>
    </row>
    <row r="340" spans="1:4">
      <c r="A340" t="s">
        <v>1957</v>
      </c>
      <c r="B340" t="s">
        <v>352</v>
      </c>
      <c r="C340" t="s">
        <v>7411</v>
      </c>
      <c r="D340">
        <v>85.133484</v>
      </c>
    </row>
    <row r="341" spans="1:4">
      <c r="A341" t="s">
        <v>1958</v>
      </c>
      <c r="B341" t="s">
        <v>352</v>
      </c>
      <c r="C341" t="s">
        <v>7313</v>
      </c>
      <c r="D341">
        <v>69.16613099999999</v>
      </c>
    </row>
    <row r="342" spans="1:4">
      <c r="A342" t="s">
        <v>1959</v>
      </c>
      <c r="B342" t="s">
        <v>352</v>
      </c>
      <c r="C342" t="s">
        <v>7412</v>
      </c>
      <c r="D342">
        <v>3.069581</v>
      </c>
    </row>
    <row r="343" spans="1:4">
      <c r="A343" t="s">
        <v>1960</v>
      </c>
      <c r="B343" t="s">
        <v>352</v>
      </c>
      <c r="C343" t="s">
        <v>7413</v>
      </c>
      <c r="D343">
        <v>4.225285</v>
      </c>
    </row>
    <row r="344" spans="1:4">
      <c r="A344" t="s">
        <v>1961</v>
      </c>
      <c r="B344" t="s">
        <v>352</v>
      </c>
      <c r="C344" t="s">
        <v>7414</v>
      </c>
      <c r="D344">
        <v>0.210962</v>
      </c>
    </row>
    <row r="345" spans="1:4">
      <c r="A345" t="s">
        <v>1962</v>
      </c>
      <c r="B345" t="s">
        <v>352</v>
      </c>
      <c r="C345" t="s">
        <v>7415</v>
      </c>
      <c r="D345">
        <v>82.636247</v>
      </c>
    </row>
    <row r="346" spans="1:4">
      <c r="A346" t="s">
        <v>1963</v>
      </c>
      <c r="B346" t="s">
        <v>352</v>
      </c>
      <c r="C346" t="s">
        <v>7416</v>
      </c>
      <c r="D346">
        <v>39.003295</v>
      </c>
    </row>
    <row r="347" spans="1:4">
      <c r="A347" t="s">
        <v>1964</v>
      </c>
      <c r="B347" t="s">
        <v>352</v>
      </c>
      <c r="C347" t="s">
        <v>7417</v>
      </c>
      <c r="D347">
        <v>20.825482</v>
      </c>
    </row>
    <row r="348" spans="1:4">
      <c r="A348" t="s">
        <v>1965</v>
      </c>
      <c r="B348" t="s">
        <v>352</v>
      </c>
      <c r="C348" t="s">
        <v>7418</v>
      </c>
      <c r="D348">
        <v>0.687843</v>
      </c>
    </row>
    <row r="349" spans="1:4">
      <c r="A349" t="s">
        <v>1966</v>
      </c>
      <c r="B349" t="s">
        <v>352</v>
      </c>
      <c r="C349" t="s">
        <v>7314</v>
      </c>
      <c r="D349">
        <v>32.828549</v>
      </c>
    </row>
    <row r="350" spans="1:4">
      <c r="A350" t="s">
        <v>1967</v>
      </c>
      <c r="B350" t="s">
        <v>352</v>
      </c>
      <c r="C350" t="s">
        <v>7315</v>
      </c>
      <c r="D350">
        <v>242.086501</v>
      </c>
    </row>
    <row r="351" spans="1:4">
      <c r="A351" t="s">
        <v>1968</v>
      </c>
      <c r="B351" t="s">
        <v>352</v>
      </c>
      <c r="C351" t="s">
        <v>7419</v>
      </c>
      <c r="D351">
        <v>413.48918</v>
      </c>
    </row>
    <row r="352" spans="1:4">
      <c r="A352" t="s">
        <v>1969</v>
      </c>
      <c r="B352" t="s">
        <v>352</v>
      </c>
      <c r="C352" t="s">
        <v>7420</v>
      </c>
      <c r="D352">
        <v>12.610373</v>
      </c>
    </row>
    <row r="353" spans="1:4">
      <c r="A353" t="s">
        <v>1970</v>
      </c>
      <c r="B353" t="s">
        <v>352</v>
      </c>
      <c r="C353" t="s">
        <v>7421</v>
      </c>
      <c r="D353">
        <v>0.01261</v>
      </c>
    </row>
    <row r="354" spans="1:4">
      <c r="A354" t="s">
        <v>1971</v>
      </c>
      <c r="B354" t="s">
        <v>352</v>
      </c>
      <c r="C354" t="s">
        <v>7422</v>
      </c>
      <c r="D354">
        <v>0.538224</v>
      </c>
    </row>
    <row r="355" spans="1:4">
      <c r="A355" t="s">
        <v>1972</v>
      </c>
      <c r="B355" t="s">
        <v>352</v>
      </c>
      <c r="C355" t="s">
        <v>7423</v>
      </c>
      <c r="D355">
        <v>8.281224999999999</v>
      </c>
    </row>
    <row r="356" spans="1:4">
      <c r="A356" t="s">
        <v>1973</v>
      </c>
      <c r="B356" t="s">
        <v>352</v>
      </c>
      <c r="C356" t="s">
        <v>7424</v>
      </c>
      <c r="D356">
        <v>0.065942</v>
      </c>
    </row>
    <row r="357" spans="1:4">
      <c r="A357" t="s">
        <v>1974</v>
      </c>
      <c r="B357" t="s">
        <v>352</v>
      </c>
      <c r="C357" t="s">
        <v>7425</v>
      </c>
      <c r="D357">
        <v>14.709937</v>
      </c>
    </row>
    <row r="358" spans="1:4">
      <c r="A358" t="s">
        <v>1975</v>
      </c>
      <c r="B358" t="s">
        <v>352</v>
      </c>
      <c r="C358" t="s">
        <v>7426</v>
      </c>
      <c r="D358">
        <v>2.714047</v>
      </c>
    </row>
    <row r="359" spans="1:4">
      <c r="A359" t="s">
        <v>1976</v>
      </c>
      <c r="B359" t="s">
        <v>352</v>
      </c>
      <c r="C359" t="s">
        <v>7427</v>
      </c>
      <c r="D359">
        <v>18.601231</v>
      </c>
    </row>
    <row r="360" spans="1:4">
      <c r="A360" t="s">
        <v>1977</v>
      </c>
      <c r="B360" t="s">
        <v>352</v>
      </c>
      <c r="C360" t="s">
        <v>7316</v>
      </c>
      <c r="D360">
        <v>9.497966999999999</v>
      </c>
    </row>
    <row r="361" spans="1:4">
      <c r="A361" t="s">
        <v>1978</v>
      </c>
      <c r="B361" t="s">
        <v>352</v>
      </c>
      <c r="C361" t="s">
        <v>7428</v>
      </c>
      <c r="D361">
        <v>33.149004</v>
      </c>
    </row>
    <row r="362" spans="1:4">
      <c r="A362" t="s">
        <v>1979</v>
      </c>
      <c r="B362" t="s">
        <v>352</v>
      </c>
      <c r="C362" t="s">
        <v>7429</v>
      </c>
      <c r="D362">
        <v>88.47851900000001</v>
      </c>
    </row>
    <row r="363" spans="1:4">
      <c r="A363" t="s">
        <v>1980</v>
      </c>
      <c r="B363" t="s">
        <v>352</v>
      </c>
      <c r="C363" t="s">
        <v>7430</v>
      </c>
      <c r="D363">
        <v>106.697601</v>
      </c>
    </row>
    <row r="364" spans="1:4">
      <c r="A364" t="s">
        <v>1981</v>
      </c>
      <c r="B364" t="s">
        <v>352</v>
      </c>
      <c r="C364" t="s">
        <v>7431</v>
      </c>
      <c r="D364">
        <v>130.945026</v>
      </c>
    </row>
    <row r="365" spans="1:4">
      <c r="A365" t="s">
        <v>1982</v>
      </c>
      <c r="B365" t="s">
        <v>352</v>
      </c>
      <c r="C365" t="s">
        <v>7317</v>
      </c>
      <c r="D365">
        <v>6.801478</v>
      </c>
    </row>
    <row r="366" spans="1:4">
      <c r="A366" t="s">
        <v>1983</v>
      </c>
      <c r="B366" t="s">
        <v>352</v>
      </c>
      <c r="C366" t="s">
        <v>7432</v>
      </c>
      <c r="D366">
        <v>41.184363</v>
      </c>
    </row>
    <row r="367" spans="1:4">
      <c r="A367" t="s">
        <v>1984</v>
      </c>
      <c r="B367" t="s">
        <v>352</v>
      </c>
      <c r="C367" t="s">
        <v>7433</v>
      </c>
      <c r="D367">
        <v>221.683725</v>
      </c>
    </row>
    <row r="368" spans="1:4">
      <c r="A368" t="s">
        <v>1985</v>
      </c>
      <c r="B368" t="s">
        <v>352</v>
      </c>
      <c r="C368" t="s">
        <v>7434</v>
      </c>
      <c r="D368">
        <v>9.821471000000001</v>
      </c>
    </row>
    <row r="369" spans="1:4">
      <c r="A369" t="s">
        <v>1986</v>
      </c>
      <c r="B369" t="s">
        <v>352</v>
      </c>
      <c r="C369" t="s">
        <v>7435</v>
      </c>
      <c r="D369">
        <v>0.119779</v>
      </c>
    </row>
    <row r="370" spans="1:4">
      <c r="A370" t="s">
        <v>1987</v>
      </c>
      <c r="B370" t="s">
        <v>352</v>
      </c>
      <c r="C370" t="s">
        <v>7436</v>
      </c>
      <c r="D370">
        <v>7.01754</v>
      </c>
    </row>
    <row r="371" spans="1:4">
      <c r="A371" t="s">
        <v>1988</v>
      </c>
      <c r="B371" t="s">
        <v>352</v>
      </c>
      <c r="C371" t="s">
        <v>7437</v>
      </c>
      <c r="D371">
        <v>0.08326799999999999</v>
      </c>
    </row>
    <row r="372" spans="1:4">
      <c r="A372" t="s">
        <v>1989</v>
      </c>
      <c r="B372" t="s">
        <v>352</v>
      </c>
      <c r="C372" t="s">
        <v>399</v>
      </c>
      <c r="D372">
        <v>309.885251</v>
      </c>
    </row>
    <row r="373" spans="1:4">
      <c r="A373" t="s">
        <v>1990</v>
      </c>
      <c r="B373" t="s">
        <v>352</v>
      </c>
      <c r="C373" t="s">
        <v>7438</v>
      </c>
      <c r="D373">
        <v>7.725296</v>
      </c>
    </row>
    <row r="374" spans="1:4">
      <c r="A374" t="s">
        <v>1991</v>
      </c>
      <c r="B374" t="s">
        <v>352</v>
      </c>
      <c r="C374" t="s">
        <v>7439</v>
      </c>
      <c r="D374">
        <v>0.025722</v>
      </c>
    </row>
    <row r="375" spans="1:4">
      <c r="A375" t="s">
        <v>1992</v>
      </c>
      <c r="B375" t="s">
        <v>352</v>
      </c>
      <c r="C375" t="s">
        <v>7440</v>
      </c>
      <c r="D375">
        <v>0.598474</v>
      </c>
    </row>
    <row r="376" spans="1:4">
      <c r="A376" t="s">
        <v>1993</v>
      </c>
      <c r="B376" t="s">
        <v>352</v>
      </c>
      <c r="C376" t="s">
        <v>7441</v>
      </c>
      <c r="D376">
        <v>0.011863</v>
      </c>
    </row>
    <row r="377" spans="1:4">
      <c r="A377" t="s">
        <v>1994</v>
      </c>
      <c r="B377" t="s">
        <v>352</v>
      </c>
      <c r="C377" t="s">
        <v>7442</v>
      </c>
      <c r="D377">
        <v>2.63101</v>
      </c>
    </row>
    <row r="378" spans="1:4">
      <c r="A378" t="s">
        <v>1995</v>
      </c>
      <c r="B378" t="s">
        <v>352</v>
      </c>
      <c r="C378" t="s">
        <v>7443</v>
      </c>
      <c r="D378">
        <v>115.405228</v>
      </c>
    </row>
    <row r="379" spans="1:4">
      <c r="A379" t="s">
        <v>1996</v>
      </c>
      <c r="B379" t="s">
        <v>352</v>
      </c>
      <c r="C379" t="s">
        <v>7444</v>
      </c>
      <c r="D379">
        <v>0.549416</v>
      </c>
    </row>
    <row r="380" spans="1:4">
      <c r="A380" t="s">
        <v>1997</v>
      </c>
      <c r="B380" t="s">
        <v>352</v>
      </c>
      <c r="C380" t="s">
        <v>7445</v>
      </c>
      <c r="D380">
        <v>114.772571</v>
      </c>
    </row>
    <row r="381" spans="1:4">
      <c r="A381" t="s">
        <v>1998</v>
      </c>
      <c r="B381" t="s">
        <v>352</v>
      </c>
      <c r="C381" t="s">
        <v>7446</v>
      </c>
      <c r="D381">
        <v>173.120593</v>
      </c>
    </row>
    <row r="382" spans="1:4">
      <c r="A382" t="s">
        <v>1999</v>
      </c>
      <c r="B382" t="s">
        <v>352</v>
      </c>
      <c r="C382" t="s">
        <v>7447</v>
      </c>
      <c r="D382">
        <v>423.376652</v>
      </c>
    </row>
    <row r="383" spans="1:4">
      <c r="A383" t="s">
        <v>2000</v>
      </c>
      <c r="B383" t="s">
        <v>352</v>
      </c>
      <c r="C383" t="s">
        <v>7448</v>
      </c>
      <c r="D383">
        <v>0.549416</v>
      </c>
    </row>
    <row r="384" spans="1:4">
      <c r="A384" t="s">
        <v>2001</v>
      </c>
      <c r="B384" t="s">
        <v>352</v>
      </c>
      <c r="C384" t="s">
        <v>7449</v>
      </c>
      <c r="D384">
        <v>3.020091</v>
      </c>
    </row>
    <row r="385" spans="1:4">
      <c r="A385" t="s">
        <v>2002</v>
      </c>
      <c r="B385" t="s">
        <v>352</v>
      </c>
      <c r="C385" t="s">
        <v>7450</v>
      </c>
      <c r="D385">
        <v>1.289533</v>
      </c>
    </row>
    <row r="386" spans="1:4">
      <c r="A386" t="s">
        <v>2003</v>
      </c>
      <c r="B386" t="s">
        <v>352</v>
      </c>
      <c r="C386" t="s">
        <v>7318</v>
      </c>
      <c r="D386">
        <v>18.601104</v>
      </c>
    </row>
    <row r="387" spans="1:4">
      <c r="A387" t="s">
        <v>2004</v>
      </c>
      <c r="B387" t="s">
        <v>352</v>
      </c>
      <c r="C387" t="s">
        <v>7451</v>
      </c>
      <c r="D387">
        <v>16.393031</v>
      </c>
    </row>
    <row r="388" spans="1:4">
      <c r="A388" t="s">
        <v>2005</v>
      </c>
      <c r="B388" t="s">
        <v>352</v>
      </c>
      <c r="C388" t="s">
        <v>7452</v>
      </c>
      <c r="D388">
        <v>11.989177</v>
      </c>
    </row>
    <row r="389" spans="1:4">
      <c r="A389" t="s">
        <v>2006</v>
      </c>
      <c r="B389" t="s">
        <v>352</v>
      </c>
      <c r="C389" t="s">
        <v>7453</v>
      </c>
      <c r="D389">
        <v>11.989177</v>
      </c>
    </row>
    <row r="390" spans="1:4">
      <c r="A390" t="s">
        <v>2007</v>
      </c>
      <c r="B390" t="s">
        <v>353</v>
      </c>
      <c r="C390" t="s">
        <v>397</v>
      </c>
      <c r="D390">
        <v>361.153529</v>
      </c>
    </row>
    <row r="391" spans="1:4">
      <c r="A391" t="s">
        <v>2008</v>
      </c>
      <c r="B391" t="s">
        <v>353</v>
      </c>
      <c r="C391" t="s">
        <v>7319</v>
      </c>
      <c r="D391">
        <v>84.62819500000001</v>
      </c>
    </row>
    <row r="392" spans="1:4">
      <c r="A392" t="s">
        <v>2009</v>
      </c>
      <c r="B392" t="s">
        <v>353</v>
      </c>
      <c r="C392" t="s">
        <v>7320</v>
      </c>
      <c r="D392">
        <v>4.938198</v>
      </c>
    </row>
    <row r="393" spans="1:4">
      <c r="A393" t="s">
        <v>2010</v>
      </c>
      <c r="B393" t="s">
        <v>353</v>
      </c>
      <c r="C393" t="s">
        <v>7321</v>
      </c>
      <c r="D393">
        <v>3.781273</v>
      </c>
    </row>
    <row r="394" spans="1:4">
      <c r="A394" t="s">
        <v>2011</v>
      </c>
      <c r="B394" t="s">
        <v>353</v>
      </c>
      <c r="C394" t="s">
        <v>7322</v>
      </c>
      <c r="D394">
        <v>0.843049</v>
      </c>
    </row>
    <row r="395" spans="1:4">
      <c r="A395" t="s">
        <v>2012</v>
      </c>
      <c r="B395" t="s">
        <v>353</v>
      </c>
      <c r="C395" t="s">
        <v>7323</v>
      </c>
      <c r="D395">
        <v>173.629668</v>
      </c>
    </row>
    <row r="396" spans="1:4">
      <c r="A396" t="s">
        <v>2013</v>
      </c>
      <c r="B396" t="s">
        <v>353</v>
      </c>
      <c r="C396" t="s">
        <v>7324</v>
      </c>
      <c r="D396">
        <v>0.333794</v>
      </c>
    </row>
    <row r="397" spans="1:4">
      <c r="A397" t="s">
        <v>2014</v>
      </c>
      <c r="B397" t="s">
        <v>353</v>
      </c>
      <c r="C397" t="s">
        <v>7325</v>
      </c>
      <c r="D397">
        <v>0.222738</v>
      </c>
    </row>
    <row r="398" spans="1:4">
      <c r="A398" t="s">
        <v>2015</v>
      </c>
      <c r="B398" t="s">
        <v>353</v>
      </c>
      <c r="C398" t="s">
        <v>7292</v>
      </c>
      <c r="D398">
        <v>221.903522</v>
      </c>
    </row>
    <row r="399" spans="1:4">
      <c r="A399" t="s">
        <v>2016</v>
      </c>
      <c r="B399" t="s">
        <v>353</v>
      </c>
      <c r="C399" t="s">
        <v>7326</v>
      </c>
      <c r="D399">
        <v>173.629668</v>
      </c>
    </row>
    <row r="400" spans="1:4">
      <c r="A400" t="s">
        <v>2017</v>
      </c>
      <c r="B400" t="s">
        <v>353</v>
      </c>
      <c r="C400" t="s">
        <v>7327</v>
      </c>
      <c r="D400">
        <v>182.612252</v>
      </c>
    </row>
    <row r="401" spans="1:4">
      <c r="A401" t="s">
        <v>2018</v>
      </c>
      <c r="B401" t="s">
        <v>353</v>
      </c>
      <c r="C401" t="s">
        <v>7328</v>
      </c>
      <c r="D401">
        <v>184.654867</v>
      </c>
    </row>
    <row r="402" spans="1:4">
      <c r="A402" t="s">
        <v>2019</v>
      </c>
      <c r="B402" t="s">
        <v>353</v>
      </c>
      <c r="C402" t="s">
        <v>7329</v>
      </c>
      <c r="D402">
        <v>155.398548</v>
      </c>
    </row>
    <row r="403" spans="1:4">
      <c r="A403" t="s">
        <v>2020</v>
      </c>
      <c r="B403" t="s">
        <v>353</v>
      </c>
      <c r="C403" t="s">
        <v>7330</v>
      </c>
      <c r="D403">
        <v>2.528929</v>
      </c>
    </row>
    <row r="404" spans="1:4">
      <c r="A404" t="s">
        <v>2021</v>
      </c>
      <c r="B404" t="s">
        <v>353</v>
      </c>
      <c r="C404" t="s">
        <v>398</v>
      </c>
      <c r="D404">
        <v>184.654867</v>
      </c>
    </row>
    <row r="405" spans="1:4">
      <c r="A405" t="s">
        <v>2022</v>
      </c>
      <c r="B405" t="s">
        <v>353</v>
      </c>
      <c r="C405" t="s">
        <v>7331</v>
      </c>
      <c r="D405">
        <v>826.58771</v>
      </c>
    </row>
    <row r="406" spans="1:4">
      <c r="A406" t="s">
        <v>2023</v>
      </c>
      <c r="B406" t="s">
        <v>353</v>
      </c>
      <c r="C406" t="s">
        <v>7332</v>
      </c>
      <c r="D406">
        <v>0.104207</v>
      </c>
    </row>
    <row r="407" spans="1:4">
      <c r="A407" t="s">
        <v>2024</v>
      </c>
      <c r="B407" t="s">
        <v>353</v>
      </c>
      <c r="C407" t="s">
        <v>7333</v>
      </c>
      <c r="D407">
        <v>310.796962</v>
      </c>
    </row>
    <row r="408" spans="1:4">
      <c r="A408" t="s">
        <v>2025</v>
      </c>
      <c r="B408" t="s">
        <v>353</v>
      </c>
      <c r="C408" t="s">
        <v>7334</v>
      </c>
      <c r="D408">
        <v>242.734522</v>
      </c>
    </row>
    <row r="409" spans="1:4">
      <c r="A409" t="s">
        <v>2026</v>
      </c>
      <c r="B409" t="s">
        <v>353</v>
      </c>
      <c r="C409" t="s">
        <v>7335</v>
      </c>
      <c r="D409">
        <v>44.903787</v>
      </c>
    </row>
    <row r="410" spans="1:4">
      <c r="A410" t="s">
        <v>2027</v>
      </c>
      <c r="B410" t="s">
        <v>353</v>
      </c>
      <c r="C410" t="s">
        <v>7293</v>
      </c>
      <c r="D410">
        <v>61.539938</v>
      </c>
    </row>
    <row r="411" spans="1:4">
      <c r="A411" t="s">
        <v>2028</v>
      </c>
      <c r="B411" t="s">
        <v>353</v>
      </c>
      <c r="C411" t="s">
        <v>7336</v>
      </c>
      <c r="D411">
        <v>310.796962</v>
      </c>
    </row>
    <row r="412" spans="1:4">
      <c r="A412" t="s">
        <v>2029</v>
      </c>
      <c r="B412" t="s">
        <v>353</v>
      </c>
      <c r="C412" t="s">
        <v>7337</v>
      </c>
      <c r="D412">
        <v>3.237315</v>
      </c>
    </row>
    <row r="413" spans="1:4">
      <c r="A413" t="s">
        <v>2030</v>
      </c>
      <c r="B413" t="s">
        <v>353</v>
      </c>
      <c r="C413" t="s">
        <v>7338</v>
      </c>
      <c r="D413">
        <v>21.890318</v>
      </c>
    </row>
    <row r="414" spans="1:4">
      <c r="A414" t="s">
        <v>2031</v>
      </c>
      <c r="B414" t="s">
        <v>353</v>
      </c>
      <c r="C414" t="s">
        <v>7339</v>
      </c>
      <c r="D414">
        <v>111.575236</v>
      </c>
    </row>
    <row r="415" spans="1:4">
      <c r="A415" t="s">
        <v>2032</v>
      </c>
      <c r="B415" t="s">
        <v>353</v>
      </c>
      <c r="C415" t="s">
        <v>7340</v>
      </c>
      <c r="D415">
        <v>155.398548</v>
      </c>
    </row>
    <row r="416" spans="1:4">
      <c r="A416" t="s">
        <v>2033</v>
      </c>
      <c r="B416" t="s">
        <v>353</v>
      </c>
      <c r="C416" t="s">
        <v>7294</v>
      </c>
      <c r="D416">
        <v>225.997096</v>
      </c>
    </row>
    <row r="417" spans="1:4">
      <c r="A417" t="s">
        <v>2034</v>
      </c>
      <c r="B417" t="s">
        <v>353</v>
      </c>
      <c r="C417" t="s">
        <v>7341</v>
      </c>
      <c r="D417">
        <v>0.135678</v>
      </c>
    </row>
    <row r="418" spans="1:4">
      <c r="A418" t="s">
        <v>2035</v>
      </c>
      <c r="B418" t="s">
        <v>353</v>
      </c>
      <c r="C418" t="s">
        <v>7295</v>
      </c>
      <c r="D418">
        <v>394.885001</v>
      </c>
    </row>
    <row r="419" spans="1:4">
      <c r="A419" t="s">
        <v>2036</v>
      </c>
      <c r="B419" t="s">
        <v>353</v>
      </c>
      <c r="C419" t="s">
        <v>7342</v>
      </c>
      <c r="D419">
        <v>13636.153634</v>
      </c>
    </row>
    <row r="420" spans="1:4">
      <c r="A420" t="s">
        <v>2037</v>
      </c>
      <c r="B420" t="s">
        <v>353</v>
      </c>
      <c r="C420" t="s">
        <v>7343</v>
      </c>
      <c r="D420">
        <v>0.344972</v>
      </c>
    </row>
    <row r="421" spans="1:4">
      <c r="A421" t="s">
        <v>2038</v>
      </c>
      <c r="B421" t="s">
        <v>353</v>
      </c>
      <c r="C421" t="s">
        <v>7344</v>
      </c>
      <c r="D421">
        <v>45.609102</v>
      </c>
    </row>
    <row r="422" spans="1:4">
      <c r="A422" t="s">
        <v>2039</v>
      </c>
      <c r="B422" t="s">
        <v>353</v>
      </c>
      <c r="C422" t="s">
        <v>7296</v>
      </c>
      <c r="D422">
        <v>45.589009</v>
      </c>
    </row>
    <row r="423" spans="1:4">
      <c r="A423" t="s">
        <v>2040</v>
      </c>
      <c r="B423" t="s">
        <v>353</v>
      </c>
      <c r="C423" t="s">
        <v>7345</v>
      </c>
      <c r="D423">
        <v>0.08200200000000001</v>
      </c>
    </row>
    <row r="424" spans="1:4">
      <c r="A424" t="s">
        <v>2041</v>
      </c>
      <c r="B424" t="s">
        <v>353</v>
      </c>
      <c r="C424" t="s">
        <v>7346</v>
      </c>
      <c r="D424">
        <v>0.68231</v>
      </c>
    </row>
    <row r="425" spans="1:4">
      <c r="A425" t="s">
        <v>2042</v>
      </c>
      <c r="B425" t="s">
        <v>353</v>
      </c>
      <c r="C425" t="s">
        <v>7347</v>
      </c>
      <c r="D425">
        <v>12.949878</v>
      </c>
    </row>
    <row r="426" spans="1:4">
      <c r="A426" t="s">
        <v>2043</v>
      </c>
      <c r="B426" t="s">
        <v>353</v>
      </c>
      <c r="C426" t="s">
        <v>7348</v>
      </c>
      <c r="D426">
        <v>3.275323</v>
      </c>
    </row>
    <row r="427" spans="1:4">
      <c r="A427" t="s">
        <v>2044</v>
      </c>
      <c r="B427" t="s">
        <v>353</v>
      </c>
      <c r="C427" t="s">
        <v>7297</v>
      </c>
      <c r="D427">
        <v>14.848086</v>
      </c>
    </row>
    <row r="428" spans="1:4">
      <c r="A428" t="s">
        <v>2045</v>
      </c>
      <c r="B428" t="s">
        <v>353</v>
      </c>
      <c r="C428" t="s">
        <v>7349</v>
      </c>
      <c r="D428">
        <v>1.748792</v>
      </c>
    </row>
    <row r="429" spans="1:4">
      <c r="A429" t="s">
        <v>2046</v>
      </c>
      <c r="B429" t="s">
        <v>353</v>
      </c>
      <c r="C429" t="s">
        <v>7298</v>
      </c>
      <c r="D429">
        <v>48.408556</v>
      </c>
    </row>
    <row r="430" spans="1:4">
      <c r="A430" t="s">
        <v>2047</v>
      </c>
      <c r="B430" t="s">
        <v>353</v>
      </c>
      <c r="C430" t="s">
        <v>7350</v>
      </c>
      <c r="D430">
        <v>5.207552</v>
      </c>
    </row>
    <row r="431" spans="1:4">
      <c r="A431" t="s">
        <v>2048</v>
      </c>
      <c r="B431" t="s">
        <v>353</v>
      </c>
      <c r="C431" t="s">
        <v>7351</v>
      </c>
      <c r="D431">
        <v>2.343806</v>
      </c>
    </row>
    <row r="432" spans="1:4">
      <c r="A432" t="s">
        <v>2049</v>
      </c>
      <c r="B432" t="s">
        <v>353</v>
      </c>
      <c r="C432" t="s">
        <v>7352</v>
      </c>
      <c r="D432">
        <v>5.847914</v>
      </c>
    </row>
    <row r="433" spans="1:4">
      <c r="A433" t="s">
        <v>2050</v>
      </c>
      <c r="B433" t="s">
        <v>353</v>
      </c>
      <c r="C433" t="s">
        <v>7353</v>
      </c>
      <c r="D433">
        <v>20.719805</v>
      </c>
    </row>
    <row r="434" spans="1:4">
      <c r="A434" t="s">
        <v>2051</v>
      </c>
      <c r="B434" t="s">
        <v>353</v>
      </c>
      <c r="C434" t="s">
        <v>7354</v>
      </c>
      <c r="D434">
        <v>1.966355</v>
      </c>
    </row>
    <row r="435" spans="1:4">
      <c r="A435" t="s">
        <v>2052</v>
      </c>
      <c r="B435" t="s">
        <v>353</v>
      </c>
      <c r="C435" t="s">
        <v>7355</v>
      </c>
      <c r="D435">
        <v>141.338675</v>
      </c>
    </row>
    <row r="436" spans="1:4">
      <c r="A436" t="s">
        <v>2053</v>
      </c>
      <c r="B436" t="s">
        <v>353</v>
      </c>
      <c r="C436" t="s">
        <v>7356</v>
      </c>
      <c r="D436">
        <v>414.084739</v>
      </c>
    </row>
    <row r="437" spans="1:4">
      <c r="A437" t="s">
        <v>2054</v>
      </c>
      <c r="B437" t="s">
        <v>353</v>
      </c>
      <c r="C437" t="s">
        <v>7357</v>
      </c>
      <c r="D437">
        <v>48.408556</v>
      </c>
    </row>
    <row r="438" spans="1:4">
      <c r="A438" t="s">
        <v>2055</v>
      </c>
      <c r="B438" t="s">
        <v>353</v>
      </c>
      <c r="C438" t="s">
        <v>7299</v>
      </c>
      <c r="D438">
        <v>414.084264</v>
      </c>
    </row>
    <row r="439" spans="1:4">
      <c r="A439" t="s">
        <v>2056</v>
      </c>
      <c r="B439" t="s">
        <v>353</v>
      </c>
      <c r="C439" t="s">
        <v>7358</v>
      </c>
      <c r="D439">
        <v>116.155893</v>
      </c>
    </row>
    <row r="440" spans="1:4">
      <c r="A440" t="s">
        <v>2057</v>
      </c>
      <c r="B440" t="s">
        <v>353</v>
      </c>
      <c r="C440" t="s">
        <v>7359</v>
      </c>
      <c r="D440">
        <v>414.084739</v>
      </c>
    </row>
    <row r="441" spans="1:4">
      <c r="A441" t="s">
        <v>2058</v>
      </c>
      <c r="B441" t="s">
        <v>353</v>
      </c>
      <c r="C441" t="s">
        <v>7360</v>
      </c>
      <c r="D441">
        <v>27.172294</v>
      </c>
    </row>
    <row r="442" spans="1:4">
      <c r="A442" t="s">
        <v>2059</v>
      </c>
      <c r="B442" t="s">
        <v>353</v>
      </c>
      <c r="C442" t="s">
        <v>7361</v>
      </c>
      <c r="D442">
        <v>414.084739</v>
      </c>
    </row>
    <row r="443" spans="1:4">
      <c r="A443" t="s">
        <v>2060</v>
      </c>
      <c r="B443" t="s">
        <v>353</v>
      </c>
      <c r="C443" t="s">
        <v>7362</v>
      </c>
      <c r="D443">
        <v>4.187741</v>
      </c>
    </row>
    <row r="444" spans="1:4">
      <c r="A444" t="s">
        <v>2061</v>
      </c>
      <c r="B444" t="s">
        <v>353</v>
      </c>
      <c r="C444" t="s">
        <v>7363</v>
      </c>
      <c r="D444">
        <v>0.035437</v>
      </c>
    </row>
    <row r="445" spans="1:4">
      <c r="A445" t="s">
        <v>2062</v>
      </c>
      <c r="B445" t="s">
        <v>353</v>
      </c>
      <c r="C445" t="s">
        <v>7364</v>
      </c>
      <c r="D445">
        <v>40.698427</v>
      </c>
    </row>
    <row r="446" spans="1:4">
      <c r="A446" t="s">
        <v>2063</v>
      </c>
      <c r="B446" t="s">
        <v>353</v>
      </c>
      <c r="C446" t="s">
        <v>7365</v>
      </c>
      <c r="D446">
        <v>1.485374</v>
      </c>
    </row>
    <row r="447" spans="1:4">
      <c r="A447" t="s">
        <v>2064</v>
      </c>
      <c r="B447" t="s">
        <v>353</v>
      </c>
      <c r="C447" t="s">
        <v>7300</v>
      </c>
      <c r="D447">
        <v>39.696986</v>
      </c>
    </row>
    <row r="448" spans="1:4">
      <c r="A448" t="s">
        <v>2065</v>
      </c>
      <c r="B448" t="s">
        <v>353</v>
      </c>
      <c r="C448" t="s">
        <v>7366</v>
      </c>
      <c r="D448">
        <v>11.655888</v>
      </c>
    </row>
    <row r="449" spans="1:4">
      <c r="A449" t="s">
        <v>2066</v>
      </c>
      <c r="B449" t="s">
        <v>353</v>
      </c>
      <c r="C449" t="s">
        <v>7367</v>
      </c>
      <c r="D449">
        <v>47.933311</v>
      </c>
    </row>
    <row r="450" spans="1:4">
      <c r="A450" t="s">
        <v>2067</v>
      </c>
      <c r="B450" t="s">
        <v>353</v>
      </c>
      <c r="C450" t="s">
        <v>7368</v>
      </c>
      <c r="D450">
        <v>2.373359</v>
      </c>
    </row>
    <row r="451" spans="1:4">
      <c r="A451" t="s">
        <v>2068</v>
      </c>
      <c r="B451" t="s">
        <v>353</v>
      </c>
      <c r="C451" t="s">
        <v>7301</v>
      </c>
      <c r="D451">
        <v>0.017764</v>
      </c>
    </row>
    <row r="452" spans="1:4">
      <c r="A452" t="s">
        <v>2069</v>
      </c>
      <c r="B452" t="s">
        <v>353</v>
      </c>
      <c r="C452" t="s">
        <v>7302</v>
      </c>
      <c r="D452">
        <v>106.40994</v>
      </c>
    </row>
    <row r="453" spans="1:4">
      <c r="A453" t="s">
        <v>2070</v>
      </c>
      <c r="B453" t="s">
        <v>353</v>
      </c>
      <c r="C453" t="s">
        <v>7369</v>
      </c>
      <c r="D453">
        <v>414.084739</v>
      </c>
    </row>
    <row r="454" spans="1:4">
      <c r="A454" t="s">
        <v>2071</v>
      </c>
      <c r="B454" t="s">
        <v>353</v>
      </c>
      <c r="C454" t="s">
        <v>7303</v>
      </c>
      <c r="D454">
        <v>3.237314</v>
      </c>
    </row>
    <row r="455" spans="1:4">
      <c r="A455" t="s">
        <v>2072</v>
      </c>
      <c r="B455" t="s">
        <v>353</v>
      </c>
      <c r="C455" t="s">
        <v>7370</v>
      </c>
      <c r="D455">
        <v>0.236931</v>
      </c>
    </row>
    <row r="456" spans="1:4">
      <c r="A456" t="s">
        <v>2073</v>
      </c>
      <c r="B456" t="s">
        <v>353</v>
      </c>
      <c r="C456" t="s">
        <v>7371</v>
      </c>
      <c r="D456">
        <v>0.000276</v>
      </c>
    </row>
    <row r="457" spans="1:4">
      <c r="A457" t="s">
        <v>2074</v>
      </c>
      <c r="B457" t="s">
        <v>353</v>
      </c>
      <c r="C457" t="s">
        <v>7304</v>
      </c>
      <c r="D457">
        <v>2.515035</v>
      </c>
    </row>
    <row r="458" spans="1:4">
      <c r="A458" t="s">
        <v>2075</v>
      </c>
      <c r="B458" t="s">
        <v>353</v>
      </c>
      <c r="C458" t="s">
        <v>7372</v>
      </c>
      <c r="D458">
        <v>414.084739</v>
      </c>
    </row>
    <row r="459" spans="1:4">
      <c r="A459" t="s">
        <v>2076</v>
      </c>
      <c r="B459" t="s">
        <v>353</v>
      </c>
      <c r="C459" t="s">
        <v>7373</v>
      </c>
      <c r="D459">
        <v>1.959149</v>
      </c>
    </row>
    <row r="460" spans="1:4">
      <c r="A460" t="s">
        <v>2077</v>
      </c>
      <c r="B460" t="s">
        <v>353</v>
      </c>
      <c r="C460" t="s">
        <v>7374</v>
      </c>
      <c r="D460">
        <v>438.359616</v>
      </c>
    </row>
    <row r="461" spans="1:4">
      <c r="A461" t="s">
        <v>2078</v>
      </c>
      <c r="B461" t="s">
        <v>353</v>
      </c>
      <c r="C461" t="s">
        <v>7305</v>
      </c>
      <c r="D461">
        <v>1.957649</v>
      </c>
    </row>
    <row r="462" spans="1:4">
      <c r="A462" t="s">
        <v>2079</v>
      </c>
      <c r="B462" t="s">
        <v>353</v>
      </c>
      <c r="C462" t="s">
        <v>7375</v>
      </c>
      <c r="D462">
        <v>2.401498</v>
      </c>
    </row>
    <row r="463" spans="1:4">
      <c r="A463" t="s">
        <v>2080</v>
      </c>
      <c r="B463" t="s">
        <v>353</v>
      </c>
      <c r="C463" t="s">
        <v>7376</v>
      </c>
      <c r="D463">
        <v>3.548815</v>
      </c>
    </row>
    <row r="464" spans="1:4">
      <c r="A464" t="s">
        <v>2081</v>
      </c>
      <c r="B464" t="s">
        <v>353</v>
      </c>
      <c r="C464" t="s">
        <v>7377</v>
      </c>
      <c r="D464">
        <v>0.07695200000000001</v>
      </c>
    </row>
    <row r="465" spans="1:4">
      <c r="A465" t="s">
        <v>2082</v>
      </c>
      <c r="B465" t="s">
        <v>353</v>
      </c>
      <c r="C465" t="s">
        <v>7378</v>
      </c>
      <c r="D465">
        <v>221.903658</v>
      </c>
    </row>
    <row r="466" spans="1:4">
      <c r="A466" t="s">
        <v>2083</v>
      </c>
      <c r="B466" t="s">
        <v>353</v>
      </c>
      <c r="C466" t="s">
        <v>7379</v>
      </c>
      <c r="D466">
        <v>0.7341</v>
      </c>
    </row>
    <row r="467" spans="1:4">
      <c r="A467" t="s">
        <v>2084</v>
      </c>
      <c r="B467" t="s">
        <v>353</v>
      </c>
      <c r="C467" t="s">
        <v>7306</v>
      </c>
      <c r="D467">
        <v>0.207341</v>
      </c>
    </row>
    <row r="468" spans="1:4">
      <c r="A468" t="s">
        <v>2085</v>
      </c>
      <c r="B468" t="s">
        <v>353</v>
      </c>
      <c r="C468" t="s">
        <v>7380</v>
      </c>
      <c r="D468">
        <v>1009.536283</v>
      </c>
    </row>
    <row r="469" spans="1:4">
      <c r="A469" t="s">
        <v>2086</v>
      </c>
      <c r="B469" t="s">
        <v>353</v>
      </c>
      <c r="C469" t="s">
        <v>7381</v>
      </c>
      <c r="D469">
        <v>372.956483</v>
      </c>
    </row>
    <row r="470" spans="1:4">
      <c r="A470" t="s">
        <v>2087</v>
      </c>
      <c r="B470" t="s">
        <v>353</v>
      </c>
      <c r="C470" t="s">
        <v>7382</v>
      </c>
      <c r="D470">
        <v>0.661266</v>
      </c>
    </row>
    <row r="471" spans="1:4">
      <c r="A471" t="s">
        <v>2088</v>
      </c>
      <c r="B471" t="s">
        <v>353</v>
      </c>
      <c r="C471" t="s">
        <v>7383</v>
      </c>
      <c r="D471">
        <v>0.014163</v>
      </c>
    </row>
    <row r="472" spans="1:4">
      <c r="A472" t="s">
        <v>2089</v>
      </c>
      <c r="B472" t="s">
        <v>353</v>
      </c>
      <c r="C472" t="s">
        <v>7384</v>
      </c>
      <c r="D472">
        <v>0.003473</v>
      </c>
    </row>
    <row r="473" spans="1:4">
      <c r="A473" t="s">
        <v>2090</v>
      </c>
      <c r="B473" t="s">
        <v>353</v>
      </c>
      <c r="C473" t="s">
        <v>7385</v>
      </c>
      <c r="D473">
        <v>0.953195</v>
      </c>
    </row>
    <row r="474" spans="1:4">
      <c r="A474" t="s">
        <v>2091</v>
      </c>
      <c r="B474" t="s">
        <v>353</v>
      </c>
      <c r="C474" t="s">
        <v>7386</v>
      </c>
      <c r="D474">
        <v>1.693594</v>
      </c>
    </row>
    <row r="475" spans="1:4">
      <c r="A475" t="s">
        <v>2092</v>
      </c>
      <c r="B475" t="s">
        <v>353</v>
      </c>
      <c r="C475" t="s">
        <v>7387</v>
      </c>
      <c r="D475">
        <v>18.614394</v>
      </c>
    </row>
    <row r="476" spans="1:4">
      <c r="A476" t="s">
        <v>2093</v>
      </c>
      <c r="B476" t="s">
        <v>353</v>
      </c>
      <c r="C476" t="s">
        <v>7388</v>
      </c>
      <c r="D476">
        <v>49.114557</v>
      </c>
    </row>
    <row r="477" spans="1:4">
      <c r="A477" t="s">
        <v>2094</v>
      </c>
      <c r="B477" t="s">
        <v>353</v>
      </c>
      <c r="C477" t="s">
        <v>7389</v>
      </c>
      <c r="D477">
        <v>33.641802</v>
      </c>
    </row>
    <row r="478" spans="1:4">
      <c r="A478" t="s">
        <v>2095</v>
      </c>
      <c r="B478" t="s">
        <v>353</v>
      </c>
      <c r="C478" t="s">
        <v>7390</v>
      </c>
      <c r="D478">
        <v>17.971099</v>
      </c>
    </row>
    <row r="479" spans="1:4">
      <c r="A479" t="s">
        <v>2096</v>
      </c>
      <c r="B479" t="s">
        <v>353</v>
      </c>
      <c r="C479" t="s">
        <v>7391</v>
      </c>
      <c r="D479">
        <v>0.07396899999999999</v>
      </c>
    </row>
    <row r="480" spans="1:4">
      <c r="A480" t="s">
        <v>2097</v>
      </c>
      <c r="B480" t="s">
        <v>353</v>
      </c>
      <c r="C480" t="s">
        <v>7392</v>
      </c>
      <c r="D480">
        <v>5.853902</v>
      </c>
    </row>
    <row r="481" spans="1:4">
      <c r="A481" t="s">
        <v>2098</v>
      </c>
      <c r="B481" t="s">
        <v>353</v>
      </c>
      <c r="C481" t="s">
        <v>7393</v>
      </c>
      <c r="D481">
        <v>0.147816</v>
      </c>
    </row>
    <row r="482" spans="1:4">
      <c r="A482" t="s">
        <v>2099</v>
      </c>
      <c r="B482" t="s">
        <v>353</v>
      </c>
      <c r="C482" t="s">
        <v>7394</v>
      </c>
      <c r="D482">
        <v>0.087126</v>
      </c>
    </row>
    <row r="483" spans="1:4">
      <c r="A483" t="s">
        <v>2100</v>
      </c>
      <c r="B483" t="s">
        <v>353</v>
      </c>
      <c r="C483" t="s">
        <v>7395</v>
      </c>
      <c r="D483">
        <v>38.54077</v>
      </c>
    </row>
    <row r="484" spans="1:4">
      <c r="A484" t="s">
        <v>2101</v>
      </c>
      <c r="B484" t="s">
        <v>353</v>
      </c>
      <c r="C484" t="s">
        <v>7396</v>
      </c>
      <c r="D484">
        <v>7.766067</v>
      </c>
    </row>
    <row r="485" spans="1:4">
      <c r="A485" t="s">
        <v>2102</v>
      </c>
      <c r="B485" t="s">
        <v>353</v>
      </c>
      <c r="C485" t="s">
        <v>7397</v>
      </c>
      <c r="D485">
        <v>6.586566</v>
      </c>
    </row>
    <row r="486" spans="1:4">
      <c r="A486" t="s">
        <v>2103</v>
      </c>
      <c r="B486" t="s">
        <v>353</v>
      </c>
      <c r="C486" t="s">
        <v>7398</v>
      </c>
      <c r="D486">
        <v>20.09858</v>
      </c>
    </row>
    <row r="487" spans="1:4">
      <c r="A487" t="s">
        <v>2104</v>
      </c>
      <c r="B487" t="s">
        <v>353</v>
      </c>
      <c r="C487" t="s">
        <v>7399</v>
      </c>
      <c r="D487">
        <v>0.178935</v>
      </c>
    </row>
    <row r="488" spans="1:4">
      <c r="A488" t="s">
        <v>2105</v>
      </c>
      <c r="B488" t="s">
        <v>353</v>
      </c>
      <c r="C488" t="s">
        <v>7307</v>
      </c>
      <c r="D488">
        <v>17.91779</v>
      </c>
    </row>
    <row r="489" spans="1:4">
      <c r="A489" t="s">
        <v>2106</v>
      </c>
      <c r="B489" t="s">
        <v>353</v>
      </c>
      <c r="C489" t="s">
        <v>7308</v>
      </c>
      <c r="D489">
        <v>78.65523399999999</v>
      </c>
    </row>
    <row r="490" spans="1:4">
      <c r="A490" t="s">
        <v>2107</v>
      </c>
      <c r="B490" t="s">
        <v>353</v>
      </c>
      <c r="C490" t="s">
        <v>7400</v>
      </c>
      <c r="D490">
        <v>4.862421</v>
      </c>
    </row>
    <row r="491" spans="1:4">
      <c r="A491" t="s">
        <v>2108</v>
      </c>
      <c r="B491" t="s">
        <v>353</v>
      </c>
      <c r="C491" t="s">
        <v>7401</v>
      </c>
      <c r="D491">
        <v>18.614394</v>
      </c>
    </row>
    <row r="492" spans="1:4">
      <c r="A492" t="s">
        <v>2109</v>
      </c>
      <c r="B492" t="s">
        <v>353</v>
      </c>
      <c r="C492" t="s">
        <v>7402</v>
      </c>
      <c r="D492">
        <v>0.227002</v>
      </c>
    </row>
    <row r="493" spans="1:4">
      <c r="A493" t="s">
        <v>2110</v>
      </c>
      <c r="B493" t="s">
        <v>353</v>
      </c>
      <c r="C493" t="s">
        <v>7403</v>
      </c>
      <c r="D493">
        <v>8.433676</v>
      </c>
    </row>
    <row r="494" spans="1:4">
      <c r="A494" t="s">
        <v>2111</v>
      </c>
      <c r="B494" t="s">
        <v>353</v>
      </c>
      <c r="C494" t="s">
        <v>7309</v>
      </c>
      <c r="D494">
        <v>33.360235</v>
      </c>
    </row>
    <row r="495" spans="1:4">
      <c r="A495" t="s">
        <v>2112</v>
      </c>
      <c r="B495" t="s">
        <v>353</v>
      </c>
      <c r="C495" t="s">
        <v>7404</v>
      </c>
      <c r="D495">
        <v>2.023322</v>
      </c>
    </row>
    <row r="496" spans="1:4">
      <c r="A496" t="s">
        <v>2113</v>
      </c>
      <c r="B496" t="s">
        <v>353</v>
      </c>
      <c r="C496" t="s">
        <v>7310</v>
      </c>
      <c r="D496">
        <v>181.401689</v>
      </c>
    </row>
    <row r="497" spans="1:4">
      <c r="A497" t="s">
        <v>2114</v>
      </c>
      <c r="B497" t="s">
        <v>353</v>
      </c>
      <c r="C497" t="s">
        <v>7405</v>
      </c>
      <c r="D497">
        <v>808.320436</v>
      </c>
    </row>
    <row r="498" spans="1:4">
      <c r="A498" t="s">
        <v>2115</v>
      </c>
      <c r="B498" t="s">
        <v>353</v>
      </c>
      <c r="C498" t="s">
        <v>7406</v>
      </c>
      <c r="D498">
        <v>310.796962</v>
      </c>
    </row>
    <row r="499" spans="1:4">
      <c r="A499" t="s">
        <v>2116</v>
      </c>
      <c r="B499" t="s">
        <v>353</v>
      </c>
      <c r="C499" t="s">
        <v>7407</v>
      </c>
      <c r="D499">
        <v>90.49335000000001</v>
      </c>
    </row>
    <row r="500" spans="1:4">
      <c r="A500" t="s">
        <v>2117</v>
      </c>
      <c r="B500" t="s">
        <v>353</v>
      </c>
      <c r="C500" t="s">
        <v>7408</v>
      </c>
      <c r="D500">
        <v>72.173213</v>
      </c>
    </row>
    <row r="501" spans="1:4">
      <c r="A501" t="s">
        <v>2118</v>
      </c>
      <c r="B501" t="s">
        <v>353</v>
      </c>
      <c r="C501" t="s">
        <v>7311</v>
      </c>
      <c r="D501">
        <v>5.042943</v>
      </c>
    </row>
    <row r="502" spans="1:4">
      <c r="A502" t="s">
        <v>2119</v>
      </c>
      <c r="B502" t="s">
        <v>353</v>
      </c>
      <c r="C502" t="s">
        <v>7409</v>
      </c>
      <c r="D502">
        <v>1.114719</v>
      </c>
    </row>
    <row r="503" spans="1:4">
      <c r="A503" t="s">
        <v>2120</v>
      </c>
      <c r="B503" t="s">
        <v>353</v>
      </c>
      <c r="C503" t="s">
        <v>7312</v>
      </c>
      <c r="D503">
        <v>85.022893</v>
      </c>
    </row>
    <row r="504" spans="1:4">
      <c r="A504" t="s">
        <v>2121</v>
      </c>
      <c r="B504" t="s">
        <v>353</v>
      </c>
      <c r="C504" t="s">
        <v>7410</v>
      </c>
      <c r="D504">
        <v>0.050686</v>
      </c>
    </row>
    <row r="505" spans="1:4">
      <c r="A505" t="s">
        <v>2122</v>
      </c>
      <c r="B505" t="s">
        <v>353</v>
      </c>
      <c r="C505" t="s">
        <v>7411</v>
      </c>
      <c r="D505">
        <v>85.383808</v>
      </c>
    </row>
    <row r="506" spans="1:4">
      <c r="A506" t="s">
        <v>2123</v>
      </c>
      <c r="B506" t="s">
        <v>353</v>
      </c>
      <c r="C506" t="s">
        <v>7313</v>
      </c>
      <c r="D506">
        <v>69.26671399999999</v>
      </c>
    </row>
    <row r="507" spans="1:4">
      <c r="A507" t="s">
        <v>2124</v>
      </c>
      <c r="B507" t="s">
        <v>353</v>
      </c>
      <c r="C507" t="s">
        <v>7412</v>
      </c>
      <c r="D507">
        <v>3.075181</v>
      </c>
    </row>
    <row r="508" spans="1:4">
      <c r="A508" t="s">
        <v>2125</v>
      </c>
      <c r="B508" t="s">
        <v>353</v>
      </c>
      <c r="C508" t="s">
        <v>7413</v>
      </c>
      <c r="D508">
        <v>4.244031</v>
      </c>
    </row>
    <row r="509" spans="1:4">
      <c r="A509" t="s">
        <v>2126</v>
      </c>
      <c r="B509" t="s">
        <v>353</v>
      </c>
      <c r="C509" t="s">
        <v>7414</v>
      </c>
      <c r="D509">
        <v>0.212292</v>
      </c>
    </row>
    <row r="510" spans="1:4">
      <c r="A510" t="s">
        <v>2127</v>
      </c>
      <c r="B510" t="s">
        <v>353</v>
      </c>
      <c r="C510" t="s">
        <v>7415</v>
      </c>
      <c r="D510">
        <v>82.879209</v>
      </c>
    </row>
    <row r="511" spans="1:4">
      <c r="A511" t="s">
        <v>2128</v>
      </c>
      <c r="B511" t="s">
        <v>353</v>
      </c>
      <c r="C511" t="s">
        <v>7416</v>
      </c>
      <c r="D511">
        <v>39.15311</v>
      </c>
    </row>
    <row r="512" spans="1:4">
      <c r="A512" t="s">
        <v>2129</v>
      </c>
      <c r="B512" t="s">
        <v>353</v>
      </c>
      <c r="C512" t="s">
        <v>7417</v>
      </c>
      <c r="D512">
        <v>21.937249</v>
      </c>
    </row>
    <row r="513" spans="1:4">
      <c r="A513" t="s">
        <v>2130</v>
      </c>
      <c r="B513" t="s">
        <v>353</v>
      </c>
      <c r="C513" t="s">
        <v>7418</v>
      </c>
      <c r="D513">
        <v>0.694592</v>
      </c>
    </row>
    <row r="514" spans="1:4">
      <c r="A514" t="s">
        <v>2131</v>
      </c>
      <c r="B514" t="s">
        <v>353</v>
      </c>
      <c r="C514" t="s">
        <v>7314</v>
      </c>
      <c r="D514">
        <v>32.924774</v>
      </c>
    </row>
    <row r="515" spans="1:4">
      <c r="A515" t="s">
        <v>2132</v>
      </c>
      <c r="B515" t="s">
        <v>353</v>
      </c>
      <c r="C515" t="s">
        <v>7315</v>
      </c>
      <c r="D515">
        <v>242.67238</v>
      </c>
    </row>
    <row r="516" spans="1:4">
      <c r="A516" t="s">
        <v>2133</v>
      </c>
      <c r="B516" t="s">
        <v>353</v>
      </c>
      <c r="C516" t="s">
        <v>7419</v>
      </c>
      <c r="D516">
        <v>414.084739</v>
      </c>
    </row>
    <row r="517" spans="1:4">
      <c r="A517" t="s">
        <v>2134</v>
      </c>
      <c r="B517" t="s">
        <v>353</v>
      </c>
      <c r="C517" t="s">
        <v>7420</v>
      </c>
      <c r="D517">
        <v>12.647467</v>
      </c>
    </row>
    <row r="518" spans="1:4">
      <c r="A518" t="s">
        <v>2135</v>
      </c>
      <c r="B518" t="s">
        <v>353</v>
      </c>
      <c r="C518" t="s">
        <v>7421</v>
      </c>
      <c r="D518">
        <v>0.012647</v>
      </c>
    </row>
    <row r="519" spans="1:4">
      <c r="A519" t="s">
        <v>2136</v>
      </c>
      <c r="B519" t="s">
        <v>353</v>
      </c>
      <c r="C519" t="s">
        <v>7422</v>
      </c>
      <c r="D519">
        <v>0.543726</v>
      </c>
    </row>
    <row r="520" spans="1:4">
      <c r="A520" t="s">
        <v>2137</v>
      </c>
      <c r="B520" t="s">
        <v>353</v>
      </c>
      <c r="C520" t="s">
        <v>7423</v>
      </c>
      <c r="D520">
        <v>8.351307</v>
      </c>
    </row>
    <row r="521" spans="1:4">
      <c r="A521" t="s">
        <v>2138</v>
      </c>
      <c r="B521" t="s">
        <v>353</v>
      </c>
      <c r="C521" t="s">
        <v>7424</v>
      </c>
      <c r="D521">
        <v>0.066081</v>
      </c>
    </row>
    <row r="522" spans="1:4">
      <c r="A522" t="s">
        <v>2139</v>
      </c>
      <c r="B522" t="s">
        <v>353</v>
      </c>
      <c r="C522" t="s">
        <v>7425</v>
      </c>
      <c r="D522">
        <v>14.74096</v>
      </c>
    </row>
    <row r="523" spans="1:4">
      <c r="A523" t="s">
        <v>2140</v>
      </c>
      <c r="B523" t="s">
        <v>353</v>
      </c>
      <c r="C523" t="s">
        <v>7426</v>
      </c>
      <c r="D523">
        <v>2.764379</v>
      </c>
    </row>
    <row r="524" spans="1:4">
      <c r="A524" t="s">
        <v>2141</v>
      </c>
      <c r="B524" t="s">
        <v>353</v>
      </c>
      <c r="C524" t="s">
        <v>7427</v>
      </c>
      <c r="D524">
        <v>18.614394</v>
      </c>
    </row>
    <row r="525" spans="1:4">
      <c r="A525" t="s">
        <v>2142</v>
      </c>
      <c r="B525" t="s">
        <v>353</v>
      </c>
      <c r="C525" t="s">
        <v>7316</v>
      </c>
      <c r="D525">
        <v>9.507735</v>
      </c>
    </row>
    <row r="526" spans="1:4">
      <c r="A526" t="s">
        <v>2143</v>
      </c>
      <c r="B526" t="s">
        <v>353</v>
      </c>
      <c r="C526" t="s">
        <v>7428</v>
      </c>
      <c r="D526">
        <v>33.219105</v>
      </c>
    </row>
    <row r="527" spans="1:4">
      <c r="A527" t="s">
        <v>2144</v>
      </c>
      <c r="B527" t="s">
        <v>353</v>
      </c>
      <c r="C527" t="s">
        <v>7429</v>
      </c>
      <c r="D527">
        <v>88.697395</v>
      </c>
    </row>
    <row r="528" spans="1:4">
      <c r="A528" t="s">
        <v>2145</v>
      </c>
      <c r="B528" t="s">
        <v>353</v>
      </c>
      <c r="C528" t="s">
        <v>7430</v>
      </c>
      <c r="D528">
        <v>106.81353</v>
      </c>
    </row>
    <row r="529" spans="1:4">
      <c r="A529" t="s">
        <v>2146</v>
      </c>
      <c r="B529" t="s">
        <v>353</v>
      </c>
      <c r="C529" t="s">
        <v>7431</v>
      </c>
      <c r="D529">
        <v>131.488494</v>
      </c>
    </row>
    <row r="530" spans="1:4">
      <c r="A530" t="s">
        <v>2147</v>
      </c>
      <c r="B530" t="s">
        <v>353</v>
      </c>
      <c r="C530" t="s">
        <v>7317</v>
      </c>
      <c r="D530">
        <v>6.822869</v>
      </c>
    </row>
    <row r="531" spans="1:4">
      <c r="A531" t="s">
        <v>2148</v>
      </c>
      <c r="B531" t="s">
        <v>353</v>
      </c>
      <c r="C531" t="s">
        <v>7432</v>
      </c>
      <c r="D531">
        <v>45.389567</v>
      </c>
    </row>
    <row r="532" spans="1:4">
      <c r="A532" t="s">
        <v>2149</v>
      </c>
      <c r="B532" t="s">
        <v>353</v>
      </c>
      <c r="C532" t="s">
        <v>7433</v>
      </c>
      <c r="D532">
        <v>221.903658</v>
      </c>
    </row>
    <row r="533" spans="1:4">
      <c r="A533" t="s">
        <v>2150</v>
      </c>
      <c r="B533" t="s">
        <v>353</v>
      </c>
      <c r="C533" t="s">
        <v>7434</v>
      </c>
      <c r="D533">
        <v>9.839801</v>
      </c>
    </row>
    <row r="534" spans="1:4">
      <c r="A534" t="s">
        <v>2151</v>
      </c>
      <c r="B534" t="s">
        <v>353</v>
      </c>
      <c r="C534" t="s">
        <v>7435</v>
      </c>
      <c r="D534">
        <v>0.119766</v>
      </c>
    </row>
    <row r="535" spans="1:4">
      <c r="A535" t="s">
        <v>2152</v>
      </c>
      <c r="B535" t="s">
        <v>353</v>
      </c>
      <c r="C535" t="s">
        <v>7436</v>
      </c>
      <c r="D535">
        <v>7.039527</v>
      </c>
    </row>
    <row r="536" spans="1:4">
      <c r="A536" t="s">
        <v>2153</v>
      </c>
      <c r="B536" t="s">
        <v>353</v>
      </c>
      <c r="C536" t="s">
        <v>7437</v>
      </c>
      <c r="D536">
        <v>0.08322499999999999</v>
      </c>
    </row>
    <row r="537" spans="1:4">
      <c r="A537" t="s">
        <v>2154</v>
      </c>
      <c r="B537" t="s">
        <v>353</v>
      </c>
      <c r="C537" t="s">
        <v>399</v>
      </c>
      <c r="D537">
        <v>310.796962</v>
      </c>
    </row>
    <row r="538" spans="1:4">
      <c r="A538" t="s">
        <v>2155</v>
      </c>
      <c r="B538" t="s">
        <v>353</v>
      </c>
      <c r="C538" t="s">
        <v>7438</v>
      </c>
      <c r="D538">
        <v>7.747083</v>
      </c>
    </row>
    <row r="539" spans="1:4">
      <c r="A539" t="s">
        <v>2156</v>
      </c>
      <c r="B539" t="s">
        <v>353</v>
      </c>
      <c r="C539" t="s">
        <v>7439</v>
      </c>
      <c r="D539">
        <v>0.025462</v>
      </c>
    </row>
    <row r="540" spans="1:4">
      <c r="A540" t="s">
        <v>2157</v>
      </c>
      <c r="B540" t="s">
        <v>353</v>
      </c>
      <c r="C540" t="s">
        <v>7440</v>
      </c>
      <c r="D540">
        <v>0.599736</v>
      </c>
    </row>
    <row r="541" spans="1:4">
      <c r="A541" t="s">
        <v>2158</v>
      </c>
      <c r="B541" t="s">
        <v>353</v>
      </c>
      <c r="C541" t="s">
        <v>7441</v>
      </c>
      <c r="D541">
        <v>0.011894</v>
      </c>
    </row>
    <row r="542" spans="1:4">
      <c r="A542" t="s">
        <v>2159</v>
      </c>
      <c r="B542" t="s">
        <v>353</v>
      </c>
      <c r="C542" t="s">
        <v>7442</v>
      </c>
      <c r="D542">
        <v>2.649154</v>
      </c>
    </row>
    <row r="543" spans="1:4">
      <c r="A543" t="s">
        <v>2160</v>
      </c>
      <c r="B543" t="s">
        <v>353</v>
      </c>
      <c r="C543" t="s">
        <v>7443</v>
      </c>
      <c r="D543">
        <v>116.1782</v>
      </c>
    </row>
    <row r="544" spans="1:4">
      <c r="A544" t="s">
        <v>2161</v>
      </c>
      <c r="B544" t="s">
        <v>353</v>
      </c>
      <c r="C544" t="s">
        <v>7444</v>
      </c>
      <c r="D544">
        <v>0.550575</v>
      </c>
    </row>
    <row r="545" spans="1:4">
      <c r="A545" t="s">
        <v>2162</v>
      </c>
      <c r="B545" t="s">
        <v>353</v>
      </c>
      <c r="C545" t="s">
        <v>7445</v>
      </c>
      <c r="D545">
        <v>115.110015</v>
      </c>
    </row>
    <row r="546" spans="1:4">
      <c r="A546" t="s">
        <v>2163</v>
      </c>
      <c r="B546" t="s">
        <v>353</v>
      </c>
      <c r="C546" t="s">
        <v>7446</v>
      </c>
      <c r="D546">
        <v>173.629668</v>
      </c>
    </row>
    <row r="547" spans="1:4">
      <c r="A547" t="s">
        <v>2164</v>
      </c>
      <c r="B547" t="s">
        <v>353</v>
      </c>
      <c r="C547" t="s">
        <v>7447</v>
      </c>
      <c r="D547">
        <v>424.172896</v>
      </c>
    </row>
    <row r="548" spans="1:4">
      <c r="A548" t="s">
        <v>2165</v>
      </c>
      <c r="B548" t="s">
        <v>353</v>
      </c>
      <c r="C548" t="s">
        <v>7448</v>
      </c>
      <c r="D548">
        <v>0.550575</v>
      </c>
    </row>
    <row r="549" spans="1:4">
      <c r="A549" t="s">
        <v>2166</v>
      </c>
      <c r="B549" t="s">
        <v>353</v>
      </c>
      <c r="C549" t="s">
        <v>7449</v>
      </c>
      <c r="D549">
        <v>3.02646</v>
      </c>
    </row>
    <row r="550" spans="1:4">
      <c r="A550" t="s">
        <v>2167</v>
      </c>
      <c r="B550" t="s">
        <v>353</v>
      </c>
      <c r="C550" t="s">
        <v>7450</v>
      </c>
      <c r="D550">
        <v>1.301032</v>
      </c>
    </row>
    <row r="551" spans="1:4">
      <c r="A551" t="s">
        <v>2168</v>
      </c>
      <c r="B551" t="s">
        <v>353</v>
      </c>
      <c r="C551" t="s">
        <v>7318</v>
      </c>
      <c r="D551">
        <v>18.614339</v>
      </c>
    </row>
    <row r="552" spans="1:4">
      <c r="A552" t="s">
        <v>2169</v>
      </c>
      <c r="B552" t="s">
        <v>353</v>
      </c>
      <c r="C552" t="s">
        <v>7451</v>
      </c>
      <c r="D552">
        <v>16.370798</v>
      </c>
    </row>
    <row r="553" spans="1:4">
      <c r="A553" t="s">
        <v>2170</v>
      </c>
      <c r="B553" t="s">
        <v>353</v>
      </c>
      <c r="C553" t="s">
        <v>7452</v>
      </c>
      <c r="D553">
        <v>12.014462</v>
      </c>
    </row>
    <row r="554" spans="1:4">
      <c r="A554" t="s">
        <v>2171</v>
      </c>
      <c r="B554" t="s">
        <v>353</v>
      </c>
      <c r="C554" t="s">
        <v>7453</v>
      </c>
      <c r="D554">
        <v>12.014462</v>
      </c>
    </row>
    <row r="555" spans="1:4">
      <c r="A555" t="s">
        <v>2172</v>
      </c>
      <c r="B555" t="s">
        <v>7288</v>
      </c>
      <c r="C555" t="s">
        <v>397</v>
      </c>
      <c r="D555">
        <v>360.551515</v>
      </c>
    </row>
    <row r="556" spans="1:4">
      <c r="A556" t="s">
        <v>2173</v>
      </c>
      <c r="B556" t="s">
        <v>7288</v>
      </c>
      <c r="C556" t="s">
        <v>7319</v>
      </c>
      <c r="D556">
        <v>84.27921000000001</v>
      </c>
    </row>
    <row r="557" spans="1:4">
      <c r="A557" t="s">
        <v>2174</v>
      </c>
      <c r="B557" t="s">
        <v>7288</v>
      </c>
      <c r="C557" t="s">
        <v>7320</v>
      </c>
      <c r="D557">
        <v>4.870576</v>
      </c>
    </row>
    <row r="558" spans="1:4">
      <c r="A558" t="s">
        <v>2175</v>
      </c>
      <c r="B558" t="s">
        <v>7288</v>
      </c>
      <c r="C558" t="s">
        <v>7321</v>
      </c>
      <c r="D558">
        <v>3.779353</v>
      </c>
    </row>
    <row r="559" spans="1:4">
      <c r="A559" t="s">
        <v>2176</v>
      </c>
      <c r="B559" t="s">
        <v>7288</v>
      </c>
      <c r="C559" t="s">
        <v>7322</v>
      </c>
      <c r="D559">
        <v>0.8423659999999999</v>
      </c>
    </row>
    <row r="560" spans="1:4">
      <c r="A560" t="s">
        <v>2177</v>
      </c>
      <c r="B560" t="s">
        <v>7288</v>
      </c>
      <c r="C560" t="s">
        <v>7323</v>
      </c>
      <c r="D560">
        <v>172.913615</v>
      </c>
    </row>
    <row r="561" spans="1:4">
      <c r="A561" t="s">
        <v>2178</v>
      </c>
      <c r="B561" t="s">
        <v>7288</v>
      </c>
      <c r="C561" t="s">
        <v>7324</v>
      </c>
      <c r="D561">
        <v>0.328548</v>
      </c>
    </row>
    <row r="562" spans="1:4">
      <c r="A562" t="s">
        <v>2179</v>
      </c>
      <c r="B562" t="s">
        <v>7288</v>
      </c>
      <c r="C562" t="s">
        <v>7325</v>
      </c>
      <c r="D562">
        <v>0.221879</v>
      </c>
    </row>
    <row r="563" spans="1:4">
      <c r="A563" t="s">
        <v>2180</v>
      </c>
      <c r="B563" t="s">
        <v>7288</v>
      </c>
      <c r="C563" t="s">
        <v>7292</v>
      </c>
      <c r="D563">
        <v>221.740717</v>
      </c>
    </row>
    <row r="564" spans="1:4">
      <c r="A564" t="s">
        <v>2181</v>
      </c>
      <c r="B564" t="s">
        <v>7288</v>
      </c>
      <c r="C564" t="s">
        <v>7326</v>
      </c>
      <c r="D564">
        <v>172.913615</v>
      </c>
    </row>
    <row r="565" spans="1:4">
      <c r="A565" t="s">
        <v>2182</v>
      </c>
      <c r="B565" t="s">
        <v>7288</v>
      </c>
      <c r="C565" t="s">
        <v>7327</v>
      </c>
      <c r="D565">
        <v>182.379413</v>
      </c>
    </row>
    <row r="566" spans="1:4">
      <c r="A566" t="s">
        <v>2183</v>
      </c>
      <c r="B566" t="s">
        <v>7288</v>
      </c>
      <c r="C566" t="s">
        <v>7328</v>
      </c>
      <c r="D566">
        <v>184.347062</v>
      </c>
    </row>
    <row r="567" spans="1:4">
      <c r="A567" t="s">
        <v>2184</v>
      </c>
      <c r="B567" t="s">
        <v>7288</v>
      </c>
      <c r="C567" t="s">
        <v>7329</v>
      </c>
      <c r="D567">
        <v>154.757685</v>
      </c>
    </row>
    <row r="568" spans="1:4">
      <c r="A568" t="s">
        <v>2185</v>
      </c>
      <c r="B568" t="s">
        <v>7288</v>
      </c>
      <c r="C568" t="s">
        <v>7330</v>
      </c>
      <c r="D568">
        <v>2.51881</v>
      </c>
    </row>
    <row r="569" spans="1:4">
      <c r="A569" t="s">
        <v>2186</v>
      </c>
      <c r="B569" t="s">
        <v>7288</v>
      </c>
      <c r="C569" t="s">
        <v>398</v>
      </c>
      <c r="D569">
        <v>184.347062</v>
      </c>
    </row>
    <row r="570" spans="1:4">
      <c r="A570" t="s">
        <v>2187</v>
      </c>
      <c r="B570" t="s">
        <v>7288</v>
      </c>
      <c r="C570" t="s">
        <v>7331</v>
      </c>
      <c r="D570">
        <v>823.178854</v>
      </c>
    </row>
    <row r="571" spans="1:4">
      <c r="A571" t="s">
        <v>2188</v>
      </c>
      <c r="B571" t="s">
        <v>7288</v>
      </c>
      <c r="C571" t="s">
        <v>7332</v>
      </c>
      <c r="D571">
        <v>0.103966</v>
      </c>
    </row>
    <row r="572" spans="1:4">
      <c r="A572" t="s">
        <v>2189</v>
      </c>
      <c r="B572" t="s">
        <v>7288</v>
      </c>
      <c r="C572" t="s">
        <v>7333</v>
      </c>
      <c r="D572">
        <v>309.515504</v>
      </c>
    </row>
    <row r="573" spans="1:4">
      <c r="A573" t="s">
        <v>2190</v>
      </c>
      <c r="B573" t="s">
        <v>7288</v>
      </c>
      <c r="C573" t="s">
        <v>7334</v>
      </c>
      <c r="D573">
        <v>242.042774</v>
      </c>
    </row>
    <row r="574" spans="1:4">
      <c r="A574" t="s">
        <v>2191</v>
      </c>
      <c r="B574" t="s">
        <v>7288</v>
      </c>
      <c r="C574" t="s">
        <v>7335</v>
      </c>
      <c r="D574">
        <v>44.711815</v>
      </c>
    </row>
    <row r="575" spans="1:4">
      <c r="A575" t="s">
        <v>2192</v>
      </c>
      <c r="B575" t="s">
        <v>7288</v>
      </c>
      <c r="C575" t="s">
        <v>7293</v>
      </c>
      <c r="D575">
        <v>61.403613</v>
      </c>
    </row>
    <row r="576" spans="1:4">
      <c r="A576" t="s">
        <v>2193</v>
      </c>
      <c r="B576" t="s">
        <v>7288</v>
      </c>
      <c r="C576" t="s">
        <v>7336</v>
      </c>
      <c r="D576">
        <v>309.515504</v>
      </c>
    </row>
    <row r="577" spans="1:4">
      <c r="A577" t="s">
        <v>2194</v>
      </c>
      <c r="B577" t="s">
        <v>7288</v>
      </c>
      <c r="C577" t="s">
        <v>7337</v>
      </c>
      <c r="D577">
        <v>3.215219</v>
      </c>
    </row>
    <row r="578" spans="1:4">
      <c r="A578" t="s">
        <v>2195</v>
      </c>
      <c r="B578" t="s">
        <v>7288</v>
      </c>
      <c r="C578" t="s">
        <v>7338</v>
      </c>
      <c r="D578">
        <v>22.049572</v>
      </c>
    </row>
    <row r="579" spans="1:4">
      <c r="A579" t="s">
        <v>2196</v>
      </c>
      <c r="B579" t="s">
        <v>7288</v>
      </c>
      <c r="C579" t="s">
        <v>7339</v>
      </c>
      <c r="D579">
        <v>112.473341</v>
      </c>
    </row>
    <row r="580" spans="1:4">
      <c r="A580" t="s">
        <v>2197</v>
      </c>
      <c r="B580" t="s">
        <v>7288</v>
      </c>
      <c r="C580" t="s">
        <v>7340</v>
      </c>
      <c r="D580">
        <v>154.757685</v>
      </c>
    </row>
    <row r="581" spans="1:4">
      <c r="A581" t="s">
        <v>2198</v>
      </c>
      <c r="B581" t="s">
        <v>7288</v>
      </c>
      <c r="C581" t="s">
        <v>7294</v>
      </c>
      <c r="D581">
        <v>225.242634</v>
      </c>
    </row>
    <row r="582" spans="1:4">
      <c r="A582" t="s">
        <v>2199</v>
      </c>
      <c r="B582" t="s">
        <v>7288</v>
      </c>
      <c r="C582" t="s">
        <v>7341</v>
      </c>
      <c r="D582">
        <v>0.135511</v>
      </c>
    </row>
    <row r="583" spans="1:4">
      <c r="A583" t="s">
        <v>2200</v>
      </c>
      <c r="B583" t="s">
        <v>7288</v>
      </c>
      <c r="C583" t="s">
        <v>7295</v>
      </c>
      <c r="D583">
        <v>394.287977</v>
      </c>
    </row>
    <row r="584" spans="1:4">
      <c r="A584" t="s">
        <v>2201</v>
      </c>
      <c r="B584" t="s">
        <v>7288</v>
      </c>
      <c r="C584" t="s">
        <v>7342</v>
      </c>
      <c r="D584">
        <v>13474.027991</v>
      </c>
    </row>
    <row r="585" spans="1:4">
      <c r="A585" t="s">
        <v>2202</v>
      </c>
      <c r="B585" t="s">
        <v>7288</v>
      </c>
      <c r="C585" t="s">
        <v>7343</v>
      </c>
      <c r="D585">
        <v>0.340888</v>
      </c>
    </row>
    <row r="586" spans="1:4">
      <c r="A586" t="s">
        <v>2203</v>
      </c>
      <c r="B586" t="s">
        <v>7288</v>
      </c>
      <c r="C586" t="s">
        <v>7344</v>
      </c>
      <c r="D586">
        <v>45.516963</v>
      </c>
    </row>
    <row r="587" spans="1:4">
      <c r="A587" t="s">
        <v>2204</v>
      </c>
      <c r="B587" t="s">
        <v>7288</v>
      </c>
      <c r="C587" t="s">
        <v>7296</v>
      </c>
      <c r="D587">
        <v>45.480424</v>
      </c>
    </row>
    <row r="588" spans="1:4">
      <c r="A588" t="s">
        <v>2205</v>
      </c>
      <c r="B588" t="s">
        <v>7288</v>
      </c>
      <c r="C588" t="s">
        <v>7345</v>
      </c>
      <c r="D588">
        <v>0.081708</v>
      </c>
    </row>
    <row r="589" spans="1:4">
      <c r="A589" t="s">
        <v>2206</v>
      </c>
      <c r="B589" t="s">
        <v>7288</v>
      </c>
      <c r="C589" t="s">
        <v>7346</v>
      </c>
      <c r="D589">
        <v>0.680964</v>
      </c>
    </row>
    <row r="590" spans="1:4">
      <c r="A590" t="s">
        <v>2207</v>
      </c>
      <c r="B590" t="s">
        <v>7288</v>
      </c>
      <c r="C590" t="s">
        <v>7347</v>
      </c>
      <c r="D590">
        <v>12.896477</v>
      </c>
    </row>
    <row r="591" spans="1:4">
      <c r="A591" t="s">
        <v>2208</v>
      </c>
      <c r="B591" t="s">
        <v>7288</v>
      </c>
      <c r="C591" t="s">
        <v>7348</v>
      </c>
      <c r="D591">
        <v>3.269864</v>
      </c>
    </row>
    <row r="592" spans="1:4">
      <c r="A592" t="s">
        <v>2209</v>
      </c>
      <c r="B592" t="s">
        <v>7288</v>
      </c>
      <c r="C592" t="s">
        <v>7297</v>
      </c>
      <c r="D592">
        <v>14.828112</v>
      </c>
    </row>
    <row r="593" spans="1:4">
      <c r="A593" t="s">
        <v>2210</v>
      </c>
      <c r="B593" t="s">
        <v>7288</v>
      </c>
      <c r="C593" t="s">
        <v>7349</v>
      </c>
      <c r="D593">
        <v>1.741581</v>
      </c>
    </row>
    <row r="594" spans="1:4">
      <c r="A594" t="s">
        <v>2211</v>
      </c>
      <c r="B594" t="s">
        <v>7288</v>
      </c>
      <c r="C594" t="s">
        <v>7298</v>
      </c>
      <c r="D594">
        <v>48.310048</v>
      </c>
    </row>
    <row r="595" spans="1:4">
      <c r="A595" t="s">
        <v>2212</v>
      </c>
      <c r="B595" t="s">
        <v>7288</v>
      </c>
      <c r="C595" t="s">
        <v>7350</v>
      </c>
      <c r="D595">
        <v>5.202512</v>
      </c>
    </row>
    <row r="596" spans="1:4">
      <c r="A596" t="s">
        <v>2213</v>
      </c>
      <c r="B596" t="s">
        <v>7288</v>
      </c>
      <c r="C596" t="s">
        <v>7351</v>
      </c>
      <c r="D596">
        <v>2.338666</v>
      </c>
    </row>
    <row r="597" spans="1:4">
      <c r="A597" t="s">
        <v>2214</v>
      </c>
      <c r="B597" t="s">
        <v>7288</v>
      </c>
      <c r="C597" t="s">
        <v>7352</v>
      </c>
      <c r="D597">
        <v>5.81113</v>
      </c>
    </row>
    <row r="598" spans="1:4">
      <c r="A598" t="s">
        <v>2215</v>
      </c>
      <c r="B598" t="s">
        <v>7288</v>
      </c>
      <c r="C598" t="s">
        <v>7353</v>
      </c>
      <c r="D598">
        <v>20.634362</v>
      </c>
    </row>
    <row r="599" spans="1:4">
      <c r="A599" t="s">
        <v>2216</v>
      </c>
      <c r="B599" t="s">
        <v>7288</v>
      </c>
      <c r="C599" t="s">
        <v>7354</v>
      </c>
      <c r="D599">
        <v>1.963837</v>
      </c>
    </row>
    <row r="600" spans="1:4">
      <c r="A600" t="s">
        <v>2217</v>
      </c>
      <c r="B600" t="s">
        <v>7288</v>
      </c>
      <c r="C600" t="s">
        <v>7355</v>
      </c>
      <c r="D600">
        <v>141.014776</v>
      </c>
    </row>
    <row r="601" spans="1:4">
      <c r="A601" t="s">
        <v>2218</v>
      </c>
      <c r="B601" t="s">
        <v>7288</v>
      </c>
      <c r="C601" t="s">
        <v>7356</v>
      </c>
      <c r="D601">
        <v>415.016161</v>
      </c>
    </row>
    <row r="602" spans="1:4">
      <c r="A602" t="s">
        <v>2219</v>
      </c>
      <c r="B602" t="s">
        <v>7288</v>
      </c>
      <c r="C602" t="s">
        <v>7357</v>
      </c>
      <c r="D602">
        <v>48.310061</v>
      </c>
    </row>
    <row r="603" spans="1:4">
      <c r="A603" t="s">
        <v>2220</v>
      </c>
      <c r="B603" t="s">
        <v>7288</v>
      </c>
      <c r="C603" t="s">
        <v>7299</v>
      </c>
      <c r="D603">
        <v>415.017116</v>
      </c>
    </row>
    <row r="604" spans="1:4">
      <c r="A604" t="s">
        <v>2221</v>
      </c>
      <c r="B604" t="s">
        <v>7288</v>
      </c>
      <c r="C604" t="s">
        <v>7358</v>
      </c>
      <c r="D604">
        <v>115.92685</v>
      </c>
    </row>
    <row r="605" spans="1:4">
      <c r="A605" t="s">
        <v>2222</v>
      </c>
      <c r="B605" t="s">
        <v>7288</v>
      </c>
      <c r="C605" t="s">
        <v>7359</v>
      </c>
      <c r="D605">
        <v>415.016161</v>
      </c>
    </row>
    <row r="606" spans="1:4">
      <c r="A606" t="s">
        <v>2223</v>
      </c>
      <c r="B606" t="s">
        <v>7288</v>
      </c>
      <c r="C606" t="s">
        <v>7360</v>
      </c>
      <c r="D606">
        <v>27.059859</v>
      </c>
    </row>
    <row r="607" spans="1:4">
      <c r="A607" t="s">
        <v>2224</v>
      </c>
      <c r="B607" t="s">
        <v>7288</v>
      </c>
      <c r="C607" t="s">
        <v>7361</v>
      </c>
      <c r="D607">
        <v>415.016161</v>
      </c>
    </row>
    <row r="608" spans="1:4">
      <c r="A608" t="s">
        <v>2225</v>
      </c>
      <c r="B608" t="s">
        <v>7288</v>
      </c>
      <c r="C608" t="s">
        <v>7362</v>
      </c>
      <c r="D608">
        <v>4.175084</v>
      </c>
    </row>
    <row r="609" spans="1:4">
      <c r="A609" t="s">
        <v>2226</v>
      </c>
      <c r="B609" t="s">
        <v>7288</v>
      </c>
      <c r="C609" t="s">
        <v>7363</v>
      </c>
      <c r="D609">
        <v>0.035326</v>
      </c>
    </row>
    <row r="610" spans="1:4">
      <c r="A610" t="s">
        <v>2227</v>
      </c>
      <c r="B610" t="s">
        <v>7288</v>
      </c>
      <c r="C610" t="s">
        <v>7364</v>
      </c>
      <c r="D610">
        <v>40.651728</v>
      </c>
    </row>
    <row r="611" spans="1:4">
      <c r="A611" t="s">
        <v>2228</v>
      </c>
      <c r="B611" t="s">
        <v>7288</v>
      </c>
      <c r="C611" t="s">
        <v>7365</v>
      </c>
      <c r="D611">
        <v>1.483539</v>
      </c>
    </row>
    <row r="612" spans="1:4">
      <c r="A612" t="s">
        <v>2229</v>
      </c>
      <c r="B612" t="s">
        <v>7288</v>
      </c>
      <c r="C612" t="s">
        <v>7300</v>
      </c>
      <c r="D612">
        <v>39.516366</v>
      </c>
    </row>
    <row r="613" spans="1:4">
      <c r="A613" t="s">
        <v>2230</v>
      </c>
      <c r="B613" t="s">
        <v>7288</v>
      </c>
      <c r="C613" t="s">
        <v>7366</v>
      </c>
      <c r="D613">
        <v>11.655318</v>
      </c>
    </row>
    <row r="614" spans="1:4">
      <c r="A614" t="s">
        <v>2231</v>
      </c>
      <c r="B614" t="s">
        <v>7288</v>
      </c>
      <c r="C614" t="s">
        <v>7367</v>
      </c>
      <c r="D614">
        <v>47.85341</v>
      </c>
    </row>
    <row r="615" spans="1:4">
      <c r="A615" t="s">
        <v>2232</v>
      </c>
      <c r="B615" t="s">
        <v>7288</v>
      </c>
      <c r="C615" t="s">
        <v>7368</v>
      </c>
      <c r="D615">
        <v>2.370426</v>
      </c>
    </row>
    <row r="616" spans="1:4">
      <c r="A616" t="s">
        <v>2233</v>
      </c>
      <c r="B616" t="s">
        <v>7288</v>
      </c>
      <c r="C616" t="s">
        <v>7301</v>
      </c>
      <c r="D616">
        <v>0.017532</v>
      </c>
    </row>
    <row r="617" spans="1:4">
      <c r="A617" t="s">
        <v>2234</v>
      </c>
      <c r="B617" t="s">
        <v>7288</v>
      </c>
      <c r="C617" t="s">
        <v>7302</v>
      </c>
      <c r="D617">
        <v>106.556347</v>
      </c>
    </row>
    <row r="618" spans="1:4">
      <c r="A618" t="s">
        <v>2235</v>
      </c>
      <c r="B618" t="s">
        <v>7288</v>
      </c>
      <c r="C618" t="s">
        <v>7369</v>
      </c>
      <c r="D618">
        <v>415.016161</v>
      </c>
    </row>
    <row r="619" spans="1:4">
      <c r="A619" t="s">
        <v>2236</v>
      </c>
      <c r="B619" t="s">
        <v>7288</v>
      </c>
      <c r="C619" t="s">
        <v>7303</v>
      </c>
      <c r="D619">
        <v>3.215209</v>
      </c>
    </row>
    <row r="620" spans="1:4">
      <c r="A620" t="s">
        <v>2237</v>
      </c>
      <c r="B620" t="s">
        <v>7288</v>
      </c>
      <c r="C620" t="s">
        <v>7370</v>
      </c>
      <c r="D620">
        <v>0.236638</v>
      </c>
    </row>
    <row r="621" spans="1:4">
      <c r="A621" t="s">
        <v>2238</v>
      </c>
      <c r="B621" t="s">
        <v>7288</v>
      </c>
      <c r="C621" t="s">
        <v>7371</v>
      </c>
      <c r="D621">
        <v>0.000239</v>
      </c>
    </row>
    <row r="622" spans="1:4">
      <c r="A622" t="s">
        <v>2239</v>
      </c>
      <c r="B622" t="s">
        <v>7288</v>
      </c>
      <c r="C622" t="s">
        <v>7304</v>
      </c>
      <c r="D622">
        <v>2.513923</v>
      </c>
    </row>
    <row r="623" spans="1:4">
      <c r="A623" t="s">
        <v>2240</v>
      </c>
      <c r="B623" t="s">
        <v>7288</v>
      </c>
      <c r="C623" t="s">
        <v>7372</v>
      </c>
      <c r="D623">
        <v>415.016161</v>
      </c>
    </row>
    <row r="624" spans="1:4">
      <c r="A624" t="s">
        <v>2241</v>
      </c>
      <c r="B624" t="s">
        <v>7288</v>
      </c>
      <c r="C624" t="s">
        <v>7373</v>
      </c>
      <c r="D624">
        <v>1.961935</v>
      </c>
    </row>
    <row r="625" spans="1:4">
      <c r="A625" t="s">
        <v>2242</v>
      </c>
      <c r="B625" t="s">
        <v>7288</v>
      </c>
      <c r="C625" t="s">
        <v>7374</v>
      </c>
      <c r="D625">
        <v>436.552197</v>
      </c>
    </row>
    <row r="626" spans="1:4">
      <c r="A626" t="s">
        <v>2243</v>
      </c>
      <c r="B626" t="s">
        <v>7288</v>
      </c>
      <c r="C626" t="s">
        <v>7305</v>
      </c>
      <c r="D626">
        <v>1.948845</v>
      </c>
    </row>
    <row r="627" spans="1:4">
      <c r="A627" t="s">
        <v>2244</v>
      </c>
      <c r="B627" t="s">
        <v>7288</v>
      </c>
      <c r="C627" t="s">
        <v>7375</v>
      </c>
      <c r="D627">
        <v>2.393375</v>
      </c>
    </row>
    <row r="628" spans="1:4">
      <c r="A628" t="s">
        <v>2245</v>
      </c>
      <c r="B628" t="s">
        <v>7288</v>
      </c>
      <c r="C628" t="s">
        <v>7376</v>
      </c>
      <c r="D628">
        <v>3.54385</v>
      </c>
    </row>
    <row r="629" spans="1:4">
      <c r="A629" t="s">
        <v>2246</v>
      </c>
      <c r="B629" t="s">
        <v>7288</v>
      </c>
      <c r="C629" t="s">
        <v>7377</v>
      </c>
      <c r="D629">
        <v>0.07685699999999999</v>
      </c>
    </row>
    <row r="630" spans="1:4">
      <c r="A630" t="s">
        <v>2247</v>
      </c>
      <c r="B630" t="s">
        <v>7288</v>
      </c>
      <c r="C630" t="s">
        <v>7378</v>
      </c>
      <c r="D630">
        <v>221.740854</v>
      </c>
    </row>
    <row r="631" spans="1:4">
      <c r="A631" t="s">
        <v>2248</v>
      </c>
      <c r="B631" t="s">
        <v>7288</v>
      </c>
      <c r="C631" t="s">
        <v>7379</v>
      </c>
      <c r="D631">
        <v>0.732876</v>
      </c>
    </row>
    <row r="632" spans="1:4">
      <c r="A632" t="s">
        <v>2249</v>
      </c>
      <c r="B632" t="s">
        <v>7288</v>
      </c>
      <c r="C632" t="s">
        <v>7306</v>
      </c>
      <c r="D632">
        <v>0.206853</v>
      </c>
    </row>
    <row r="633" spans="1:4">
      <c r="A633" t="s">
        <v>2250</v>
      </c>
      <c r="B633" t="s">
        <v>7288</v>
      </c>
      <c r="C633" t="s">
        <v>7380</v>
      </c>
      <c r="D633">
        <v>1006.112593</v>
      </c>
    </row>
    <row r="634" spans="1:4">
      <c r="A634" t="s">
        <v>2251</v>
      </c>
      <c r="B634" t="s">
        <v>7288</v>
      </c>
      <c r="C634" t="s">
        <v>7381</v>
      </c>
      <c r="D634">
        <v>371.418859</v>
      </c>
    </row>
    <row r="635" spans="1:4">
      <c r="A635" t="s">
        <v>2252</v>
      </c>
      <c r="B635" t="s">
        <v>7288</v>
      </c>
      <c r="C635" t="s">
        <v>7382</v>
      </c>
      <c r="D635">
        <v>0.661531</v>
      </c>
    </row>
    <row r="636" spans="1:4">
      <c r="A636" t="s">
        <v>2253</v>
      </c>
      <c r="B636" t="s">
        <v>7288</v>
      </c>
      <c r="C636" t="s">
        <v>7383</v>
      </c>
      <c r="D636">
        <v>0.014204</v>
      </c>
    </row>
    <row r="637" spans="1:4">
      <c r="A637" t="s">
        <v>2254</v>
      </c>
      <c r="B637" t="s">
        <v>7288</v>
      </c>
      <c r="C637" t="s">
        <v>7384</v>
      </c>
      <c r="D637">
        <v>0.003458</v>
      </c>
    </row>
    <row r="638" spans="1:4">
      <c r="A638" t="s">
        <v>2255</v>
      </c>
      <c r="B638" t="s">
        <v>7288</v>
      </c>
      <c r="C638" t="s">
        <v>7385</v>
      </c>
      <c r="D638">
        <v>0.944975</v>
      </c>
    </row>
    <row r="639" spans="1:4">
      <c r="A639" t="s">
        <v>2256</v>
      </c>
      <c r="B639" t="s">
        <v>7288</v>
      </c>
      <c r="C639" t="s">
        <v>7386</v>
      </c>
      <c r="D639">
        <v>1.693152</v>
      </c>
    </row>
    <row r="640" spans="1:4">
      <c r="A640" t="s">
        <v>2257</v>
      </c>
      <c r="B640" t="s">
        <v>7288</v>
      </c>
      <c r="C640" t="s">
        <v>7387</v>
      </c>
      <c r="D640">
        <v>18.646505</v>
      </c>
    </row>
    <row r="641" spans="1:4">
      <c r="A641" t="s">
        <v>2258</v>
      </c>
      <c r="B641" t="s">
        <v>7288</v>
      </c>
      <c r="C641" t="s">
        <v>7388</v>
      </c>
      <c r="D641">
        <v>48.864753</v>
      </c>
    </row>
    <row r="642" spans="1:4">
      <c r="A642" t="s">
        <v>2259</v>
      </c>
      <c r="B642" t="s">
        <v>7288</v>
      </c>
      <c r="C642" t="s">
        <v>7389</v>
      </c>
      <c r="D642">
        <v>33.639323</v>
      </c>
    </row>
    <row r="643" spans="1:4">
      <c r="A643" t="s">
        <v>2260</v>
      </c>
      <c r="B643" t="s">
        <v>7288</v>
      </c>
      <c r="C643" t="s">
        <v>7390</v>
      </c>
      <c r="D643">
        <v>17.982142</v>
      </c>
    </row>
    <row r="644" spans="1:4">
      <c r="A644" t="s">
        <v>2261</v>
      </c>
      <c r="B644" t="s">
        <v>7288</v>
      </c>
      <c r="C644" t="s">
        <v>7391</v>
      </c>
      <c r="D644">
        <v>0.073861</v>
      </c>
    </row>
    <row r="645" spans="1:4">
      <c r="A645" t="s">
        <v>2262</v>
      </c>
      <c r="B645" t="s">
        <v>7288</v>
      </c>
      <c r="C645" t="s">
        <v>7392</v>
      </c>
      <c r="D645">
        <v>5.844144</v>
      </c>
    </row>
    <row r="646" spans="1:4">
      <c r="A646" t="s">
        <v>2263</v>
      </c>
      <c r="B646" t="s">
        <v>7288</v>
      </c>
      <c r="C646" t="s">
        <v>7393</v>
      </c>
      <c r="D646">
        <v>0.147649</v>
      </c>
    </row>
    <row r="647" spans="1:4">
      <c r="A647" t="s">
        <v>2264</v>
      </c>
      <c r="B647" t="s">
        <v>7288</v>
      </c>
      <c r="C647" t="s">
        <v>7394</v>
      </c>
      <c r="D647">
        <v>0.087059</v>
      </c>
    </row>
    <row r="648" spans="1:4">
      <c r="A648" t="s">
        <v>2265</v>
      </c>
      <c r="B648" t="s">
        <v>7288</v>
      </c>
      <c r="C648" t="s">
        <v>7395</v>
      </c>
      <c r="D648">
        <v>38.365421</v>
      </c>
    </row>
    <row r="649" spans="1:4">
      <c r="A649" t="s">
        <v>2266</v>
      </c>
      <c r="B649" t="s">
        <v>7288</v>
      </c>
      <c r="C649" t="s">
        <v>7396</v>
      </c>
      <c r="D649">
        <v>7.745347</v>
      </c>
    </row>
    <row r="650" spans="1:4">
      <c r="A650" t="s">
        <v>2267</v>
      </c>
      <c r="B650" t="s">
        <v>7288</v>
      </c>
      <c r="C650" t="s">
        <v>7397</v>
      </c>
      <c r="D650">
        <v>6.55722</v>
      </c>
    </row>
    <row r="651" spans="1:4">
      <c r="A651" t="s">
        <v>2268</v>
      </c>
      <c r="B651" t="s">
        <v>7288</v>
      </c>
      <c r="C651" t="s">
        <v>7398</v>
      </c>
      <c r="D651">
        <v>20.05793</v>
      </c>
    </row>
    <row r="652" spans="1:4">
      <c r="A652" t="s">
        <v>2269</v>
      </c>
      <c r="B652" t="s">
        <v>7288</v>
      </c>
      <c r="C652" t="s">
        <v>7399</v>
      </c>
      <c r="D652">
        <v>0.177656</v>
      </c>
    </row>
    <row r="653" spans="1:4">
      <c r="A653" t="s">
        <v>2270</v>
      </c>
      <c r="B653" t="s">
        <v>7288</v>
      </c>
      <c r="C653" t="s">
        <v>7307</v>
      </c>
      <c r="D653">
        <v>17.90637</v>
      </c>
    </row>
    <row r="654" spans="1:4">
      <c r="A654" t="s">
        <v>2271</v>
      </c>
      <c r="B654" t="s">
        <v>7288</v>
      </c>
      <c r="C654" t="s">
        <v>7308</v>
      </c>
      <c r="D654">
        <v>77.895644</v>
      </c>
    </row>
    <row r="655" spans="1:4">
      <c r="A655" t="s">
        <v>2272</v>
      </c>
      <c r="B655" t="s">
        <v>7288</v>
      </c>
      <c r="C655" t="s">
        <v>7400</v>
      </c>
      <c r="D655">
        <v>4.844213</v>
      </c>
    </row>
    <row r="656" spans="1:4">
      <c r="A656" t="s">
        <v>2273</v>
      </c>
      <c r="B656" t="s">
        <v>7288</v>
      </c>
      <c r="C656" t="s">
        <v>7401</v>
      </c>
      <c r="D656">
        <v>18.646505</v>
      </c>
    </row>
    <row r="657" spans="1:4">
      <c r="A657" t="s">
        <v>2274</v>
      </c>
      <c r="B657" t="s">
        <v>7288</v>
      </c>
      <c r="C657" t="s">
        <v>7402</v>
      </c>
      <c r="D657">
        <v>0.227529</v>
      </c>
    </row>
    <row r="658" spans="1:4">
      <c r="A658" t="s">
        <v>2275</v>
      </c>
      <c r="B658" t="s">
        <v>7288</v>
      </c>
      <c r="C658" t="s">
        <v>7403</v>
      </c>
      <c r="D658">
        <v>8.427559</v>
      </c>
    </row>
    <row r="659" spans="1:4">
      <c r="A659" t="s">
        <v>2276</v>
      </c>
      <c r="B659" t="s">
        <v>7288</v>
      </c>
      <c r="C659" t="s">
        <v>7309</v>
      </c>
      <c r="D659">
        <v>33.394811</v>
      </c>
    </row>
    <row r="660" spans="1:4">
      <c r="A660" t="s">
        <v>2277</v>
      </c>
      <c r="B660" t="s">
        <v>7288</v>
      </c>
      <c r="C660" t="s">
        <v>7404</v>
      </c>
      <c r="D660">
        <v>2.009512</v>
      </c>
    </row>
    <row r="661" spans="1:4">
      <c r="A661" t="s">
        <v>2278</v>
      </c>
      <c r="B661" t="s">
        <v>7288</v>
      </c>
      <c r="C661" t="s">
        <v>7310</v>
      </c>
      <c r="D661">
        <v>181.693604</v>
      </c>
    </row>
    <row r="662" spans="1:4">
      <c r="A662" t="s">
        <v>2279</v>
      </c>
      <c r="B662" t="s">
        <v>7288</v>
      </c>
      <c r="C662" t="s">
        <v>7405</v>
      </c>
      <c r="D662">
        <v>804.987564</v>
      </c>
    </row>
    <row r="663" spans="1:4">
      <c r="A663" t="s">
        <v>2280</v>
      </c>
      <c r="B663" t="s">
        <v>7288</v>
      </c>
      <c r="C663" t="s">
        <v>7406</v>
      </c>
      <c r="D663">
        <v>309.515504</v>
      </c>
    </row>
    <row r="664" spans="1:4">
      <c r="A664" t="s">
        <v>2281</v>
      </c>
      <c r="B664" t="s">
        <v>7288</v>
      </c>
      <c r="C664" t="s">
        <v>7407</v>
      </c>
      <c r="D664">
        <v>90.31462399999999</v>
      </c>
    </row>
    <row r="665" spans="1:4">
      <c r="A665" t="s">
        <v>2282</v>
      </c>
      <c r="B665" t="s">
        <v>7288</v>
      </c>
      <c r="C665" t="s">
        <v>7408</v>
      </c>
      <c r="D665">
        <v>71.07114300000001</v>
      </c>
    </row>
    <row r="666" spans="1:4">
      <c r="A666" t="s">
        <v>2283</v>
      </c>
      <c r="B666" t="s">
        <v>7288</v>
      </c>
      <c r="C666" t="s">
        <v>7311</v>
      </c>
      <c r="D666">
        <v>5.017391</v>
      </c>
    </row>
    <row r="667" spans="1:4">
      <c r="A667" t="s">
        <v>2284</v>
      </c>
      <c r="B667" t="s">
        <v>7288</v>
      </c>
      <c r="C667" t="s">
        <v>7409</v>
      </c>
      <c r="D667">
        <v>1.110489</v>
      </c>
    </row>
    <row r="668" spans="1:4">
      <c r="A668" t="s">
        <v>2285</v>
      </c>
      <c r="B668" t="s">
        <v>7288</v>
      </c>
      <c r="C668" t="s">
        <v>7312</v>
      </c>
      <c r="D668">
        <v>84.977954</v>
      </c>
    </row>
    <row r="669" spans="1:4">
      <c r="A669" t="s">
        <v>2286</v>
      </c>
      <c r="B669" t="s">
        <v>7288</v>
      </c>
      <c r="C669" t="s">
        <v>7410</v>
      </c>
      <c r="D669">
        <v>0.050752</v>
      </c>
    </row>
    <row r="670" spans="1:4">
      <c r="A670" t="s">
        <v>2287</v>
      </c>
      <c r="B670" t="s">
        <v>7288</v>
      </c>
      <c r="C670" t="s">
        <v>7411</v>
      </c>
      <c r="D670">
        <v>85.031704</v>
      </c>
    </row>
    <row r="671" spans="1:4">
      <c r="A671" t="s">
        <v>2288</v>
      </c>
      <c r="B671" t="s">
        <v>7288</v>
      </c>
      <c r="C671" t="s">
        <v>7313</v>
      </c>
      <c r="D671">
        <v>69.20704000000001</v>
      </c>
    </row>
    <row r="672" spans="1:4">
      <c r="A672" t="s">
        <v>2289</v>
      </c>
      <c r="B672" t="s">
        <v>7288</v>
      </c>
      <c r="C672" t="s">
        <v>7412</v>
      </c>
      <c r="D672">
        <v>3.071603</v>
      </c>
    </row>
    <row r="673" spans="1:4">
      <c r="A673" t="s">
        <v>2290</v>
      </c>
      <c r="B673" t="s">
        <v>7288</v>
      </c>
      <c r="C673" t="s">
        <v>7413</v>
      </c>
      <c r="D673">
        <v>4.269065</v>
      </c>
    </row>
    <row r="674" spans="1:4">
      <c r="A674" t="s">
        <v>2291</v>
      </c>
      <c r="B674" t="s">
        <v>7288</v>
      </c>
      <c r="C674" t="s">
        <v>7414</v>
      </c>
      <c r="D674">
        <v>0.211835</v>
      </c>
    </row>
    <row r="675" spans="1:4">
      <c r="A675" t="s">
        <v>2292</v>
      </c>
      <c r="B675" t="s">
        <v>7288</v>
      </c>
      <c r="C675" t="s">
        <v>7415</v>
      </c>
      <c r="D675">
        <v>82.537458</v>
      </c>
    </row>
    <row r="676" spans="1:4">
      <c r="A676" t="s">
        <v>2293</v>
      </c>
      <c r="B676" t="s">
        <v>7288</v>
      </c>
      <c r="C676" t="s">
        <v>7416</v>
      </c>
      <c r="D676">
        <v>39.066186</v>
      </c>
    </row>
    <row r="677" spans="1:4">
      <c r="A677" t="s">
        <v>2294</v>
      </c>
      <c r="B677" t="s">
        <v>7288</v>
      </c>
      <c r="C677" t="s">
        <v>7417</v>
      </c>
      <c r="D677">
        <v>20.910847</v>
      </c>
    </row>
    <row r="678" spans="1:4">
      <c r="A678" t="s">
        <v>2295</v>
      </c>
      <c r="B678" t="s">
        <v>7288</v>
      </c>
      <c r="C678" t="s">
        <v>7418</v>
      </c>
      <c r="D678">
        <v>0.693734</v>
      </c>
    </row>
    <row r="679" spans="1:4">
      <c r="A679" t="s">
        <v>2296</v>
      </c>
      <c r="B679" t="s">
        <v>7288</v>
      </c>
      <c r="C679" t="s">
        <v>7314</v>
      </c>
      <c r="D679">
        <v>32.955162</v>
      </c>
    </row>
    <row r="680" spans="1:4">
      <c r="A680" t="s">
        <v>2297</v>
      </c>
      <c r="B680" t="s">
        <v>7288</v>
      </c>
      <c r="C680" t="s">
        <v>7315</v>
      </c>
      <c r="D680">
        <v>242.042774</v>
      </c>
    </row>
    <row r="681" spans="1:4">
      <c r="A681" t="s">
        <v>2298</v>
      </c>
      <c r="B681" t="s">
        <v>7288</v>
      </c>
      <c r="C681" t="s">
        <v>7419</v>
      </c>
      <c r="D681">
        <v>415.016161</v>
      </c>
    </row>
    <row r="682" spans="1:4">
      <c r="A682" t="s">
        <v>2299</v>
      </c>
      <c r="B682" t="s">
        <v>7288</v>
      </c>
      <c r="C682" t="s">
        <v>7420</v>
      </c>
      <c r="D682">
        <v>12.595307</v>
      </c>
    </row>
    <row r="683" spans="1:4">
      <c r="A683" t="s">
        <v>2300</v>
      </c>
      <c r="B683" t="s">
        <v>7288</v>
      </c>
      <c r="C683" t="s">
        <v>7421</v>
      </c>
      <c r="D683">
        <v>0.012595</v>
      </c>
    </row>
    <row r="684" spans="1:4">
      <c r="A684" t="s">
        <v>2301</v>
      </c>
      <c r="B684" t="s">
        <v>7288</v>
      </c>
      <c r="C684" t="s">
        <v>7422</v>
      </c>
      <c r="D684">
        <v>0.543054</v>
      </c>
    </row>
    <row r="685" spans="1:4">
      <c r="A685" t="s">
        <v>2302</v>
      </c>
      <c r="B685" t="s">
        <v>7288</v>
      </c>
      <c r="C685" t="s">
        <v>7423</v>
      </c>
      <c r="D685">
        <v>8.353123</v>
      </c>
    </row>
    <row r="686" spans="1:4">
      <c r="A686" t="s">
        <v>2303</v>
      </c>
      <c r="B686" t="s">
        <v>7288</v>
      </c>
      <c r="C686" t="s">
        <v>7424</v>
      </c>
      <c r="D686">
        <v>0.06555900000000001</v>
      </c>
    </row>
    <row r="687" spans="1:4">
      <c r="A687" t="s">
        <v>2304</v>
      </c>
      <c r="B687" t="s">
        <v>7288</v>
      </c>
      <c r="C687" t="s">
        <v>7425</v>
      </c>
      <c r="D687">
        <v>14.716388</v>
      </c>
    </row>
    <row r="688" spans="1:4">
      <c r="A688" t="s">
        <v>2305</v>
      </c>
      <c r="B688" t="s">
        <v>7288</v>
      </c>
      <c r="C688" t="s">
        <v>7426</v>
      </c>
      <c r="D688">
        <v>2.761454</v>
      </c>
    </row>
    <row r="689" spans="1:4">
      <c r="A689" t="s">
        <v>2306</v>
      </c>
      <c r="B689" t="s">
        <v>7288</v>
      </c>
      <c r="C689" t="s">
        <v>7427</v>
      </c>
      <c r="D689">
        <v>18.646505</v>
      </c>
    </row>
    <row r="690" spans="1:4">
      <c r="A690" t="s">
        <v>2307</v>
      </c>
      <c r="B690" t="s">
        <v>7288</v>
      </c>
      <c r="C690" t="s">
        <v>7316</v>
      </c>
      <c r="D690">
        <v>9.508575</v>
      </c>
    </row>
    <row r="691" spans="1:4">
      <c r="A691" t="s">
        <v>2308</v>
      </c>
      <c r="B691" t="s">
        <v>7288</v>
      </c>
      <c r="C691" t="s">
        <v>7428</v>
      </c>
      <c r="D691">
        <v>33.266083</v>
      </c>
    </row>
    <row r="692" spans="1:4">
      <c r="A692" t="s">
        <v>2309</v>
      </c>
      <c r="B692" t="s">
        <v>7288</v>
      </c>
      <c r="C692" t="s">
        <v>7429</v>
      </c>
      <c r="D692">
        <v>88.559179</v>
      </c>
    </row>
    <row r="693" spans="1:4">
      <c r="A693" t="s">
        <v>2310</v>
      </c>
      <c r="B693" t="s">
        <v>7288</v>
      </c>
      <c r="C693" t="s">
        <v>7430</v>
      </c>
      <c r="D693">
        <v>106.736846</v>
      </c>
    </row>
    <row r="694" spans="1:4">
      <c r="A694" t="s">
        <v>2311</v>
      </c>
      <c r="B694" t="s">
        <v>7288</v>
      </c>
      <c r="C694" t="s">
        <v>7431</v>
      </c>
      <c r="D694">
        <v>132.508108</v>
      </c>
    </row>
    <row r="695" spans="1:4">
      <c r="A695" t="s">
        <v>2312</v>
      </c>
      <c r="B695" t="s">
        <v>7288</v>
      </c>
      <c r="C695" t="s">
        <v>7317</v>
      </c>
      <c r="D695">
        <v>6.786868</v>
      </c>
    </row>
    <row r="696" spans="1:4">
      <c r="A696" t="s">
        <v>2313</v>
      </c>
      <c r="B696" t="s">
        <v>7288</v>
      </c>
      <c r="C696" t="s">
        <v>7432</v>
      </c>
      <c r="D696">
        <v>43.37586</v>
      </c>
    </row>
    <row r="697" spans="1:4">
      <c r="A697" t="s">
        <v>2314</v>
      </c>
      <c r="B697" t="s">
        <v>7288</v>
      </c>
      <c r="C697" t="s">
        <v>7433</v>
      </c>
      <c r="D697">
        <v>221.740854</v>
      </c>
    </row>
    <row r="698" spans="1:4">
      <c r="A698" t="s">
        <v>2315</v>
      </c>
      <c r="B698" t="s">
        <v>7288</v>
      </c>
      <c r="C698" t="s">
        <v>7434</v>
      </c>
      <c r="D698">
        <v>9.812089</v>
      </c>
    </row>
    <row r="699" spans="1:4">
      <c r="A699" t="s">
        <v>2316</v>
      </c>
      <c r="B699" t="s">
        <v>7288</v>
      </c>
      <c r="C699" t="s">
        <v>7435</v>
      </c>
      <c r="D699">
        <v>0.119851</v>
      </c>
    </row>
    <row r="700" spans="1:4">
      <c r="A700" t="s">
        <v>2317</v>
      </c>
      <c r="B700" t="s">
        <v>7288</v>
      </c>
      <c r="C700" t="s">
        <v>7436</v>
      </c>
      <c r="D700">
        <v>7.019545</v>
      </c>
    </row>
    <row r="701" spans="1:4">
      <c r="A701" t="s">
        <v>2318</v>
      </c>
      <c r="B701" t="s">
        <v>7288</v>
      </c>
      <c r="C701" t="s">
        <v>7437</v>
      </c>
      <c r="D701">
        <v>0.08330700000000001</v>
      </c>
    </row>
    <row r="702" spans="1:4">
      <c r="A702" t="s">
        <v>2319</v>
      </c>
      <c r="B702" t="s">
        <v>7288</v>
      </c>
      <c r="C702" t="s">
        <v>399</v>
      </c>
      <c r="D702">
        <v>309.51205</v>
      </c>
    </row>
    <row r="703" spans="1:4">
      <c r="A703" t="s">
        <v>2320</v>
      </c>
      <c r="B703" t="s">
        <v>7288</v>
      </c>
      <c r="C703" t="s">
        <v>7438</v>
      </c>
      <c r="D703">
        <v>7.730789</v>
      </c>
    </row>
    <row r="704" spans="1:4">
      <c r="A704" t="s">
        <v>2321</v>
      </c>
      <c r="B704" t="s">
        <v>7288</v>
      </c>
      <c r="C704" t="s">
        <v>7439</v>
      </c>
      <c r="D704">
        <v>0.025925</v>
      </c>
    </row>
    <row r="705" spans="1:4">
      <c r="A705" t="s">
        <v>2322</v>
      </c>
      <c r="B705" t="s">
        <v>7288</v>
      </c>
      <c r="C705" t="s">
        <v>7440</v>
      </c>
      <c r="D705">
        <v>0.598736</v>
      </c>
    </row>
    <row r="706" spans="1:4">
      <c r="A706" t="s">
        <v>2323</v>
      </c>
      <c r="B706" t="s">
        <v>7288</v>
      </c>
      <c r="C706" t="s">
        <v>7441</v>
      </c>
      <c r="D706">
        <v>0.011843</v>
      </c>
    </row>
    <row r="707" spans="1:4">
      <c r="A707" t="s">
        <v>2324</v>
      </c>
      <c r="B707" t="s">
        <v>7288</v>
      </c>
      <c r="C707" t="s">
        <v>7442</v>
      </c>
      <c r="D707">
        <v>2.623177</v>
      </c>
    </row>
    <row r="708" spans="1:4">
      <c r="A708" t="s">
        <v>2325</v>
      </c>
      <c r="B708" t="s">
        <v>7288</v>
      </c>
      <c r="C708" t="s">
        <v>7443</v>
      </c>
      <c r="D708">
        <v>115.294248</v>
      </c>
    </row>
    <row r="709" spans="1:4">
      <c r="A709" t="s">
        <v>2326</v>
      </c>
      <c r="B709" t="s">
        <v>7288</v>
      </c>
      <c r="C709" t="s">
        <v>7444</v>
      </c>
      <c r="D709">
        <v>0.549657</v>
      </c>
    </row>
    <row r="710" spans="1:4">
      <c r="A710" t="s">
        <v>2327</v>
      </c>
      <c r="B710" t="s">
        <v>7288</v>
      </c>
      <c r="C710" t="s">
        <v>7445</v>
      </c>
      <c r="D710">
        <v>114.635335</v>
      </c>
    </row>
    <row r="711" spans="1:4">
      <c r="A711" t="s">
        <v>2328</v>
      </c>
      <c r="B711" t="s">
        <v>7288</v>
      </c>
      <c r="C711" t="s">
        <v>7446</v>
      </c>
      <c r="D711">
        <v>172.913615</v>
      </c>
    </row>
    <row r="712" spans="1:4">
      <c r="A712" t="s">
        <v>2329</v>
      </c>
      <c r="B712" t="s">
        <v>7288</v>
      </c>
      <c r="C712" t="s">
        <v>7447</v>
      </c>
      <c r="D712">
        <v>424.268597</v>
      </c>
    </row>
    <row r="713" spans="1:4">
      <c r="A713" t="s">
        <v>2330</v>
      </c>
      <c r="B713" t="s">
        <v>7288</v>
      </c>
      <c r="C713" t="s">
        <v>7448</v>
      </c>
      <c r="D713">
        <v>0.549657</v>
      </c>
    </row>
    <row r="714" spans="1:4">
      <c r="A714" t="s">
        <v>2331</v>
      </c>
      <c r="B714" t="s">
        <v>7288</v>
      </c>
      <c r="C714" t="s">
        <v>7449</v>
      </c>
      <c r="D714">
        <v>3.021415</v>
      </c>
    </row>
    <row r="715" spans="1:4">
      <c r="A715" t="s">
        <v>2332</v>
      </c>
      <c r="B715" t="s">
        <v>7288</v>
      </c>
      <c r="C715" t="s">
        <v>7450</v>
      </c>
      <c r="D715">
        <v>1.299821</v>
      </c>
    </row>
    <row r="716" spans="1:4">
      <c r="A716" t="s">
        <v>2333</v>
      </c>
      <c r="B716" t="s">
        <v>7288</v>
      </c>
      <c r="C716" t="s">
        <v>7318</v>
      </c>
      <c r="D716">
        <v>18.649263</v>
      </c>
    </row>
    <row r="717" spans="1:4">
      <c r="A717" t="s">
        <v>2334</v>
      </c>
      <c r="B717" t="s">
        <v>7288</v>
      </c>
      <c r="C717" t="s">
        <v>7451</v>
      </c>
      <c r="D717">
        <v>16.376162</v>
      </c>
    </row>
    <row r="718" spans="1:4">
      <c r="A718" t="s">
        <v>2335</v>
      </c>
      <c r="B718" t="s">
        <v>7288</v>
      </c>
      <c r="C718" t="s">
        <v>7452</v>
      </c>
      <c r="D718">
        <v>11.971098</v>
      </c>
    </row>
    <row r="719" spans="1:4">
      <c r="A719" t="s">
        <v>2336</v>
      </c>
      <c r="B719" t="s">
        <v>7288</v>
      </c>
      <c r="C719" t="s">
        <v>7453</v>
      </c>
      <c r="D719">
        <v>11.971098</v>
      </c>
    </row>
    <row r="720" spans="1:4">
      <c r="A720" t="s">
        <v>2337</v>
      </c>
      <c r="B720" t="s">
        <v>354</v>
      </c>
      <c r="C720" t="s">
        <v>397</v>
      </c>
      <c r="D720">
        <v>360.35444</v>
      </c>
    </row>
    <row r="721" spans="1:4">
      <c r="A721" t="s">
        <v>2338</v>
      </c>
      <c r="B721" t="s">
        <v>354</v>
      </c>
      <c r="C721" t="s">
        <v>7319</v>
      </c>
      <c r="D721">
        <v>84.502211</v>
      </c>
    </row>
    <row r="722" spans="1:4">
      <c r="A722" t="s">
        <v>2339</v>
      </c>
      <c r="B722" t="s">
        <v>354</v>
      </c>
      <c r="C722" t="s">
        <v>7320</v>
      </c>
      <c r="D722">
        <v>4.911976</v>
      </c>
    </row>
    <row r="723" spans="1:4">
      <c r="A723" t="s">
        <v>2340</v>
      </c>
      <c r="B723" t="s">
        <v>354</v>
      </c>
      <c r="C723" t="s">
        <v>7321</v>
      </c>
      <c r="D723">
        <v>3.776383</v>
      </c>
    </row>
    <row r="724" spans="1:4">
      <c r="A724" t="s">
        <v>2341</v>
      </c>
      <c r="B724" t="s">
        <v>354</v>
      </c>
      <c r="C724" t="s">
        <v>7322</v>
      </c>
      <c r="D724">
        <v>0.843805</v>
      </c>
    </row>
    <row r="725" spans="1:4">
      <c r="A725" t="s">
        <v>2342</v>
      </c>
      <c r="B725" t="s">
        <v>354</v>
      </c>
      <c r="C725" t="s">
        <v>7323</v>
      </c>
      <c r="D725">
        <v>173.371187</v>
      </c>
    </row>
    <row r="726" spans="1:4">
      <c r="A726" t="s">
        <v>2343</v>
      </c>
      <c r="B726" t="s">
        <v>354</v>
      </c>
      <c r="C726" t="s">
        <v>7324</v>
      </c>
      <c r="D726">
        <v>0.330152</v>
      </c>
    </row>
    <row r="727" spans="1:4">
      <c r="A727" t="s">
        <v>2344</v>
      </c>
      <c r="B727" t="s">
        <v>354</v>
      </c>
      <c r="C727" t="s">
        <v>7325</v>
      </c>
      <c r="D727">
        <v>0.221852</v>
      </c>
    </row>
    <row r="728" spans="1:4">
      <c r="A728" t="s">
        <v>2345</v>
      </c>
      <c r="B728" t="s">
        <v>354</v>
      </c>
      <c r="C728" t="s">
        <v>7292</v>
      </c>
      <c r="D728">
        <v>221.470507</v>
      </c>
    </row>
    <row r="729" spans="1:4">
      <c r="A729" t="s">
        <v>2346</v>
      </c>
      <c r="B729" t="s">
        <v>354</v>
      </c>
      <c r="C729" t="s">
        <v>7326</v>
      </c>
      <c r="D729">
        <v>173.371187</v>
      </c>
    </row>
    <row r="730" spans="1:4">
      <c r="A730" t="s">
        <v>2347</v>
      </c>
      <c r="B730" t="s">
        <v>354</v>
      </c>
      <c r="C730" t="s">
        <v>7327</v>
      </c>
      <c r="D730">
        <v>182.848082</v>
      </c>
    </row>
    <row r="731" spans="1:4">
      <c r="A731" t="s">
        <v>2348</v>
      </c>
      <c r="B731" t="s">
        <v>354</v>
      </c>
      <c r="C731" t="s">
        <v>7328</v>
      </c>
      <c r="D731">
        <v>184.2463</v>
      </c>
    </row>
    <row r="732" spans="1:4">
      <c r="A732" t="s">
        <v>2349</v>
      </c>
      <c r="B732" t="s">
        <v>354</v>
      </c>
      <c r="C732" t="s">
        <v>7329</v>
      </c>
      <c r="D732">
        <v>155.167213</v>
      </c>
    </row>
    <row r="733" spans="1:4">
      <c r="A733" t="s">
        <v>2350</v>
      </c>
      <c r="B733" t="s">
        <v>354</v>
      </c>
      <c r="C733" t="s">
        <v>7330</v>
      </c>
      <c r="D733">
        <v>2.526479</v>
      </c>
    </row>
    <row r="734" spans="1:4">
      <c r="A734" t="s">
        <v>2351</v>
      </c>
      <c r="B734" t="s">
        <v>354</v>
      </c>
      <c r="C734" t="s">
        <v>398</v>
      </c>
      <c r="D734">
        <v>184.2463</v>
      </c>
    </row>
    <row r="735" spans="1:4">
      <c r="A735" t="s">
        <v>2352</v>
      </c>
      <c r="B735" t="s">
        <v>354</v>
      </c>
      <c r="C735" t="s">
        <v>7331</v>
      </c>
      <c r="D735">
        <v>825.357624</v>
      </c>
    </row>
    <row r="736" spans="1:4">
      <c r="A736" t="s">
        <v>2353</v>
      </c>
      <c r="B736" t="s">
        <v>354</v>
      </c>
      <c r="C736" t="s">
        <v>7332</v>
      </c>
      <c r="D736">
        <v>0.104089</v>
      </c>
    </row>
    <row r="737" spans="1:4">
      <c r="A737" t="s">
        <v>2354</v>
      </c>
      <c r="B737" t="s">
        <v>354</v>
      </c>
      <c r="C737" t="s">
        <v>7333</v>
      </c>
      <c r="D737">
        <v>310.334427</v>
      </c>
    </row>
    <row r="738" spans="1:4">
      <c r="A738" t="s">
        <v>2355</v>
      </c>
      <c r="B738" t="s">
        <v>354</v>
      </c>
      <c r="C738" t="s">
        <v>7334</v>
      </c>
      <c r="D738">
        <v>242.567529</v>
      </c>
    </row>
    <row r="739" spans="1:4">
      <c r="A739" t="s">
        <v>2356</v>
      </c>
      <c r="B739" t="s">
        <v>354</v>
      </c>
      <c r="C739" t="s">
        <v>7335</v>
      </c>
      <c r="D739">
        <v>44.910936</v>
      </c>
    </row>
    <row r="740" spans="1:4">
      <c r="A740" t="s">
        <v>2357</v>
      </c>
      <c r="B740" t="s">
        <v>354</v>
      </c>
      <c r="C740" t="s">
        <v>7293</v>
      </c>
      <c r="D740">
        <v>61.715444</v>
      </c>
    </row>
    <row r="741" spans="1:4">
      <c r="A741" t="s">
        <v>2358</v>
      </c>
      <c r="B741" t="s">
        <v>354</v>
      </c>
      <c r="C741" t="s">
        <v>7336</v>
      </c>
      <c r="D741">
        <v>310.334427</v>
      </c>
    </row>
    <row r="742" spans="1:4">
      <c r="A742" t="s">
        <v>2359</v>
      </c>
      <c r="B742" t="s">
        <v>354</v>
      </c>
      <c r="C742" t="s">
        <v>7337</v>
      </c>
      <c r="D742">
        <v>3.205374</v>
      </c>
    </row>
    <row r="743" spans="1:4">
      <c r="A743" t="s">
        <v>2360</v>
      </c>
      <c r="B743" t="s">
        <v>354</v>
      </c>
      <c r="C743" t="s">
        <v>7338</v>
      </c>
      <c r="D743">
        <v>22.001552</v>
      </c>
    </row>
    <row r="744" spans="1:4">
      <c r="A744" t="s">
        <v>2361</v>
      </c>
      <c r="B744" t="s">
        <v>354</v>
      </c>
      <c r="C744" t="s">
        <v>7339</v>
      </c>
      <c r="D744">
        <v>113.460832</v>
      </c>
    </row>
    <row r="745" spans="1:4">
      <c r="A745" t="s">
        <v>2362</v>
      </c>
      <c r="B745" t="s">
        <v>354</v>
      </c>
      <c r="C745" t="s">
        <v>7340</v>
      </c>
      <c r="D745">
        <v>155.167213</v>
      </c>
    </row>
    <row r="746" spans="1:4">
      <c r="A746" t="s">
        <v>2363</v>
      </c>
      <c r="B746" t="s">
        <v>354</v>
      </c>
      <c r="C746" t="s">
        <v>7294</v>
      </c>
      <c r="D746">
        <v>225.587258</v>
      </c>
    </row>
    <row r="747" spans="1:4">
      <c r="A747" t="s">
        <v>2364</v>
      </c>
      <c r="B747" t="s">
        <v>354</v>
      </c>
      <c r="C747" t="s">
        <v>7341</v>
      </c>
      <c r="D747">
        <v>0.135647</v>
      </c>
    </row>
    <row r="748" spans="1:4">
      <c r="A748" t="s">
        <v>2365</v>
      </c>
      <c r="B748" t="s">
        <v>354</v>
      </c>
      <c r="C748" t="s">
        <v>7295</v>
      </c>
      <c r="D748">
        <v>393.591683</v>
      </c>
    </row>
    <row r="749" spans="1:4">
      <c r="A749" t="s">
        <v>2366</v>
      </c>
      <c r="B749" t="s">
        <v>354</v>
      </c>
      <c r="C749" t="s">
        <v>7342</v>
      </c>
      <c r="D749">
        <v>13544.613419</v>
      </c>
    </row>
    <row r="750" spans="1:4">
      <c r="A750" t="s">
        <v>2367</v>
      </c>
      <c r="B750" t="s">
        <v>354</v>
      </c>
      <c r="C750" t="s">
        <v>7343</v>
      </c>
      <c r="D750">
        <v>0.342678</v>
      </c>
    </row>
    <row r="751" spans="1:4">
      <c r="A751" t="s">
        <v>2368</v>
      </c>
      <c r="B751" t="s">
        <v>354</v>
      </c>
      <c r="C751" t="s">
        <v>7344</v>
      </c>
      <c r="D751">
        <v>45.604038</v>
      </c>
    </row>
    <row r="752" spans="1:4">
      <c r="A752" t="s">
        <v>2369</v>
      </c>
      <c r="B752" t="s">
        <v>354</v>
      </c>
      <c r="C752" t="s">
        <v>7296</v>
      </c>
      <c r="D752">
        <v>45.570001</v>
      </c>
    </row>
    <row r="753" spans="1:4">
      <c r="A753" t="s">
        <v>2370</v>
      </c>
      <c r="B753" t="s">
        <v>354</v>
      </c>
      <c r="C753" t="s">
        <v>7345</v>
      </c>
      <c r="D753">
        <v>0.08204599999999999</v>
      </c>
    </row>
    <row r="754" spans="1:4">
      <c r="A754" t="s">
        <v>2371</v>
      </c>
      <c r="B754" t="s">
        <v>354</v>
      </c>
      <c r="C754" t="s">
        <v>7346</v>
      </c>
      <c r="D754">
        <v>0.686864</v>
      </c>
    </row>
    <row r="755" spans="1:4">
      <c r="A755" t="s">
        <v>2372</v>
      </c>
      <c r="B755" t="s">
        <v>354</v>
      </c>
      <c r="C755" t="s">
        <v>7347</v>
      </c>
      <c r="D755">
        <v>12.930598</v>
      </c>
    </row>
    <row r="756" spans="1:4">
      <c r="A756" t="s">
        <v>2373</v>
      </c>
      <c r="B756" t="s">
        <v>354</v>
      </c>
      <c r="C756" t="s">
        <v>7348</v>
      </c>
      <c r="D756">
        <v>3.268076</v>
      </c>
    </row>
    <row r="757" spans="1:4">
      <c r="A757" t="s">
        <v>2374</v>
      </c>
      <c r="B757" t="s">
        <v>354</v>
      </c>
      <c r="C757" t="s">
        <v>7297</v>
      </c>
      <c r="D757">
        <v>14.82127</v>
      </c>
    </row>
    <row r="758" spans="1:4">
      <c r="A758" t="s">
        <v>2375</v>
      </c>
      <c r="B758" t="s">
        <v>354</v>
      </c>
      <c r="C758" t="s">
        <v>7349</v>
      </c>
      <c r="D758">
        <v>1.746188</v>
      </c>
    </row>
    <row r="759" spans="1:4">
      <c r="A759" t="s">
        <v>2376</v>
      </c>
      <c r="B759" t="s">
        <v>354</v>
      </c>
      <c r="C759" t="s">
        <v>7298</v>
      </c>
      <c r="D759">
        <v>48.283791</v>
      </c>
    </row>
    <row r="760" spans="1:4">
      <c r="A760" t="s">
        <v>2377</v>
      </c>
      <c r="B760" t="s">
        <v>354</v>
      </c>
      <c r="C760" t="s">
        <v>7350</v>
      </c>
      <c r="D760">
        <v>5.283269</v>
      </c>
    </row>
    <row r="761" spans="1:4">
      <c r="A761" t="s">
        <v>2378</v>
      </c>
      <c r="B761" t="s">
        <v>354</v>
      </c>
      <c r="C761" t="s">
        <v>7351</v>
      </c>
      <c r="D761">
        <v>2.343111</v>
      </c>
    </row>
    <row r="762" spans="1:4">
      <c r="A762" t="s">
        <v>2379</v>
      </c>
      <c r="B762" t="s">
        <v>354</v>
      </c>
      <c r="C762" t="s">
        <v>7352</v>
      </c>
      <c r="D762">
        <v>5.826138</v>
      </c>
    </row>
    <row r="763" spans="1:4">
      <c r="A763" t="s">
        <v>2380</v>
      </c>
      <c r="B763" t="s">
        <v>354</v>
      </c>
      <c r="C763" t="s">
        <v>7353</v>
      </c>
      <c r="D763">
        <v>20.688957</v>
      </c>
    </row>
    <row r="764" spans="1:4">
      <c r="A764" t="s">
        <v>2381</v>
      </c>
      <c r="B764" t="s">
        <v>354</v>
      </c>
      <c r="C764" t="s">
        <v>7354</v>
      </c>
      <c r="D764">
        <v>1.957325</v>
      </c>
    </row>
    <row r="765" spans="1:4">
      <c r="A765" t="s">
        <v>2382</v>
      </c>
      <c r="B765" t="s">
        <v>354</v>
      </c>
      <c r="C765" t="s">
        <v>7355</v>
      </c>
      <c r="D765">
        <v>141.05504</v>
      </c>
    </row>
    <row r="766" spans="1:4">
      <c r="A766" t="s">
        <v>2383</v>
      </c>
      <c r="B766" t="s">
        <v>354</v>
      </c>
      <c r="C766" t="s">
        <v>7356</v>
      </c>
      <c r="D766">
        <v>416.438744</v>
      </c>
    </row>
    <row r="767" spans="1:4">
      <c r="A767" t="s">
        <v>2384</v>
      </c>
      <c r="B767" t="s">
        <v>354</v>
      </c>
      <c r="C767" t="s">
        <v>7357</v>
      </c>
      <c r="D767">
        <v>48.283798</v>
      </c>
    </row>
    <row r="768" spans="1:4">
      <c r="A768" t="s">
        <v>2385</v>
      </c>
      <c r="B768" t="s">
        <v>354</v>
      </c>
      <c r="C768" t="s">
        <v>7299</v>
      </c>
      <c r="D768">
        <v>416.438263</v>
      </c>
    </row>
    <row r="769" spans="1:4">
      <c r="A769" t="s">
        <v>2386</v>
      </c>
      <c r="B769" t="s">
        <v>354</v>
      </c>
      <c r="C769" t="s">
        <v>7358</v>
      </c>
      <c r="D769">
        <v>116.219936</v>
      </c>
    </row>
    <row r="770" spans="1:4">
      <c r="A770" t="s">
        <v>2387</v>
      </c>
      <c r="B770" t="s">
        <v>354</v>
      </c>
      <c r="C770" t="s">
        <v>7359</v>
      </c>
      <c r="D770">
        <v>416.438744</v>
      </c>
    </row>
    <row r="771" spans="1:4">
      <c r="A771" t="s">
        <v>2388</v>
      </c>
      <c r="B771" t="s">
        <v>354</v>
      </c>
      <c r="C771" t="s">
        <v>7360</v>
      </c>
      <c r="D771">
        <v>26.976095</v>
      </c>
    </row>
    <row r="772" spans="1:4">
      <c r="A772" t="s">
        <v>2389</v>
      </c>
      <c r="B772" t="s">
        <v>354</v>
      </c>
      <c r="C772" t="s">
        <v>7361</v>
      </c>
      <c r="D772">
        <v>416.438744</v>
      </c>
    </row>
    <row r="773" spans="1:4">
      <c r="A773" t="s">
        <v>2390</v>
      </c>
      <c r="B773" t="s">
        <v>354</v>
      </c>
      <c r="C773" t="s">
        <v>7362</v>
      </c>
      <c r="D773">
        <v>4.187652</v>
      </c>
    </row>
    <row r="774" spans="1:4">
      <c r="A774" t="s">
        <v>2391</v>
      </c>
      <c r="B774" t="s">
        <v>354</v>
      </c>
      <c r="C774" t="s">
        <v>7363</v>
      </c>
      <c r="D774">
        <v>0.035445</v>
      </c>
    </row>
    <row r="775" spans="1:4">
      <c r="A775" t="s">
        <v>2392</v>
      </c>
      <c r="B775" t="s">
        <v>354</v>
      </c>
      <c r="C775" t="s">
        <v>7364</v>
      </c>
      <c r="D775">
        <v>40.791699</v>
      </c>
    </row>
    <row r="776" spans="1:4">
      <c r="A776" t="s">
        <v>2393</v>
      </c>
      <c r="B776" t="s">
        <v>354</v>
      </c>
      <c r="C776" t="s">
        <v>7365</v>
      </c>
      <c r="D776">
        <v>1.485027</v>
      </c>
    </row>
    <row r="777" spans="1:4">
      <c r="A777" t="s">
        <v>2394</v>
      </c>
      <c r="B777" t="s">
        <v>354</v>
      </c>
      <c r="C777" t="s">
        <v>7300</v>
      </c>
      <c r="D777">
        <v>39.618598</v>
      </c>
    </row>
    <row r="778" spans="1:4">
      <c r="A778" t="s">
        <v>2395</v>
      </c>
      <c r="B778" t="s">
        <v>354</v>
      </c>
      <c r="C778" t="s">
        <v>7366</v>
      </c>
      <c r="D778">
        <v>11.68913</v>
      </c>
    </row>
    <row r="779" spans="1:4">
      <c r="A779" t="s">
        <v>2396</v>
      </c>
      <c r="B779" t="s">
        <v>354</v>
      </c>
      <c r="C779" t="s">
        <v>7367</v>
      </c>
      <c r="D779">
        <v>47.827253</v>
      </c>
    </row>
    <row r="780" spans="1:4">
      <c r="A780" t="s">
        <v>2397</v>
      </c>
      <c r="B780" t="s">
        <v>354</v>
      </c>
      <c r="C780" t="s">
        <v>7368</v>
      </c>
      <c r="D780">
        <v>2.372804</v>
      </c>
    </row>
    <row r="781" spans="1:4">
      <c r="A781" t="s">
        <v>2398</v>
      </c>
      <c r="B781" t="s">
        <v>354</v>
      </c>
      <c r="C781" t="s">
        <v>7301</v>
      </c>
      <c r="D781">
        <v>0.017593</v>
      </c>
    </row>
    <row r="782" spans="1:4">
      <c r="A782" t="s">
        <v>2399</v>
      </c>
      <c r="B782" t="s">
        <v>354</v>
      </c>
      <c r="C782" t="s">
        <v>7302</v>
      </c>
      <c r="D782">
        <v>106.609355</v>
      </c>
    </row>
    <row r="783" spans="1:4">
      <c r="A783" t="s">
        <v>2400</v>
      </c>
      <c r="B783" t="s">
        <v>354</v>
      </c>
      <c r="C783" t="s">
        <v>7369</v>
      </c>
      <c r="D783">
        <v>416.438744</v>
      </c>
    </row>
    <row r="784" spans="1:4">
      <c r="A784" t="s">
        <v>2401</v>
      </c>
      <c r="B784" t="s">
        <v>354</v>
      </c>
      <c r="C784" t="s">
        <v>7303</v>
      </c>
      <c r="D784">
        <v>3.20537</v>
      </c>
    </row>
    <row r="785" spans="1:4">
      <c r="A785" t="s">
        <v>2402</v>
      </c>
      <c r="B785" t="s">
        <v>354</v>
      </c>
      <c r="C785" t="s">
        <v>7370</v>
      </c>
      <c r="D785">
        <v>0.236875</v>
      </c>
    </row>
    <row r="786" spans="1:4">
      <c r="A786" t="s">
        <v>2403</v>
      </c>
      <c r="B786" t="s">
        <v>354</v>
      </c>
      <c r="C786" t="s">
        <v>7371</v>
      </c>
      <c r="D786">
        <v>0.000236</v>
      </c>
    </row>
    <row r="787" spans="1:4">
      <c r="A787" t="s">
        <v>2404</v>
      </c>
      <c r="B787" t="s">
        <v>354</v>
      </c>
      <c r="C787" t="s">
        <v>7304</v>
      </c>
      <c r="D787">
        <v>2.512874</v>
      </c>
    </row>
    <row r="788" spans="1:4">
      <c r="A788" t="s">
        <v>2405</v>
      </c>
      <c r="B788" t="s">
        <v>354</v>
      </c>
      <c r="C788" t="s">
        <v>7372</v>
      </c>
      <c r="D788">
        <v>416.438744</v>
      </c>
    </row>
    <row r="789" spans="1:4">
      <c r="A789" t="s">
        <v>2406</v>
      </c>
      <c r="B789" t="s">
        <v>354</v>
      </c>
      <c r="C789" t="s">
        <v>7373</v>
      </c>
      <c r="D789">
        <v>1.969551</v>
      </c>
    </row>
    <row r="790" spans="1:4">
      <c r="A790" t="s">
        <v>2407</v>
      </c>
      <c r="B790" t="s">
        <v>354</v>
      </c>
      <c r="C790" t="s">
        <v>7374</v>
      </c>
      <c r="D790">
        <v>437.706874</v>
      </c>
    </row>
    <row r="791" spans="1:4">
      <c r="A791" t="s">
        <v>2408</v>
      </c>
      <c r="B791" t="s">
        <v>354</v>
      </c>
      <c r="C791" t="s">
        <v>7305</v>
      </c>
      <c r="D791">
        <v>1.951898</v>
      </c>
    </row>
    <row r="792" spans="1:4">
      <c r="A792" t="s">
        <v>2409</v>
      </c>
      <c r="B792" t="s">
        <v>354</v>
      </c>
      <c r="C792" t="s">
        <v>7375</v>
      </c>
      <c r="D792">
        <v>2.400462</v>
      </c>
    </row>
    <row r="793" spans="1:4">
      <c r="A793" t="s">
        <v>2410</v>
      </c>
      <c r="B793" t="s">
        <v>354</v>
      </c>
      <c r="C793" t="s">
        <v>7376</v>
      </c>
      <c r="D793">
        <v>3.550276</v>
      </c>
    </row>
    <row r="794" spans="1:4">
      <c r="A794" t="s">
        <v>2411</v>
      </c>
      <c r="B794" t="s">
        <v>354</v>
      </c>
      <c r="C794" t="s">
        <v>7377</v>
      </c>
      <c r="D794">
        <v>0.076934</v>
      </c>
    </row>
    <row r="795" spans="1:4">
      <c r="A795" t="s">
        <v>2412</v>
      </c>
      <c r="B795" t="s">
        <v>354</v>
      </c>
      <c r="C795" t="s">
        <v>7378</v>
      </c>
      <c r="D795">
        <v>221.471051</v>
      </c>
    </row>
    <row r="796" spans="1:4">
      <c r="A796" t="s">
        <v>2413</v>
      </c>
      <c r="B796" t="s">
        <v>354</v>
      </c>
      <c r="C796" t="s">
        <v>7379</v>
      </c>
      <c r="D796">
        <v>0.732476</v>
      </c>
    </row>
    <row r="797" spans="1:4">
      <c r="A797" t="s">
        <v>2414</v>
      </c>
      <c r="B797" t="s">
        <v>354</v>
      </c>
      <c r="C797" t="s">
        <v>7306</v>
      </c>
      <c r="D797">
        <v>0.206512</v>
      </c>
    </row>
    <row r="798" spans="1:4">
      <c r="A798" t="s">
        <v>2415</v>
      </c>
      <c r="B798" t="s">
        <v>354</v>
      </c>
      <c r="C798" t="s">
        <v>7380</v>
      </c>
      <c r="D798">
        <v>1007.001389</v>
      </c>
    </row>
    <row r="799" spans="1:4">
      <c r="A799" t="s">
        <v>2416</v>
      </c>
      <c r="B799" t="s">
        <v>354</v>
      </c>
      <c r="C799" t="s">
        <v>7381</v>
      </c>
      <c r="D799">
        <v>372.401248</v>
      </c>
    </row>
    <row r="800" spans="1:4">
      <c r="A800" t="s">
        <v>2417</v>
      </c>
      <c r="B800" t="s">
        <v>354</v>
      </c>
      <c r="C800" t="s">
        <v>7382</v>
      </c>
      <c r="D800">
        <v>0.657411</v>
      </c>
    </row>
    <row r="801" spans="1:4">
      <c r="A801" t="s">
        <v>2418</v>
      </c>
      <c r="B801" t="s">
        <v>354</v>
      </c>
      <c r="C801" t="s">
        <v>7383</v>
      </c>
      <c r="D801">
        <v>0.014172</v>
      </c>
    </row>
    <row r="802" spans="1:4">
      <c r="A802" t="s">
        <v>2419</v>
      </c>
      <c r="B802" t="s">
        <v>354</v>
      </c>
      <c r="C802" t="s">
        <v>7384</v>
      </c>
      <c r="D802">
        <v>0.003467</v>
      </c>
    </row>
    <row r="803" spans="1:4">
      <c r="A803" t="s">
        <v>2420</v>
      </c>
      <c r="B803" t="s">
        <v>354</v>
      </c>
      <c r="C803" t="s">
        <v>7385</v>
      </c>
      <c r="D803">
        <v>0.925711</v>
      </c>
    </row>
    <row r="804" spans="1:4">
      <c r="A804" t="s">
        <v>2421</v>
      </c>
      <c r="B804" t="s">
        <v>354</v>
      </c>
      <c r="C804" t="s">
        <v>7386</v>
      </c>
      <c r="D804">
        <v>1.69747</v>
      </c>
    </row>
    <row r="805" spans="1:4">
      <c r="A805" t="s">
        <v>2422</v>
      </c>
      <c r="B805" t="s">
        <v>354</v>
      </c>
      <c r="C805" t="s">
        <v>7387</v>
      </c>
      <c r="D805">
        <v>18.802501</v>
      </c>
    </row>
    <row r="806" spans="1:4">
      <c r="A806" t="s">
        <v>2423</v>
      </c>
      <c r="B806" t="s">
        <v>354</v>
      </c>
      <c r="C806" t="s">
        <v>7388</v>
      </c>
      <c r="D806">
        <v>48.755863</v>
      </c>
    </row>
    <row r="807" spans="1:4">
      <c r="A807" t="s">
        <v>2424</v>
      </c>
      <c r="B807" t="s">
        <v>354</v>
      </c>
      <c r="C807" t="s">
        <v>7389</v>
      </c>
      <c r="D807">
        <v>33.622825</v>
      </c>
    </row>
    <row r="808" spans="1:4">
      <c r="A808" t="s">
        <v>2425</v>
      </c>
      <c r="B808" t="s">
        <v>354</v>
      </c>
      <c r="C808" t="s">
        <v>7390</v>
      </c>
      <c r="D808">
        <v>17.971645</v>
      </c>
    </row>
    <row r="809" spans="1:4">
      <c r="A809" t="s">
        <v>2426</v>
      </c>
      <c r="B809" t="s">
        <v>354</v>
      </c>
      <c r="C809" t="s">
        <v>7391</v>
      </c>
      <c r="D809">
        <v>0.074126</v>
      </c>
    </row>
    <row r="810" spans="1:4">
      <c r="A810" t="s">
        <v>2427</v>
      </c>
      <c r="B810" t="s">
        <v>354</v>
      </c>
      <c r="C810" t="s">
        <v>7392</v>
      </c>
      <c r="D810">
        <v>5.840713</v>
      </c>
    </row>
    <row r="811" spans="1:4">
      <c r="A811" t="s">
        <v>2428</v>
      </c>
      <c r="B811" t="s">
        <v>354</v>
      </c>
      <c r="C811" t="s">
        <v>7393</v>
      </c>
      <c r="D811">
        <v>0.148023</v>
      </c>
    </row>
    <row r="812" spans="1:4">
      <c r="A812" t="s">
        <v>2429</v>
      </c>
      <c r="B812" t="s">
        <v>354</v>
      </c>
      <c r="C812" t="s">
        <v>7394</v>
      </c>
      <c r="D812">
        <v>0.08689</v>
      </c>
    </row>
    <row r="813" spans="1:4">
      <c r="A813" t="s">
        <v>2430</v>
      </c>
      <c r="B813" t="s">
        <v>354</v>
      </c>
      <c r="C813" t="s">
        <v>7395</v>
      </c>
      <c r="D813">
        <v>38.456639</v>
      </c>
    </row>
    <row r="814" spans="1:4">
      <c r="A814" t="s">
        <v>2431</v>
      </c>
      <c r="B814" t="s">
        <v>354</v>
      </c>
      <c r="C814" t="s">
        <v>7396</v>
      </c>
      <c r="D814">
        <v>7.747043</v>
      </c>
    </row>
    <row r="815" spans="1:4">
      <c r="A815" t="s">
        <v>2432</v>
      </c>
      <c r="B815" t="s">
        <v>354</v>
      </c>
      <c r="C815" t="s">
        <v>7397</v>
      </c>
      <c r="D815">
        <v>6.559338</v>
      </c>
    </row>
    <row r="816" spans="1:4">
      <c r="A816" t="s">
        <v>2433</v>
      </c>
      <c r="B816" t="s">
        <v>354</v>
      </c>
      <c r="C816" t="s">
        <v>7398</v>
      </c>
      <c r="D816">
        <v>20.125416</v>
      </c>
    </row>
    <row r="817" spans="1:4">
      <c r="A817" t="s">
        <v>2434</v>
      </c>
      <c r="B817" t="s">
        <v>354</v>
      </c>
      <c r="C817" t="s">
        <v>7399</v>
      </c>
      <c r="D817">
        <v>0.178245</v>
      </c>
    </row>
    <row r="818" spans="1:4">
      <c r="A818" t="s">
        <v>2435</v>
      </c>
      <c r="B818" t="s">
        <v>354</v>
      </c>
      <c r="C818" t="s">
        <v>7307</v>
      </c>
      <c r="D818">
        <v>17.89804</v>
      </c>
    </row>
    <row r="819" spans="1:4">
      <c r="A819" t="s">
        <v>2436</v>
      </c>
      <c r="B819" t="s">
        <v>354</v>
      </c>
      <c r="C819" t="s">
        <v>7308</v>
      </c>
      <c r="D819">
        <v>78.16992399999999</v>
      </c>
    </row>
    <row r="820" spans="1:4">
      <c r="A820" t="s">
        <v>2437</v>
      </c>
      <c r="B820" t="s">
        <v>354</v>
      </c>
      <c r="C820" t="s">
        <v>7400</v>
      </c>
      <c r="D820">
        <v>4.871515</v>
      </c>
    </row>
    <row r="821" spans="1:4">
      <c r="A821" t="s">
        <v>2438</v>
      </c>
      <c r="B821" t="s">
        <v>354</v>
      </c>
      <c r="C821" t="s">
        <v>7401</v>
      </c>
      <c r="D821">
        <v>18.802501</v>
      </c>
    </row>
    <row r="822" spans="1:4">
      <c r="A822" t="s">
        <v>2439</v>
      </c>
      <c r="B822" t="s">
        <v>354</v>
      </c>
      <c r="C822" t="s">
        <v>7402</v>
      </c>
      <c r="D822">
        <v>0.22808</v>
      </c>
    </row>
    <row r="823" spans="1:4">
      <c r="A823" t="s">
        <v>2440</v>
      </c>
      <c r="B823" t="s">
        <v>354</v>
      </c>
      <c r="C823" t="s">
        <v>7403</v>
      </c>
      <c r="D823">
        <v>8.448040000000001</v>
      </c>
    </row>
    <row r="824" spans="1:4">
      <c r="A824" t="s">
        <v>2441</v>
      </c>
      <c r="B824" t="s">
        <v>354</v>
      </c>
      <c r="C824" t="s">
        <v>7309</v>
      </c>
      <c r="D824">
        <v>33.473179</v>
      </c>
    </row>
    <row r="825" spans="1:4">
      <c r="A825" t="s">
        <v>2442</v>
      </c>
      <c r="B825" t="s">
        <v>354</v>
      </c>
      <c r="C825" t="s">
        <v>7404</v>
      </c>
      <c r="D825">
        <v>2.003359</v>
      </c>
    </row>
    <row r="826" spans="1:4">
      <c r="A826" t="s">
        <v>2443</v>
      </c>
      <c r="B826" t="s">
        <v>354</v>
      </c>
      <c r="C826" t="s">
        <v>7310</v>
      </c>
      <c r="D826">
        <v>181.844553</v>
      </c>
    </row>
    <row r="827" spans="1:4">
      <c r="A827" t="s">
        <v>2444</v>
      </c>
      <c r="B827" t="s">
        <v>354</v>
      </c>
      <c r="C827" t="s">
        <v>7405</v>
      </c>
      <c r="D827">
        <v>807.117237</v>
      </c>
    </row>
    <row r="828" spans="1:4">
      <c r="A828" t="s">
        <v>2445</v>
      </c>
      <c r="B828" t="s">
        <v>354</v>
      </c>
      <c r="C828" t="s">
        <v>7406</v>
      </c>
      <c r="D828">
        <v>310.334427</v>
      </c>
    </row>
    <row r="829" spans="1:4">
      <c r="A829" t="s">
        <v>2446</v>
      </c>
      <c r="B829" t="s">
        <v>354</v>
      </c>
      <c r="C829" t="s">
        <v>7407</v>
      </c>
      <c r="D829">
        <v>90.76387099999999</v>
      </c>
    </row>
    <row r="830" spans="1:4">
      <c r="A830" t="s">
        <v>2447</v>
      </c>
      <c r="B830" t="s">
        <v>354</v>
      </c>
      <c r="C830" t="s">
        <v>7408</v>
      </c>
      <c r="D830">
        <v>70.856966</v>
      </c>
    </row>
    <row r="831" spans="1:4">
      <c r="A831" t="s">
        <v>2448</v>
      </c>
      <c r="B831" t="s">
        <v>354</v>
      </c>
      <c r="C831" t="s">
        <v>7311</v>
      </c>
      <c r="D831">
        <v>5.036809</v>
      </c>
    </row>
    <row r="832" spans="1:4">
      <c r="A832" t="s">
        <v>2449</v>
      </c>
      <c r="B832" t="s">
        <v>354</v>
      </c>
      <c r="C832" t="s">
        <v>7409</v>
      </c>
      <c r="D832">
        <v>1.112541</v>
      </c>
    </row>
    <row r="833" spans="1:4">
      <c r="A833" t="s">
        <v>2450</v>
      </c>
      <c r="B833" t="s">
        <v>354</v>
      </c>
      <c r="C833" t="s">
        <v>7312</v>
      </c>
      <c r="D833">
        <v>84.80446499999999</v>
      </c>
    </row>
    <row r="834" spans="1:4">
      <c r="A834" t="s">
        <v>2451</v>
      </c>
      <c r="B834" t="s">
        <v>354</v>
      </c>
      <c r="C834" t="s">
        <v>7410</v>
      </c>
      <c r="D834">
        <v>0.050808</v>
      </c>
    </row>
    <row r="835" spans="1:4">
      <c r="A835" t="s">
        <v>2452</v>
      </c>
      <c r="B835" t="s">
        <v>354</v>
      </c>
      <c r="C835" t="s">
        <v>7411</v>
      </c>
      <c r="D835">
        <v>85.256687</v>
      </c>
    </row>
    <row r="836" spans="1:4">
      <c r="A836" t="s">
        <v>2453</v>
      </c>
      <c r="B836" t="s">
        <v>354</v>
      </c>
      <c r="C836" t="s">
        <v>7313</v>
      </c>
      <c r="D836">
        <v>68.87712500000001</v>
      </c>
    </row>
    <row r="837" spans="1:4">
      <c r="A837" t="s">
        <v>2454</v>
      </c>
      <c r="B837" t="s">
        <v>354</v>
      </c>
      <c r="C837" t="s">
        <v>7412</v>
      </c>
      <c r="D837">
        <v>3.06913</v>
      </c>
    </row>
    <row r="838" spans="1:4">
      <c r="A838" t="s">
        <v>2455</v>
      </c>
      <c r="B838" t="s">
        <v>354</v>
      </c>
      <c r="C838" t="s">
        <v>7413</v>
      </c>
      <c r="D838">
        <v>4.343285</v>
      </c>
    </row>
    <row r="839" spans="1:4">
      <c r="A839" t="s">
        <v>2456</v>
      </c>
      <c r="B839" t="s">
        <v>354</v>
      </c>
      <c r="C839" t="s">
        <v>7414</v>
      </c>
      <c r="D839">
        <v>0.212348</v>
      </c>
    </row>
    <row r="840" spans="1:4">
      <c r="A840" t="s">
        <v>2457</v>
      </c>
      <c r="B840" t="s">
        <v>354</v>
      </c>
      <c r="C840" t="s">
        <v>7415</v>
      </c>
      <c r="D840">
        <v>82.75582300000001</v>
      </c>
    </row>
    <row r="841" spans="1:4">
      <c r="A841" t="s">
        <v>2458</v>
      </c>
      <c r="B841" t="s">
        <v>354</v>
      </c>
      <c r="C841" t="s">
        <v>7416</v>
      </c>
      <c r="D841">
        <v>38.843809</v>
      </c>
    </row>
    <row r="842" spans="1:4">
      <c r="A842" t="s">
        <v>2459</v>
      </c>
      <c r="B842" t="s">
        <v>354</v>
      </c>
      <c r="C842" t="s">
        <v>7417</v>
      </c>
      <c r="D842">
        <v>20.996868</v>
      </c>
    </row>
    <row r="843" spans="1:4">
      <c r="A843" t="s">
        <v>2460</v>
      </c>
      <c r="B843" t="s">
        <v>354</v>
      </c>
      <c r="C843" t="s">
        <v>7418</v>
      </c>
      <c r="D843">
        <v>0.69443</v>
      </c>
    </row>
    <row r="844" spans="1:4">
      <c r="A844" t="s">
        <v>2461</v>
      </c>
      <c r="B844" t="s">
        <v>354</v>
      </c>
      <c r="C844" t="s">
        <v>7314</v>
      </c>
      <c r="D844">
        <v>33.16417</v>
      </c>
    </row>
    <row r="845" spans="1:4">
      <c r="A845" t="s">
        <v>2462</v>
      </c>
      <c r="B845" t="s">
        <v>354</v>
      </c>
      <c r="C845" t="s">
        <v>7315</v>
      </c>
      <c r="D845">
        <v>242.567366</v>
      </c>
    </row>
    <row r="846" spans="1:4">
      <c r="A846" t="s">
        <v>2463</v>
      </c>
      <c r="B846" t="s">
        <v>354</v>
      </c>
      <c r="C846" t="s">
        <v>7419</v>
      </c>
      <c r="D846">
        <v>416.438744</v>
      </c>
    </row>
    <row r="847" spans="1:4">
      <c r="A847" t="s">
        <v>2464</v>
      </c>
      <c r="B847" t="s">
        <v>354</v>
      </c>
      <c r="C847" t="s">
        <v>7420</v>
      </c>
      <c r="D847">
        <v>12.750572</v>
      </c>
    </row>
    <row r="848" spans="1:4">
      <c r="A848" t="s">
        <v>2465</v>
      </c>
      <c r="B848" t="s">
        <v>354</v>
      </c>
      <c r="C848" t="s">
        <v>7421</v>
      </c>
      <c r="D848">
        <v>0.012753</v>
      </c>
    </row>
    <row r="849" spans="1:4">
      <c r="A849" t="s">
        <v>2466</v>
      </c>
      <c r="B849" t="s">
        <v>354</v>
      </c>
      <c r="C849" t="s">
        <v>7422</v>
      </c>
      <c r="D849">
        <v>0.5435990000000001</v>
      </c>
    </row>
    <row r="850" spans="1:4">
      <c r="A850" t="s">
        <v>2467</v>
      </c>
      <c r="B850" t="s">
        <v>354</v>
      </c>
      <c r="C850" t="s">
        <v>7423</v>
      </c>
      <c r="D850">
        <v>8.348343</v>
      </c>
    </row>
    <row r="851" spans="1:4">
      <c r="A851" t="s">
        <v>2468</v>
      </c>
      <c r="B851" t="s">
        <v>354</v>
      </c>
      <c r="C851" t="s">
        <v>7424</v>
      </c>
      <c r="D851">
        <v>0.06589</v>
      </c>
    </row>
    <row r="852" spans="1:4">
      <c r="A852" t="s">
        <v>2469</v>
      </c>
      <c r="B852" t="s">
        <v>354</v>
      </c>
      <c r="C852" t="s">
        <v>7425</v>
      </c>
      <c r="D852">
        <v>14.708344</v>
      </c>
    </row>
    <row r="853" spans="1:4">
      <c r="A853" t="s">
        <v>2470</v>
      </c>
      <c r="B853" t="s">
        <v>354</v>
      </c>
      <c r="C853" t="s">
        <v>7426</v>
      </c>
      <c r="D853">
        <v>2.768554</v>
      </c>
    </row>
    <row r="854" spans="1:4">
      <c r="A854" t="s">
        <v>2471</v>
      </c>
      <c r="B854" t="s">
        <v>354</v>
      </c>
      <c r="C854" t="s">
        <v>7427</v>
      </c>
      <c r="D854">
        <v>18.802501</v>
      </c>
    </row>
    <row r="855" spans="1:4">
      <c r="A855" t="s">
        <v>2472</v>
      </c>
      <c r="B855" t="s">
        <v>354</v>
      </c>
      <c r="C855" t="s">
        <v>7316</v>
      </c>
      <c r="D855">
        <v>9.511341</v>
      </c>
    </row>
    <row r="856" spans="1:4">
      <c r="A856" t="s">
        <v>2473</v>
      </c>
      <c r="B856" t="s">
        <v>354</v>
      </c>
      <c r="C856" t="s">
        <v>7428</v>
      </c>
      <c r="D856">
        <v>33.350409</v>
      </c>
    </row>
    <row r="857" spans="1:4">
      <c r="A857" t="s">
        <v>2474</v>
      </c>
      <c r="B857" t="s">
        <v>354</v>
      </c>
      <c r="C857" t="s">
        <v>7429</v>
      </c>
      <c r="D857">
        <v>88.779184</v>
      </c>
    </row>
    <row r="858" spans="1:4">
      <c r="A858" t="s">
        <v>2475</v>
      </c>
      <c r="B858" t="s">
        <v>354</v>
      </c>
      <c r="C858" t="s">
        <v>7430</v>
      </c>
      <c r="D858">
        <v>106.762734</v>
      </c>
    </row>
    <row r="859" spans="1:4">
      <c r="A859" t="s">
        <v>2476</v>
      </c>
      <c r="B859" t="s">
        <v>354</v>
      </c>
      <c r="C859" t="s">
        <v>7431</v>
      </c>
      <c r="D859">
        <v>130.184018</v>
      </c>
    </row>
    <row r="860" spans="1:4">
      <c r="A860" t="s">
        <v>2477</v>
      </c>
      <c r="B860" t="s">
        <v>354</v>
      </c>
      <c r="C860" t="s">
        <v>7317</v>
      </c>
      <c r="D860">
        <v>6.799544</v>
      </c>
    </row>
    <row r="861" spans="1:4">
      <c r="A861" t="s">
        <v>2478</v>
      </c>
      <c r="B861" t="s">
        <v>354</v>
      </c>
      <c r="C861" t="s">
        <v>7432</v>
      </c>
      <c r="D861">
        <v>40.841181</v>
      </c>
    </row>
    <row r="862" spans="1:4">
      <c r="A862" t="s">
        <v>2479</v>
      </c>
      <c r="B862" t="s">
        <v>354</v>
      </c>
      <c r="C862" t="s">
        <v>7433</v>
      </c>
      <c r="D862">
        <v>221.471051</v>
      </c>
    </row>
    <row r="863" spans="1:4">
      <c r="A863" t="s">
        <v>2480</v>
      </c>
      <c r="B863" t="s">
        <v>354</v>
      </c>
      <c r="C863" t="s">
        <v>7434</v>
      </c>
      <c r="D863">
        <v>9.818344</v>
      </c>
    </row>
    <row r="864" spans="1:4">
      <c r="A864" t="s">
        <v>2481</v>
      </c>
      <c r="B864" t="s">
        <v>354</v>
      </c>
      <c r="C864" t="s">
        <v>7435</v>
      </c>
      <c r="D864">
        <v>0.119587</v>
      </c>
    </row>
    <row r="865" spans="1:4">
      <c r="A865" t="s">
        <v>2482</v>
      </c>
      <c r="B865" t="s">
        <v>354</v>
      </c>
      <c r="C865" t="s">
        <v>7436</v>
      </c>
      <c r="D865">
        <v>7.028144</v>
      </c>
    </row>
    <row r="866" spans="1:4">
      <c r="A866" t="s">
        <v>2483</v>
      </c>
      <c r="B866" t="s">
        <v>354</v>
      </c>
      <c r="C866" t="s">
        <v>7437</v>
      </c>
      <c r="D866">
        <v>0.083036</v>
      </c>
    </row>
    <row r="867" spans="1:4">
      <c r="A867" t="s">
        <v>2484</v>
      </c>
      <c r="B867" t="s">
        <v>354</v>
      </c>
      <c r="C867" t="s">
        <v>399</v>
      </c>
      <c r="D867">
        <v>310.275908</v>
      </c>
    </row>
    <row r="868" spans="1:4">
      <c r="A868" t="s">
        <v>2485</v>
      </c>
      <c r="B868" t="s">
        <v>354</v>
      </c>
      <c r="C868" t="s">
        <v>7438</v>
      </c>
      <c r="D868">
        <v>7.711908</v>
      </c>
    </row>
    <row r="869" spans="1:4">
      <c r="A869" t="s">
        <v>2486</v>
      </c>
      <c r="B869" t="s">
        <v>354</v>
      </c>
      <c r="C869" t="s">
        <v>7439</v>
      </c>
      <c r="D869">
        <v>0.025614</v>
      </c>
    </row>
    <row r="870" spans="1:4">
      <c r="A870" t="s">
        <v>2487</v>
      </c>
      <c r="B870" t="s">
        <v>354</v>
      </c>
      <c r="C870" t="s">
        <v>7440</v>
      </c>
      <c r="D870">
        <v>0.591382</v>
      </c>
    </row>
    <row r="871" spans="1:4">
      <c r="A871" t="s">
        <v>2488</v>
      </c>
      <c r="B871" t="s">
        <v>354</v>
      </c>
      <c r="C871" t="s">
        <v>7441</v>
      </c>
      <c r="D871">
        <v>0.011862</v>
      </c>
    </row>
    <row r="872" spans="1:4">
      <c r="A872" t="s">
        <v>2489</v>
      </c>
      <c r="B872" t="s">
        <v>354</v>
      </c>
      <c r="C872" t="s">
        <v>7442</v>
      </c>
      <c r="D872">
        <v>2.614008</v>
      </c>
    </row>
    <row r="873" spans="1:4">
      <c r="A873" t="s">
        <v>2490</v>
      </c>
      <c r="B873" t="s">
        <v>354</v>
      </c>
      <c r="C873" t="s">
        <v>7443</v>
      </c>
      <c r="D873">
        <v>115.209529</v>
      </c>
    </row>
    <row r="874" spans="1:4">
      <c r="A874" t="s">
        <v>2491</v>
      </c>
      <c r="B874" t="s">
        <v>354</v>
      </c>
      <c r="C874" t="s">
        <v>7444</v>
      </c>
      <c r="D874">
        <v>0.549357</v>
      </c>
    </row>
    <row r="875" spans="1:4">
      <c r="A875" t="s">
        <v>2492</v>
      </c>
      <c r="B875" t="s">
        <v>354</v>
      </c>
      <c r="C875" t="s">
        <v>7445</v>
      </c>
      <c r="D875">
        <v>114.938666</v>
      </c>
    </row>
    <row r="876" spans="1:4">
      <c r="A876" t="s">
        <v>2493</v>
      </c>
      <c r="B876" t="s">
        <v>354</v>
      </c>
      <c r="C876" t="s">
        <v>7446</v>
      </c>
      <c r="D876">
        <v>173.371187</v>
      </c>
    </row>
    <row r="877" spans="1:4">
      <c r="A877" t="s">
        <v>2494</v>
      </c>
      <c r="B877" t="s">
        <v>354</v>
      </c>
      <c r="C877" t="s">
        <v>7447</v>
      </c>
      <c r="D877">
        <v>424.214903</v>
      </c>
    </row>
    <row r="878" spans="1:4">
      <c r="A878" t="s">
        <v>2495</v>
      </c>
      <c r="B878" t="s">
        <v>354</v>
      </c>
      <c r="C878" t="s">
        <v>7448</v>
      </c>
      <c r="D878">
        <v>0.549357</v>
      </c>
    </row>
    <row r="879" spans="1:4">
      <c r="A879" t="s">
        <v>2496</v>
      </c>
      <c r="B879" t="s">
        <v>354</v>
      </c>
      <c r="C879" t="s">
        <v>7449</v>
      </c>
      <c r="D879">
        <v>3.019764</v>
      </c>
    </row>
    <row r="880" spans="1:4">
      <c r="A880" t="s">
        <v>2497</v>
      </c>
      <c r="B880" t="s">
        <v>354</v>
      </c>
      <c r="C880" t="s">
        <v>7450</v>
      </c>
      <c r="D880">
        <v>1.302888</v>
      </c>
    </row>
    <row r="881" spans="1:4">
      <c r="A881" t="s">
        <v>2498</v>
      </c>
      <c r="B881" t="s">
        <v>354</v>
      </c>
      <c r="C881" t="s">
        <v>7318</v>
      </c>
      <c r="D881">
        <v>18.802378</v>
      </c>
    </row>
    <row r="882" spans="1:4">
      <c r="A882" t="s">
        <v>2499</v>
      </c>
      <c r="B882" t="s">
        <v>354</v>
      </c>
      <c r="C882" t="s">
        <v>7451</v>
      </c>
      <c r="D882">
        <v>16.414079</v>
      </c>
    </row>
    <row r="883" spans="1:4">
      <c r="A883" t="s">
        <v>2500</v>
      </c>
      <c r="B883" t="s">
        <v>354</v>
      </c>
      <c r="C883" t="s">
        <v>7452</v>
      </c>
      <c r="D883">
        <v>11.470448</v>
      </c>
    </row>
    <row r="884" spans="1:4">
      <c r="A884" t="s">
        <v>2501</v>
      </c>
      <c r="B884" t="s">
        <v>354</v>
      </c>
      <c r="C884" t="s">
        <v>7453</v>
      </c>
      <c r="D884">
        <v>11.470448</v>
      </c>
    </row>
    <row r="885" spans="1:4">
      <c r="A885" t="s">
        <v>2502</v>
      </c>
      <c r="B885" t="s">
        <v>355</v>
      </c>
      <c r="C885" t="s">
        <v>397</v>
      </c>
      <c r="D885">
        <v>358.868639</v>
      </c>
    </row>
    <row r="886" spans="1:4">
      <c r="A886" t="s">
        <v>2503</v>
      </c>
      <c r="B886" t="s">
        <v>355</v>
      </c>
      <c r="C886" t="s">
        <v>7319</v>
      </c>
      <c r="D886">
        <v>84.21811700000001</v>
      </c>
    </row>
    <row r="887" spans="1:4">
      <c r="A887" t="s">
        <v>2504</v>
      </c>
      <c r="B887" t="s">
        <v>355</v>
      </c>
      <c r="C887" t="s">
        <v>7320</v>
      </c>
      <c r="D887">
        <v>4.876174</v>
      </c>
    </row>
    <row r="888" spans="1:4">
      <c r="A888" t="s">
        <v>2505</v>
      </c>
      <c r="B888" t="s">
        <v>355</v>
      </c>
      <c r="C888" t="s">
        <v>7321</v>
      </c>
      <c r="D888">
        <v>3.763541</v>
      </c>
    </row>
    <row r="889" spans="1:4">
      <c r="A889" t="s">
        <v>2506</v>
      </c>
      <c r="B889" t="s">
        <v>355</v>
      </c>
      <c r="C889" t="s">
        <v>7322</v>
      </c>
      <c r="D889">
        <v>0.841194</v>
      </c>
    </row>
    <row r="890" spans="1:4">
      <c r="A890" t="s">
        <v>2507</v>
      </c>
      <c r="B890" t="s">
        <v>355</v>
      </c>
      <c r="C890" t="s">
        <v>7323</v>
      </c>
      <c r="D890">
        <v>172.788278</v>
      </c>
    </row>
    <row r="891" spans="1:4">
      <c r="A891" t="s">
        <v>2508</v>
      </c>
      <c r="B891" t="s">
        <v>355</v>
      </c>
      <c r="C891" t="s">
        <v>7324</v>
      </c>
      <c r="D891">
        <v>0.32653</v>
      </c>
    </row>
    <row r="892" spans="1:4">
      <c r="A892" t="s">
        <v>2509</v>
      </c>
      <c r="B892" t="s">
        <v>355</v>
      </c>
      <c r="C892" t="s">
        <v>7325</v>
      </c>
      <c r="D892">
        <v>0.221952</v>
      </c>
    </row>
    <row r="893" spans="1:4">
      <c r="A893" t="s">
        <v>2510</v>
      </c>
      <c r="B893" t="s">
        <v>355</v>
      </c>
      <c r="C893" t="s">
        <v>7292</v>
      </c>
      <c r="D893">
        <v>220.517502</v>
      </c>
    </row>
    <row r="894" spans="1:4">
      <c r="A894" t="s">
        <v>2511</v>
      </c>
      <c r="B894" t="s">
        <v>355</v>
      </c>
      <c r="C894" t="s">
        <v>7326</v>
      </c>
      <c r="D894">
        <v>172.788278</v>
      </c>
    </row>
    <row r="895" spans="1:4">
      <c r="A895" t="s">
        <v>2512</v>
      </c>
      <c r="B895" t="s">
        <v>355</v>
      </c>
      <c r="C895" t="s">
        <v>7327</v>
      </c>
      <c r="D895">
        <v>181.874069</v>
      </c>
    </row>
    <row r="896" spans="1:4">
      <c r="A896" t="s">
        <v>2513</v>
      </c>
      <c r="B896" t="s">
        <v>355</v>
      </c>
      <c r="C896" t="s">
        <v>7328</v>
      </c>
      <c r="D896">
        <v>183.486622</v>
      </c>
    </row>
    <row r="897" spans="1:4">
      <c r="A897" t="s">
        <v>2514</v>
      </c>
      <c r="B897" t="s">
        <v>355</v>
      </c>
      <c r="C897" t="s">
        <v>7329</v>
      </c>
      <c r="D897">
        <v>154.645564</v>
      </c>
    </row>
    <row r="898" spans="1:4">
      <c r="A898" t="s">
        <v>2515</v>
      </c>
      <c r="B898" t="s">
        <v>355</v>
      </c>
      <c r="C898" t="s">
        <v>7330</v>
      </c>
      <c r="D898">
        <v>2.515901</v>
      </c>
    </row>
    <row r="899" spans="1:4">
      <c r="A899" t="s">
        <v>2516</v>
      </c>
      <c r="B899" t="s">
        <v>355</v>
      </c>
      <c r="C899" t="s">
        <v>398</v>
      </c>
      <c r="D899">
        <v>183.486622</v>
      </c>
    </row>
    <row r="900" spans="1:4">
      <c r="A900" t="s">
        <v>2517</v>
      </c>
      <c r="B900" t="s">
        <v>355</v>
      </c>
      <c r="C900" t="s">
        <v>7331</v>
      </c>
      <c r="D900">
        <v>822.581925</v>
      </c>
    </row>
    <row r="901" spans="1:4">
      <c r="A901" t="s">
        <v>2518</v>
      </c>
      <c r="B901" t="s">
        <v>355</v>
      </c>
      <c r="C901" t="s">
        <v>7332</v>
      </c>
      <c r="D901">
        <v>0.103427</v>
      </c>
    </row>
    <row r="902" spans="1:4">
      <c r="A902" t="s">
        <v>2519</v>
      </c>
      <c r="B902" t="s">
        <v>355</v>
      </c>
      <c r="C902" t="s">
        <v>7333</v>
      </c>
      <c r="D902">
        <v>309.291127</v>
      </c>
    </row>
    <row r="903" spans="1:4">
      <c r="A903" t="s">
        <v>2520</v>
      </c>
      <c r="B903" t="s">
        <v>355</v>
      </c>
      <c r="C903" t="s">
        <v>7334</v>
      </c>
      <c r="D903">
        <v>241.661569</v>
      </c>
    </row>
    <row r="904" spans="1:4">
      <c r="A904" t="s">
        <v>2521</v>
      </c>
      <c r="B904" t="s">
        <v>355</v>
      </c>
      <c r="C904" t="s">
        <v>7335</v>
      </c>
      <c r="D904">
        <v>44.629225</v>
      </c>
    </row>
    <row r="905" spans="1:4">
      <c r="A905" t="s">
        <v>2522</v>
      </c>
      <c r="B905" t="s">
        <v>355</v>
      </c>
      <c r="C905" t="s">
        <v>7293</v>
      </c>
      <c r="D905">
        <v>61.754759</v>
      </c>
    </row>
    <row r="906" spans="1:4">
      <c r="A906" t="s">
        <v>2523</v>
      </c>
      <c r="B906" t="s">
        <v>355</v>
      </c>
      <c r="C906" t="s">
        <v>7336</v>
      </c>
      <c r="D906">
        <v>309.291127</v>
      </c>
    </row>
    <row r="907" spans="1:4">
      <c r="A907" t="s">
        <v>2524</v>
      </c>
      <c r="B907" t="s">
        <v>355</v>
      </c>
      <c r="C907" t="s">
        <v>7337</v>
      </c>
      <c r="D907">
        <v>3.22543</v>
      </c>
    </row>
    <row r="908" spans="1:4">
      <c r="A908" t="s">
        <v>2525</v>
      </c>
      <c r="B908" t="s">
        <v>355</v>
      </c>
      <c r="C908" t="s">
        <v>7338</v>
      </c>
      <c r="D908">
        <v>21.660243</v>
      </c>
    </row>
    <row r="909" spans="1:4">
      <c r="A909" t="s">
        <v>2526</v>
      </c>
      <c r="B909" t="s">
        <v>355</v>
      </c>
      <c r="C909" t="s">
        <v>7339</v>
      </c>
      <c r="D909">
        <v>112.894801</v>
      </c>
    </row>
    <row r="910" spans="1:4">
      <c r="A910" t="s">
        <v>2527</v>
      </c>
      <c r="B910" t="s">
        <v>355</v>
      </c>
      <c r="C910" t="s">
        <v>7340</v>
      </c>
      <c r="D910">
        <v>154.645564</v>
      </c>
    </row>
    <row r="911" spans="1:4">
      <c r="A911" t="s">
        <v>2528</v>
      </c>
      <c r="B911" t="s">
        <v>355</v>
      </c>
      <c r="C911" t="s">
        <v>7294</v>
      </c>
      <c r="D911">
        <v>224.005612</v>
      </c>
    </row>
    <row r="912" spans="1:4">
      <c r="A912" t="s">
        <v>2529</v>
      </c>
      <c r="B912" t="s">
        <v>355</v>
      </c>
      <c r="C912" t="s">
        <v>7341</v>
      </c>
      <c r="D912">
        <v>0.134878</v>
      </c>
    </row>
    <row r="913" spans="1:4">
      <c r="A913" t="s">
        <v>2530</v>
      </c>
      <c r="B913" t="s">
        <v>355</v>
      </c>
      <c r="C913" t="s">
        <v>7295</v>
      </c>
      <c r="D913">
        <v>393.643499</v>
      </c>
    </row>
    <row r="914" spans="1:4">
      <c r="A914" t="s">
        <v>2531</v>
      </c>
      <c r="B914" t="s">
        <v>355</v>
      </c>
      <c r="C914" t="s">
        <v>7342</v>
      </c>
      <c r="D914">
        <v>13581.676532</v>
      </c>
    </row>
    <row r="915" spans="1:4">
      <c r="A915" t="s">
        <v>2532</v>
      </c>
      <c r="B915" t="s">
        <v>355</v>
      </c>
      <c r="C915" t="s">
        <v>7343</v>
      </c>
      <c r="D915">
        <v>0.343607</v>
      </c>
    </row>
    <row r="916" spans="1:4">
      <c r="A916" t="s">
        <v>2533</v>
      </c>
      <c r="B916" t="s">
        <v>355</v>
      </c>
      <c r="C916" t="s">
        <v>7344</v>
      </c>
      <c r="D916">
        <v>45.499953</v>
      </c>
    </row>
    <row r="917" spans="1:4">
      <c r="A917" t="s">
        <v>2534</v>
      </c>
      <c r="B917" t="s">
        <v>355</v>
      </c>
      <c r="C917" t="s">
        <v>7296</v>
      </c>
      <c r="D917">
        <v>45.464307</v>
      </c>
    </row>
    <row r="918" spans="1:4">
      <c r="A918" t="s">
        <v>2535</v>
      </c>
      <c r="B918" t="s">
        <v>355</v>
      </c>
      <c r="C918" t="s">
        <v>7345</v>
      </c>
      <c r="D918">
        <v>0.08326</v>
      </c>
    </row>
    <row r="919" spans="1:4">
      <c r="A919" t="s">
        <v>2536</v>
      </c>
      <c r="B919" t="s">
        <v>355</v>
      </c>
      <c r="C919" t="s">
        <v>7346</v>
      </c>
      <c r="D919">
        <v>0.682613</v>
      </c>
    </row>
    <row r="920" spans="1:4">
      <c r="A920" t="s">
        <v>2537</v>
      </c>
      <c r="B920" t="s">
        <v>355</v>
      </c>
      <c r="C920" t="s">
        <v>7347</v>
      </c>
      <c r="D920">
        <v>12.887128</v>
      </c>
    </row>
    <row r="921" spans="1:4">
      <c r="A921" t="s">
        <v>2538</v>
      </c>
      <c r="B921" t="s">
        <v>355</v>
      </c>
      <c r="C921" t="s">
        <v>7348</v>
      </c>
      <c r="D921">
        <v>3.254602</v>
      </c>
    </row>
    <row r="922" spans="1:4">
      <c r="A922" t="s">
        <v>2539</v>
      </c>
      <c r="B922" t="s">
        <v>355</v>
      </c>
      <c r="C922" t="s">
        <v>7297</v>
      </c>
      <c r="D922">
        <v>14.776555</v>
      </c>
    </row>
    <row r="923" spans="1:4">
      <c r="A923" t="s">
        <v>2540</v>
      </c>
      <c r="B923" t="s">
        <v>355</v>
      </c>
      <c r="C923" t="s">
        <v>7349</v>
      </c>
      <c r="D923">
        <v>1.740318</v>
      </c>
    </row>
    <row r="924" spans="1:4">
      <c r="A924" t="s">
        <v>2541</v>
      </c>
      <c r="B924" t="s">
        <v>355</v>
      </c>
      <c r="C924" t="s">
        <v>7298</v>
      </c>
      <c r="D924">
        <v>48.084851</v>
      </c>
    </row>
    <row r="925" spans="1:4">
      <c r="A925" t="s">
        <v>2542</v>
      </c>
      <c r="B925" t="s">
        <v>355</v>
      </c>
      <c r="C925" t="s">
        <v>7350</v>
      </c>
      <c r="D925">
        <v>5.242292</v>
      </c>
    </row>
    <row r="926" spans="1:4">
      <c r="A926" t="s">
        <v>2543</v>
      </c>
      <c r="B926" t="s">
        <v>355</v>
      </c>
      <c r="C926" t="s">
        <v>7351</v>
      </c>
      <c r="D926">
        <v>2.328126</v>
      </c>
    </row>
    <row r="927" spans="1:4">
      <c r="A927" t="s">
        <v>2544</v>
      </c>
      <c r="B927" t="s">
        <v>355</v>
      </c>
      <c r="C927" t="s">
        <v>7352</v>
      </c>
      <c r="D927">
        <v>5.844009</v>
      </c>
    </row>
    <row r="928" spans="1:4">
      <c r="A928" t="s">
        <v>2545</v>
      </c>
      <c r="B928" t="s">
        <v>355</v>
      </c>
      <c r="C928" t="s">
        <v>7353</v>
      </c>
      <c r="D928">
        <v>20.619405</v>
      </c>
    </row>
    <row r="929" spans="1:4">
      <c r="A929" t="s">
        <v>2546</v>
      </c>
      <c r="B929" t="s">
        <v>355</v>
      </c>
      <c r="C929" t="s">
        <v>7354</v>
      </c>
      <c r="D929">
        <v>1.932706</v>
      </c>
    </row>
    <row r="930" spans="1:4">
      <c r="A930" t="s">
        <v>2547</v>
      </c>
      <c r="B930" t="s">
        <v>355</v>
      </c>
      <c r="C930" t="s">
        <v>7355</v>
      </c>
      <c r="D930">
        <v>140.270348</v>
      </c>
    </row>
    <row r="931" spans="1:4">
      <c r="A931" t="s">
        <v>2548</v>
      </c>
      <c r="B931" t="s">
        <v>355</v>
      </c>
      <c r="C931" t="s">
        <v>7356</v>
      </c>
      <c r="D931">
        <v>415.21305</v>
      </c>
    </row>
    <row r="932" spans="1:4">
      <c r="A932" t="s">
        <v>2549</v>
      </c>
      <c r="B932" t="s">
        <v>355</v>
      </c>
      <c r="C932" t="s">
        <v>7357</v>
      </c>
      <c r="D932">
        <v>48.084864</v>
      </c>
    </row>
    <row r="933" spans="1:4">
      <c r="A933" t="s">
        <v>2550</v>
      </c>
      <c r="B933" t="s">
        <v>355</v>
      </c>
      <c r="C933" t="s">
        <v>7299</v>
      </c>
      <c r="D933">
        <v>415.212089</v>
      </c>
    </row>
    <row r="934" spans="1:4">
      <c r="A934" t="s">
        <v>2551</v>
      </c>
      <c r="B934" t="s">
        <v>355</v>
      </c>
      <c r="C934" t="s">
        <v>7358</v>
      </c>
      <c r="D934">
        <v>115.749179</v>
      </c>
    </row>
    <row r="935" spans="1:4">
      <c r="A935" t="s">
        <v>2552</v>
      </c>
      <c r="B935" t="s">
        <v>355</v>
      </c>
      <c r="C935" t="s">
        <v>7359</v>
      </c>
      <c r="D935">
        <v>415.21305</v>
      </c>
    </row>
    <row r="936" spans="1:4">
      <c r="A936" t="s">
        <v>2553</v>
      </c>
      <c r="B936" t="s">
        <v>355</v>
      </c>
      <c r="C936" t="s">
        <v>7360</v>
      </c>
      <c r="D936">
        <v>26.589311</v>
      </c>
    </row>
    <row r="937" spans="1:4">
      <c r="A937" t="s">
        <v>2554</v>
      </c>
      <c r="B937" t="s">
        <v>355</v>
      </c>
      <c r="C937" t="s">
        <v>7361</v>
      </c>
      <c r="D937">
        <v>415.21305</v>
      </c>
    </row>
    <row r="938" spans="1:4">
      <c r="A938" t="s">
        <v>2555</v>
      </c>
      <c r="B938" t="s">
        <v>355</v>
      </c>
      <c r="C938" t="s">
        <v>7362</v>
      </c>
      <c r="D938">
        <v>4.166304</v>
      </c>
    </row>
    <row r="939" spans="1:4">
      <c r="A939" t="s">
        <v>2556</v>
      </c>
      <c r="B939" t="s">
        <v>355</v>
      </c>
      <c r="C939" t="s">
        <v>7363</v>
      </c>
      <c r="D939">
        <v>0.035264</v>
      </c>
    </row>
    <row r="940" spans="1:4">
      <c r="A940" t="s">
        <v>2557</v>
      </c>
      <c r="B940" t="s">
        <v>355</v>
      </c>
      <c r="C940" t="s">
        <v>7364</v>
      </c>
      <c r="D940">
        <v>40.499813</v>
      </c>
    </row>
    <row r="941" spans="1:4">
      <c r="A941" t="s">
        <v>2558</v>
      </c>
      <c r="B941" t="s">
        <v>355</v>
      </c>
      <c r="C941" t="s">
        <v>7365</v>
      </c>
      <c r="D941">
        <v>1.475608</v>
      </c>
    </row>
    <row r="942" spans="1:4">
      <c r="A942" t="s">
        <v>2559</v>
      </c>
      <c r="B942" t="s">
        <v>355</v>
      </c>
      <c r="C942" t="s">
        <v>7300</v>
      </c>
      <c r="D942">
        <v>39.461769</v>
      </c>
    </row>
    <row r="943" spans="1:4">
      <c r="A943" t="s">
        <v>2560</v>
      </c>
      <c r="B943" t="s">
        <v>355</v>
      </c>
      <c r="C943" t="s">
        <v>7366</v>
      </c>
      <c r="D943">
        <v>11.607051</v>
      </c>
    </row>
    <row r="944" spans="1:4">
      <c r="A944" t="s">
        <v>2561</v>
      </c>
      <c r="B944" t="s">
        <v>355</v>
      </c>
      <c r="C944" t="s">
        <v>7367</v>
      </c>
      <c r="D944">
        <v>47.630054</v>
      </c>
    </row>
    <row r="945" spans="1:4">
      <c r="A945" t="s">
        <v>2562</v>
      </c>
      <c r="B945" t="s">
        <v>355</v>
      </c>
      <c r="C945" t="s">
        <v>7368</v>
      </c>
      <c r="D945">
        <v>2.359362</v>
      </c>
    </row>
    <row r="946" spans="1:4">
      <c r="A946" t="s">
        <v>2563</v>
      </c>
      <c r="B946" t="s">
        <v>355</v>
      </c>
      <c r="C946" t="s">
        <v>7301</v>
      </c>
      <c r="D946">
        <v>0.017474</v>
      </c>
    </row>
    <row r="947" spans="1:4">
      <c r="A947" t="s">
        <v>2564</v>
      </c>
      <c r="B947" t="s">
        <v>355</v>
      </c>
      <c r="C947" t="s">
        <v>7302</v>
      </c>
      <c r="D947">
        <v>106.616961</v>
      </c>
    </row>
    <row r="948" spans="1:4">
      <c r="A948" t="s">
        <v>2565</v>
      </c>
      <c r="B948" t="s">
        <v>355</v>
      </c>
      <c r="C948" t="s">
        <v>7369</v>
      </c>
      <c r="D948">
        <v>415.21305</v>
      </c>
    </row>
    <row r="949" spans="1:4">
      <c r="A949" t="s">
        <v>2566</v>
      </c>
      <c r="B949" t="s">
        <v>355</v>
      </c>
      <c r="C949" t="s">
        <v>7303</v>
      </c>
      <c r="D949">
        <v>3.229244</v>
      </c>
    </row>
    <row r="950" spans="1:4">
      <c r="A950" t="s">
        <v>2567</v>
      </c>
      <c r="B950" t="s">
        <v>355</v>
      </c>
      <c r="C950" t="s">
        <v>7370</v>
      </c>
      <c r="D950">
        <v>0.235534</v>
      </c>
    </row>
    <row r="951" spans="1:4">
      <c r="A951" t="s">
        <v>2568</v>
      </c>
      <c r="B951" t="s">
        <v>355</v>
      </c>
      <c r="C951" t="s">
        <v>7371</v>
      </c>
      <c r="D951">
        <v>0.000234</v>
      </c>
    </row>
    <row r="952" spans="1:4">
      <c r="A952" t="s">
        <v>2569</v>
      </c>
      <c r="B952" t="s">
        <v>355</v>
      </c>
      <c r="C952" t="s">
        <v>7304</v>
      </c>
      <c r="D952">
        <v>2.499213</v>
      </c>
    </row>
    <row r="953" spans="1:4">
      <c r="A953" t="s">
        <v>2570</v>
      </c>
      <c r="B953" t="s">
        <v>355</v>
      </c>
      <c r="C953" t="s">
        <v>7372</v>
      </c>
      <c r="D953">
        <v>415.21305</v>
      </c>
    </row>
    <row r="954" spans="1:4">
      <c r="A954" t="s">
        <v>2571</v>
      </c>
      <c r="B954" t="s">
        <v>355</v>
      </c>
      <c r="C954" t="s">
        <v>7373</v>
      </c>
      <c r="D954">
        <v>1.956456</v>
      </c>
    </row>
    <row r="955" spans="1:4">
      <c r="A955" t="s">
        <v>2572</v>
      </c>
      <c r="B955" t="s">
        <v>355</v>
      </c>
      <c r="C955" t="s">
        <v>7374</v>
      </c>
      <c r="D955">
        <v>436.235428</v>
      </c>
    </row>
    <row r="956" spans="1:4">
      <c r="A956" t="s">
        <v>2573</v>
      </c>
      <c r="B956" t="s">
        <v>355</v>
      </c>
      <c r="C956" t="s">
        <v>7305</v>
      </c>
      <c r="D956">
        <v>1.943226</v>
      </c>
    </row>
    <row r="957" spans="1:4">
      <c r="A957" t="s">
        <v>2574</v>
      </c>
      <c r="B957" t="s">
        <v>355</v>
      </c>
      <c r="C957" t="s">
        <v>7375</v>
      </c>
      <c r="D957">
        <v>2.38203</v>
      </c>
    </row>
    <row r="958" spans="1:4">
      <c r="A958" t="s">
        <v>2575</v>
      </c>
      <c r="B958" t="s">
        <v>355</v>
      </c>
      <c r="C958" t="s">
        <v>7376</v>
      </c>
      <c r="D958">
        <v>3.535604</v>
      </c>
    </row>
    <row r="959" spans="1:4">
      <c r="A959" t="s">
        <v>2576</v>
      </c>
      <c r="B959" t="s">
        <v>355</v>
      </c>
      <c r="C959" t="s">
        <v>7377</v>
      </c>
      <c r="D959">
        <v>0.076498</v>
      </c>
    </row>
    <row r="960" spans="1:4">
      <c r="A960" t="s">
        <v>2577</v>
      </c>
      <c r="B960" t="s">
        <v>355</v>
      </c>
      <c r="C960" t="s">
        <v>7378</v>
      </c>
      <c r="D960">
        <v>220.517502</v>
      </c>
    </row>
    <row r="961" spans="1:4">
      <c r="A961" t="s">
        <v>2578</v>
      </c>
      <c r="B961" t="s">
        <v>355</v>
      </c>
      <c r="C961" t="s">
        <v>7379</v>
      </c>
      <c r="D961">
        <v>0.729456</v>
      </c>
    </row>
    <row r="962" spans="1:4">
      <c r="A962" t="s">
        <v>2579</v>
      </c>
      <c r="B962" t="s">
        <v>355</v>
      </c>
      <c r="C962" t="s">
        <v>7306</v>
      </c>
      <c r="D962">
        <v>0.204113</v>
      </c>
    </row>
    <row r="963" spans="1:4">
      <c r="A963" t="s">
        <v>2580</v>
      </c>
      <c r="B963" t="s">
        <v>355</v>
      </c>
      <c r="C963" t="s">
        <v>7380</v>
      </c>
      <c r="D963">
        <v>1001.475244</v>
      </c>
    </row>
    <row r="964" spans="1:4">
      <c r="A964" t="s">
        <v>2581</v>
      </c>
      <c r="B964" t="s">
        <v>355</v>
      </c>
      <c r="C964" t="s">
        <v>7381</v>
      </c>
      <c r="D964">
        <v>371.149608</v>
      </c>
    </row>
    <row r="965" spans="1:4">
      <c r="A965" t="s">
        <v>2582</v>
      </c>
      <c r="B965" t="s">
        <v>355</v>
      </c>
      <c r="C965" t="s">
        <v>7382</v>
      </c>
      <c r="D965">
        <v>0.654652</v>
      </c>
    </row>
    <row r="966" spans="1:4">
      <c r="A966" t="s">
        <v>2583</v>
      </c>
      <c r="B966" t="s">
        <v>355</v>
      </c>
      <c r="C966" t="s">
        <v>7383</v>
      </c>
      <c r="D966">
        <v>0.014086</v>
      </c>
    </row>
    <row r="967" spans="1:4">
      <c r="A967" t="s">
        <v>2584</v>
      </c>
      <c r="B967" t="s">
        <v>355</v>
      </c>
      <c r="C967" t="s">
        <v>7384</v>
      </c>
      <c r="D967">
        <v>0.003456</v>
      </c>
    </row>
    <row r="968" spans="1:4">
      <c r="A968" t="s">
        <v>2585</v>
      </c>
      <c r="B968" t="s">
        <v>355</v>
      </c>
      <c r="C968" t="s">
        <v>7385</v>
      </c>
      <c r="D968">
        <v>0.92121</v>
      </c>
    </row>
    <row r="969" spans="1:4">
      <c r="A969" t="s">
        <v>2586</v>
      </c>
      <c r="B969" t="s">
        <v>355</v>
      </c>
      <c r="C969" t="s">
        <v>7386</v>
      </c>
      <c r="D969">
        <v>1.68669</v>
      </c>
    </row>
    <row r="970" spans="1:4">
      <c r="A970" t="s">
        <v>2587</v>
      </c>
      <c r="B970" t="s">
        <v>355</v>
      </c>
      <c r="C970" t="s">
        <v>7387</v>
      </c>
      <c r="D970">
        <v>18.781416</v>
      </c>
    </row>
    <row r="971" spans="1:4">
      <c r="A971" t="s">
        <v>2588</v>
      </c>
      <c r="B971" t="s">
        <v>355</v>
      </c>
      <c r="C971" t="s">
        <v>7388</v>
      </c>
      <c r="D971">
        <v>48.541056</v>
      </c>
    </row>
    <row r="972" spans="1:4">
      <c r="A972" t="s">
        <v>2589</v>
      </c>
      <c r="B972" t="s">
        <v>355</v>
      </c>
      <c r="C972" t="s">
        <v>7389</v>
      </c>
      <c r="D972">
        <v>33.519289</v>
      </c>
    </row>
    <row r="973" spans="1:4">
      <c r="A973" t="s">
        <v>2590</v>
      </c>
      <c r="B973" t="s">
        <v>355</v>
      </c>
      <c r="C973" t="s">
        <v>7390</v>
      </c>
      <c r="D973">
        <v>17.815726</v>
      </c>
    </row>
    <row r="974" spans="1:4">
      <c r="A974" t="s">
        <v>2591</v>
      </c>
      <c r="B974" t="s">
        <v>355</v>
      </c>
      <c r="C974" t="s">
        <v>7391</v>
      </c>
      <c r="D974">
        <v>0.073905</v>
      </c>
    </row>
    <row r="975" spans="1:4">
      <c r="A975" t="s">
        <v>2592</v>
      </c>
      <c r="B975" t="s">
        <v>355</v>
      </c>
      <c r="C975" t="s">
        <v>7392</v>
      </c>
      <c r="D975">
        <v>5.816668</v>
      </c>
    </row>
    <row r="976" spans="1:4">
      <c r="A976" t="s">
        <v>2593</v>
      </c>
      <c r="B976" t="s">
        <v>355</v>
      </c>
      <c r="C976" t="s">
        <v>7393</v>
      </c>
      <c r="D976">
        <v>0.146986</v>
      </c>
    </row>
    <row r="977" spans="1:4">
      <c r="A977" t="s">
        <v>2594</v>
      </c>
      <c r="B977" t="s">
        <v>355</v>
      </c>
      <c r="C977" t="s">
        <v>7394</v>
      </c>
      <c r="D977">
        <v>0.085535</v>
      </c>
    </row>
    <row r="978" spans="1:4">
      <c r="A978" t="s">
        <v>2595</v>
      </c>
      <c r="B978" t="s">
        <v>355</v>
      </c>
      <c r="C978" t="s">
        <v>7395</v>
      </c>
      <c r="D978">
        <v>38.312407</v>
      </c>
    </row>
    <row r="979" spans="1:4">
      <c r="A979" t="s">
        <v>2596</v>
      </c>
      <c r="B979" t="s">
        <v>355</v>
      </c>
      <c r="C979" t="s">
        <v>7396</v>
      </c>
      <c r="D979">
        <v>7.722281</v>
      </c>
    </row>
    <row r="980" spans="1:4">
      <c r="A980" t="s">
        <v>2597</v>
      </c>
      <c r="B980" t="s">
        <v>355</v>
      </c>
      <c r="C980" t="s">
        <v>7397</v>
      </c>
      <c r="D980">
        <v>6.534651</v>
      </c>
    </row>
    <row r="981" spans="1:4">
      <c r="A981" t="s">
        <v>2598</v>
      </c>
      <c r="B981" t="s">
        <v>355</v>
      </c>
      <c r="C981" t="s">
        <v>7398</v>
      </c>
      <c r="D981">
        <v>19.981523</v>
      </c>
    </row>
    <row r="982" spans="1:4">
      <c r="A982" t="s">
        <v>2599</v>
      </c>
      <c r="B982" t="s">
        <v>355</v>
      </c>
      <c r="C982" t="s">
        <v>7399</v>
      </c>
      <c r="D982">
        <v>0.176971</v>
      </c>
    </row>
    <row r="983" spans="1:4">
      <c r="A983" t="s">
        <v>2600</v>
      </c>
      <c r="B983" t="s">
        <v>355</v>
      </c>
      <c r="C983" t="s">
        <v>7307</v>
      </c>
      <c r="D983">
        <v>17.852</v>
      </c>
    </row>
    <row r="984" spans="1:4">
      <c r="A984" t="s">
        <v>2601</v>
      </c>
      <c r="B984" t="s">
        <v>355</v>
      </c>
      <c r="C984" t="s">
        <v>7308</v>
      </c>
      <c r="D984">
        <v>77.947886</v>
      </c>
    </row>
    <row r="985" spans="1:4">
      <c r="A985" t="s">
        <v>2602</v>
      </c>
      <c r="B985" t="s">
        <v>355</v>
      </c>
      <c r="C985" t="s">
        <v>7400</v>
      </c>
      <c r="D985">
        <v>4.840564</v>
      </c>
    </row>
    <row r="986" spans="1:4">
      <c r="A986" t="s">
        <v>2603</v>
      </c>
      <c r="B986" t="s">
        <v>355</v>
      </c>
      <c r="C986" t="s">
        <v>7401</v>
      </c>
      <c r="D986">
        <v>18.781416</v>
      </c>
    </row>
    <row r="987" spans="1:4">
      <c r="A987" t="s">
        <v>2604</v>
      </c>
      <c r="B987" t="s">
        <v>355</v>
      </c>
      <c r="C987" t="s">
        <v>7402</v>
      </c>
      <c r="D987">
        <v>0.227459</v>
      </c>
    </row>
    <row r="988" spans="1:4">
      <c r="A988" t="s">
        <v>2605</v>
      </c>
      <c r="B988" t="s">
        <v>355</v>
      </c>
      <c r="C988" t="s">
        <v>7403</v>
      </c>
      <c r="D988">
        <v>8.389957000000001</v>
      </c>
    </row>
    <row r="989" spans="1:4">
      <c r="A989" t="s">
        <v>2606</v>
      </c>
      <c r="B989" t="s">
        <v>355</v>
      </c>
      <c r="C989" t="s">
        <v>7309</v>
      </c>
      <c r="D989">
        <v>33.367789</v>
      </c>
    </row>
    <row r="990" spans="1:4">
      <c r="A990" t="s">
        <v>2607</v>
      </c>
      <c r="B990" t="s">
        <v>355</v>
      </c>
      <c r="C990" t="s">
        <v>7404</v>
      </c>
      <c r="D990">
        <v>2.015894</v>
      </c>
    </row>
    <row r="991" spans="1:4">
      <c r="A991" t="s">
        <v>2608</v>
      </c>
      <c r="B991" t="s">
        <v>355</v>
      </c>
      <c r="C991" t="s">
        <v>7310</v>
      </c>
      <c r="D991">
        <v>181.022429</v>
      </c>
    </row>
    <row r="992" spans="1:4">
      <c r="A992" t="s">
        <v>2609</v>
      </c>
      <c r="B992" t="s">
        <v>355</v>
      </c>
      <c r="C992" t="s">
        <v>7405</v>
      </c>
      <c r="D992">
        <v>804.403737</v>
      </c>
    </row>
    <row r="993" spans="1:4">
      <c r="A993" t="s">
        <v>2610</v>
      </c>
      <c r="B993" t="s">
        <v>355</v>
      </c>
      <c r="C993" t="s">
        <v>7406</v>
      </c>
      <c r="D993">
        <v>309.291127</v>
      </c>
    </row>
    <row r="994" spans="1:4">
      <c r="A994" t="s">
        <v>2611</v>
      </c>
      <c r="B994" t="s">
        <v>355</v>
      </c>
      <c r="C994" t="s">
        <v>7407</v>
      </c>
      <c r="D994">
        <v>90.521511</v>
      </c>
    </row>
    <row r="995" spans="1:4">
      <c r="A995" t="s">
        <v>2612</v>
      </c>
      <c r="B995" t="s">
        <v>355</v>
      </c>
      <c r="C995" t="s">
        <v>7408</v>
      </c>
      <c r="D995">
        <v>70.86740500000001</v>
      </c>
    </row>
    <row r="996" spans="1:4">
      <c r="A996" t="s">
        <v>2613</v>
      </c>
      <c r="B996" t="s">
        <v>355</v>
      </c>
      <c r="C996" t="s">
        <v>7311</v>
      </c>
      <c r="D996">
        <v>5.018027</v>
      </c>
    </row>
    <row r="997" spans="1:4">
      <c r="A997" t="s">
        <v>2614</v>
      </c>
      <c r="B997" t="s">
        <v>355</v>
      </c>
      <c r="C997" t="s">
        <v>7409</v>
      </c>
      <c r="D997">
        <v>1.109444</v>
      </c>
    </row>
    <row r="998" spans="1:4">
      <c r="A998" t="s">
        <v>2615</v>
      </c>
      <c r="B998" t="s">
        <v>355</v>
      </c>
      <c r="C998" t="s">
        <v>7312</v>
      </c>
      <c r="D998">
        <v>84.61781499999999</v>
      </c>
    </row>
    <row r="999" spans="1:4">
      <c r="A999" t="s">
        <v>2616</v>
      </c>
      <c r="B999" t="s">
        <v>355</v>
      </c>
      <c r="C999" t="s">
        <v>7410</v>
      </c>
      <c r="D999">
        <v>0.050212</v>
      </c>
    </row>
    <row r="1000" spans="1:4">
      <c r="A1000" t="s">
        <v>2617</v>
      </c>
      <c r="B1000" t="s">
        <v>355</v>
      </c>
      <c r="C1000" t="s">
        <v>7411</v>
      </c>
      <c r="D1000">
        <v>84.970073</v>
      </c>
    </row>
    <row r="1001" spans="1:4">
      <c r="A1001" t="s">
        <v>2618</v>
      </c>
      <c r="B1001" t="s">
        <v>355</v>
      </c>
      <c r="C1001" t="s">
        <v>7313</v>
      </c>
      <c r="D1001">
        <v>68.384119</v>
      </c>
    </row>
    <row r="1002" spans="1:4">
      <c r="A1002" t="s">
        <v>2619</v>
      </c>
      <c r="B1002" t="s">
        <v>355</v>
      </c>
      <c r="C1002" t="s">
        <v>7412</v>
      </c>
      <c r="D1002">
        <v>3.056237</v>
      </c>
    </row>
    <row r="1003" spans="1:4">
      <c r="A1003" t="s">
        <v>2620</v>
      </c>
      <c r="B1003" t="s">
        <v>355</v>
      </c>
      <c r="C1003" t="s">
        <v>7413</v>
      </c>
      <c r="D1003">
        <v>4.335962</v>
      </c>
    </row>
    <row r="1004" spans="1:4">
      <c r="A1004" t="s">
        <v>2621</v>
      </c>
      <c r="B1004" t="s">
        <v>355</v>
      </c>
      <c r="C1004" t="s">
        <v>7414</v>
      </c>
      <c r="D1004">
        <v>0.210864</v>
      </c>
    </row>
    <row r="1005" spans="1:4">
      <c r="A1005" t="s">
        <v>2622</v>
      </c>
      <c r="B1005" t="s">
        <v>355</v>
      </c>
      <c r="C1005" t="s">
        <v>7415</v>
      </c>
      <c r="D1005">
        <v>82.47762400000001</v>
      </c>
    </row>
    <row r="1006" spans="1:4">
      <c r="A1006" t="s">
        <v>2623</v>
      </c>
      <c r="B1006" t="s">
        <v>355</v>
      </c>
      <c r="C1006" t="s">
        <v>7416</v>
      </c>
      <c r="D1006">
        <v>38.979396</v>
      </c>
    </row>
    <row r="1007" spans="1:4">
      <c r="A1007" t="s">
        <v>2624</v>
      </c>
      <c r="B1007" t="s">
        <v>355</v>
      </c>
      <c r="C1007" t="s">
        <v>7417</v>
      </c>
      <c r="D1007">
        <v>22.179816</v>
      </c>
    </row>
    <row r="1008" spans="1:4">
      <c r="A1008" t="s">
        <v>2625</v>
      </c>
      <c r="B1008" t="s">
        <v>355</v>
      </c>
      <c r="C1008" t="s">
        <v>7418</v>
      </c>
      <c r="D1008">
        <v>0.690496</v>
      </c>
    </row>
    <row r="1009" spans="1:4">
      <c r="A1009" t="s">
        <v>2626</v>
      </c>
      <c r="B1009" t="s">
        <v>355</v>
      </c>
      <c r="C1009" t="s">
        <v>7314</v>
      </c>
      <c r="D1009">
        <v>33.026854</v>
      </c>
    </row>
    <row r="1010" spans="1:4">
      <c r="A1010" t="s">
        <v>2627</v>
      </c>
      <c r="B1010" t="s">
        <v>355</v>
      </c>
      <c r="C1010" t="s">
        <v>7315</v>
      </c>
      <c r="D1010">
        <v>241.661569</v>
      </c>
    </row>
    <row r="1011" spans="1:4">
      <c r="A1011" t="s">
        <v>2628</v>
      </c>
      <c r="B1011" t="s">
        <v>355</v>
      </c>
      <c r="C1011" t="s">
        <v>7419</v>
      </c>
      <c r="D1011">
        <v>415.21305</v>
      </c>
    </row>
    <row r="1012" spans="1:4">
      <c r="A1012" t="s">
        <v>2629</v>
      </c>
      <c r="B1012" t="s">
        <v>355</v>
      </c>
      <c r="C1012" t="s">
        <v>7420</v>
      </c>
      <c r="D1012">
        <v>12.710091</v>
      </c>
    </row>
    <row r="1013" spans="1:4">
      <c r="A1013" t="s">
        <v>2630</v>
      </c>
      <c r="B1013" t="s">
        <v>355</v>
      </c>
      <c r="C1013" t="s">
        <v>7421</v>
      </c>
      <c r="D1013">
        <v>0.01271</v>
      </c>
    </row>
    <row r="1014" spans="1:4">
      <c r="A1014" t="s">
        <v>2631</v>
      </c>
      <c r="B1014" t="s">
        <v>355</v>
      </c>
      <c r="C1014" t="s">
        <v>7422</v>
      </c>
      <c r="D1014">
        <v>0.540519</v>
      </c>
    </row>
    <row r="1015" spans="1:4">
      <c r="A1015" t="s">
        <v>2632</v>
      </c>
      <c r="B1015" t="s">
        <v>355</v>
      </c>
      <c r="C1015" t="s">
        <v>7423</v>
      </c>
      <c r="D1015">
        <v>8.240656</v>
      </c>
    </row>
    <row r="1016" spans="1:4">
      <c r="A1016" t="s">
        <v>2633</v>
      </c>
      <c r="B1016" t="s">
        <v>355</v>
      </c>
      <c r="C1016" t="s">
        <v>7424</v>
      </c>
      <c r="D1016">
        <v>0.06394</v>
      </c>
    </row>
    <row r="1017" spans="1:4">
      <c r="A1017" t="s">
        <v>2634</v>
      </c>
      <c r="B1017" t="s">
        <v>355</v>
      </c>
      <c r="C1017" t="s">
        <v>7425</v>
      </c>
      <c r="D1017">
        <v>14.6477</v>
      </c>
    </row>
    <row r="1018" spans="1:4">
      <c r="A1018" t="s">
        <v>2635</v>
      </c>
      <c r="B1018" t="s">
        <v>355</v>
      </c>
      <c r="C1018" t="s">
        <v>7426</v>
      </c>
      <c r="D1018">
        <v>2.7233</v>
      </c>
    </row>
    <row r="1019" spans="1:4">
      <c r="A1019" t="s">
        <v>2636</v>
      </c>
      <c r="B1019" t="s">
        <v>355</v>
      </c>
      <c r="C1019" t="s">
        <v>7427</v>
      </c>
      <c r="D1019">
        <v>18.781416</v>
      </c>
    </row>
    <row r="1020" spans="1:4">
      <c r="A1020" t="s">
        <v>2637</v>
      </c>
      <c r="B1020" t="s">
        <v>355</v>
      </c>
      <c r="C1020" t="s">
        <v>7316</v>
      </c>
      <c r="D1020">
        <v>9.469118</v>
      </c>
    </row>
    <row r="1021" spans="1:4">
      <c r="A1021" t="s">
        <v>2638</v>
      </c>
      <c r="B1021" t="s">
        <v>355</v>
      </c>
      <c r="C1021" t="s">
        <v>7428</v>
      </c>
      <c r="D1021">
        <v>33.35455</v>
      </c>
    </row>
    <row r="1022" spans="1:4">
      <c r="A1022" t="s">
        <v>2639</v>
      </c>
      <c r="B1022" t="s">
        <v>355</v>
      </c>
      <c r="C1022" t="s">
        <v>7429</v>
      </c>
      <c r="D1022">
        <v>88.398802</v>
      </c>
    </row>
    <row r="1023" spans="1:4">
      <c r="A1023" t="s">
        <v>2640</v>
      </c>
      <c r="B1023" t="s">
        <v>355</v>
      </c>
      <c r="C1023" t="s">
        <v>7430</v>
      </c>
      <c r="D1023">
        <v>106.264982</v>
      </c>
    </row>
    <row r="1024" spans="1:4">
      <c r="A1024" t="s">
        <v>2641</v>
      </c>
      <c r="B1024" t="s">
        <v>355</v>
      </c>
      <c r="C1024" t="s">
        <v>7431</v>
      </c>
      <c r="D1024">
        <v>130.722292</v>
      </c>
    </row>
    <row r="1025" spans="1:4">
      <c r="A1025" t="s">
        <v>2642</v>
      </c>
      <c r="B1025" t="s">
        <v>355</v>
      </c>
      <c r="C1025" t="s">
        <v>7317</v>
      </c>
      <c r="D1025">
        <v>6.764956</v>
      </c>
    </row>
    <row r="1026" spans="1:4">
      <c r="A1026" t="s">
        <v>2643</v>
      </c>
      <c r="B1026" t="s">
        <v>355</v>
      </c>
      <c r="C1026" t="s">
        <v>7432</v>
      </c>
      <c r="D1026">
        <v>40.739394</v>
      </c>
    </row>
    <row r="1027" spans="1:4">
      <c r="A1027" t="s">
        <v>2644</v>
      </c>
      <c r="B1027" t="s">
        <v>355</v>
      </c>
      <c r="C1027" t="s">
        <v>7433</v>
      </c>
      <c r="D1027">
        <v>220.517502</v>
      </c>
    </row>
    <row r="1028" spans="1:4">
      <c r="A1028" t="s">
        <v>2645</v>
      </c>
      <c r="B1028" t="s">
        <v>355</v>
      </c>
      <c r="C1028" t="s">
        <v>7434</v>
      </c>
      <c r="D1028">
        <v>9.825200000000001</v>
      </c>
    </row>
    <row r="1029" spans="1:4">
      <c r="A1029" t="s">
        <v>2646</v>
      </c>
      <c r="B1029" t="s">
        <v>355</v>
      </c>
      <c r="C1029" t="s">
        <v>7435</v>
      </c>
      <c r="D1029">
        <v>0.118912</v>
      </c>
    </row>
    <row r="1030" spans="1:4">
      <c r="A1030" t="s">
        <v>2647</v>
      </c>
      <c r="B1030" t="s">
        <v>355</v>
      </c>
      <c r="C1030" t="s">
        <v>7436</v>
      </c>
      <c r="D1030">
        <v>6.984818</v>
      </c>
    </row>
    <row r="1031" spans="1:4">
      <c r="A1031" t="s">
        <v>2648</v>
      </c>
      <c r="B1031" t="s">
        <v>355</v>
      </c>
      <c r="C1031" t="s">
        <v>7437</v>
      </c>
      <c r="D1031">
        <v>0.08241900000000001</v>
      </c>
    </row>
    <row r="1032" spans="1:4">
      <c r="A1032" t="s">
        <v>2649</v>
      </c>
      <c r="B1032" t="s">
        <v>355</v>
      </c>
      <c r="C1032" t="s">
        <v>399</v>
      </c>
      <c r="D1032">
        <v>309.290861</v>
      </c>
    </row>
    <row r="1033" spans="1:4">
      <c r="A1033" t="s">
        <v>2650</v>
      </c>
      <c r="B1033" t="s">
        <v>355</v>
      </c>
      <c r="C1033" t="s">
        <v>7438</v>
      </c>
      <c r="D1033">
        <v>7.657544</v>
      </c>
    </row>
    <row r="1034" spans="1:4">
      <c r="A1034" t="s">
        <v>2651</v>
      </c>
      <c r="B1034" t="s">
        <v>355</v>
      </c>
      <c r="C1034" t="s">
        <v>7439</v>
      </c>
      <c r="D1034">
        <v>0.025593</v>
      </c>
    </row>
    <row r="1035" spans="1:4">
      <c r="A1035" t="s">
        <v>2652</v>
      </c>
      <c r="B1035" t="s">
        <v>355</v>
      </c>
      <c r="C1035" t="s">
        <v>7440</v>
      </c>
      <c r="D1035">
        <v>0.58305</v>
      </c>
    </row>
    <row r="1036" spans="1:4">
      <c r="A1036" t="s">
        <v>2653</v>
      </c>
      <c r="B1036" t="s">
        <v>355</v>
      </c>
      <c r="C1036" t="s">
        <v>7441</v>
      </c>
      <c r="D1036">
        <v>0.011834</v>
      </c>
    </row>
    <row r="1037" spans="1:4">
      <c r="A1037" t="s">
        <v>2654</v>
      </c>
      <c r="B1037" t="s">
        <v>355</v>
      </c>
      <c r="C1037" t="s">
        <v>7442</v>
      </c>
      <c r="D1037">
        <v>2.616808</v>
      </c>
    </row>
    <row r="1038" spans="1:4">
      <c r="A1038" t="s">
        <v>2655</v>
      </c>
      <c r="B1038" t="s">
        <v>355</v>
      </c>
      <c r="C1038" t="s">
        <v>7443</v>
      </c>
      <c r="D1038">
        <v>115.141496</v>
      </c>
    </row>
    <row r="1039" spans="1:4">
      <c r="A1039" t="s">
        <v>2656</v>
      </c>
      <c r="B1039" t="s">
        <v>355</v>
      </c>
      <c r="C1039" t="s">
        <v>7444</v>
      </c>
      <c r="D1039">
        <v>0.547092</v>
      </c>
    </row>
    <row r="1040" spans="1:4">
      <c r="A1040" t="s">
        <v>2657</v>
      </c>
      <c r="B1040" t="s">
        <v>355</v>
      </c>
      <c r="C1040" t="s">
        <v>7445</v>
      </c>
      <c r="D1040">
        <v>114.552262</v>
      </c>
    </row>
    <row r="1041" spans="1:4">
      <c r="A1041" t="s">
        <v>2658</v>
      </c>
      <c r="B1041" t="s">
        <v>355</v>
      </c>
      <c r="C1041" t="s">
        <v>7446</v>
      </c>
      <c r="D1041">
        <v>172.788278</v>
      </c>
    </row>
    <row r="1042" spans="1:4">
      <c r="A1042" t="s">
        <v>2659</v>
      </c>
      <c r="B1042" t="s">
        <v>355</v>
      </c>
      <c r="C1042" t="s">
        <v>7447</v>
      </c>
      <c r="D1042">
        <v>422.894932</v>
      </c>
    </row>
    <row r="1043" spans="1:4">
      <c r="A1043" t="s">
        <v>2660</v>
      </c>
      <c r="B1043" t="s">
        <v>355</v>
      </c>
      <c r="C1043" t="s">
        <v>7448</v>
      </c>
      <c r="D1043">
        <v>0.547092</v>
      </c>
    </row>
    <row r="1044" spans="1:4">
      <c r="A1044" t="s">
        <v>2661</v>
      </c>
      <c r="B1044" t="s">
        <v>355</v>
      </c>
      <c r="C1044" t="s">
        <v>7449</v>
      </c>
      <c r="D1044">
        <v>3.007313</v>
      </c>
    </row>
    <row r="1045" spans="1:4">
      <c r="A1045" t="s">
        <v>2662</v>
      </c>
      <c r="B1045" t="s">
        <v>355</v>
      </c>
      <c r="C1045" t="s">
        <v>7450</v>
      </c>
      <c r="D1045">
        <v>1.294065</v>
      </c>
    </row>
    <row r="1046" spans="1:4">
      <c r="A1046" t="s">
        <v>2663</v>
      </c>
      <c r="B1046" t="s">
        <v>355</v>
      </c>
      <c r="C1046" t="s">
        <v>7318</v>
      </c>
      <c r="D1046">
        <v>18.78138</v>
      </c>
    </row>
    <row r="1047" spans="1:4">
      <c r="A1047" t="s">
        <v>2664</v>
      </c>
      <c r="B1047" t="s">
        <v>355</v>
      </c>
      <c r="C1047" t="s">
        <v>7451</v>
      </c>
      <c r="D1047">
        <v>16.377951</v>
      </c>
    </row>
    <row r="1048" spans="1:4">
      <c r="A1048" t="s">
        <v>2665</v>
      </c>
      <c r="B1048" t="s">
        <v>355</v>
      </c>
      <c r="C1048" t="s">
        <v>7452</v>
      </c>
      <c r="D1048">
        <v>11.738244</v>
      </c>
    </row>
    <row r="1049" spans="1:4">
      <c r="A1049" t="s">
        <v>2666</v>
      </c>
      <c r="B1049" t="s">
        <v>355</v>
      </c>
      <c r="C1049" t="s">
        <v>7453</v>
      </c>
      <c r="D1049">
        <v>11.738244</v>
      </c>
    </row>
    <row r="1050" spans="1:4">
      <c r="A1050" t="s">
        <v>2667</v>
      </c>
      <c r="B1050" t="s">
        <v>356</v>
      </c>
      <c r="C1050" t="s">
        <v>397</v>
      </c>
      <c r="D1050">
        <v>355.926405</v>
      </c>
    </row>
    <row r="1051" spans="1:4">
      <c r="A1051" t="s">
        <v>2668</v>
      </c>
      <c r="B1051" t="s">
        <v>356</v>
      </c>
      <c r="C1051" t="s">
        <v>7319</v>
      </c>
      <c r="D1051">
        <v>83.31446800000001</v>
      </c>
    </row>
    <row r="1052" spans="1:4">
      <c r="A1052" t="s">
        <v>2669</v>
      </c>
      <c r="B1052" t="s">
        <v>356</v>
      </c>
      <c r="C1052" t="s">
        <v>7320</v>
      </c>
      <c r="D1052">
        <v>4.842141</v>
      </c>
    </row>
    <row r="1053" spans="1:4">
      <c r="A1053" t="s">
        <v>2670</v>
      </c>
      <c r="B1053" t="s">
        <v>356</v>
      </c>
      <c r="C1053" t="s">
        <v>7321</v>
      </c>
      <c r="D1053">
        <v>3.72716</v>
      </c>
    </row>
    <row r="1054" spans="1:4">
      <c r="A1054" t="s">
        <v>2671</v>
      </c>
      <c r="B1054" t="s">
        <v>356</v>
      </c>
      <c r="C1054" t="s">
        <v>7322</v>
      </c>
      <c r="D1054">
        <v>0.831506</v>
      </c>
    </row>
    <row r="1055" spans="1:4">
      <c r="A1055" t="s">
        <v>2672</v>
      </c>
      <c r="B1055" t="s">
        <v>356</v>
      </c>
      <c r="C1055" t="s">
        <v>7323</v>
      </c>
      <c r="D1055">
        <v>170.934299</v>
      </c>
    </row>
    <row r="1056" spans="1:4">
      <c r="A1056" t="s">
        <v>2673</v>
      </c>
      <c r="B1056" t="s">
        <v>356</v>
      </c>
      <c r="C1056" t="s">
        <v>7324</v>
      </c>
      <c r="D1056">
        <v>0.32314</v>
      </c>
    </row>
    <row r="1057" spans="1:4">
      <c r="A1057" t="s">
        <v>2674</v>
      </c>
      <c r="B1057" t="s">
        <v>356</v>
      </c>
      <c r="C1057" t="s">
        <v>7325</v>
      </c>
      <c r="D1057">
        <v>0.217327</v>
      </c>
    </row>
    <row r="1058" spans="1:4">
      <c r="A1058" t="s">
        <v>2675</v>
      </c>
      <c r="B1058" t="s">
        <v>356</v>
      </c>
      <c r="C1058" t="s">
        <v>7292</v>
      </c>
      <c r="D1058">
        <v>219.27047</v>
      </c>
    </row>
    <row r="1059" spans="1:4">
      <c r="A1059" t="s">
        <v>2676</v>
      </c>
      <c r="B1059" t="s">
        <v>356</v>
      </c>
      <c r="C1059" t="s">
        <v>7326</v>
      </c>
      <c r="D1059">
        <v>170.934299</v>
      </c>
    </row>
    <row r="1060" spans="1:4">
      <c r="A1060" t="s">
        <v>2677</v>
      </c>
      <c r="B1060" t="s">
        <v>356</v>
      </c>
      <c r="C1060" t="s">
        <v>7327</v>
      </c>
      <c r="D1060">
        <v>179.844647</v>
      </c>
    </row>
    <row r="1061" spans="1:4">
      <c r="A1061" t="s">
        <v>2678</v>
      </c>
      <c r="B1061" t="s">
        <v>356</v>
      </c>
      <c r="C1061" t="s">
        <v>7328</v>
      </c>
      <c r="D1061">
        <v>181.982281</v>
      </c>
    </row>
    <row r="1062" spans="1:4">
      <c r="A1062" t="s">
        <v>2679</v>
      </c>
      <c r="B1062" t="s">
        <v>356</v>
      </c>
      <c r="C1062" t="s">
        <v>7329</v>
      </c>
      <c r="D1062">
        <v>152.986148</v>
      </c>
    </row>
    <row r="1063" spans="1:4">
      <c r="A1063" t="s">
        <v>2680</v>
      </c>
      <c r="B1063" t="s">
        <v>356</v>
      </c>
      <c r="C1063" t="s">
        <v>7330</v>
      </c>
      <c r="D1063">
        <v>2.492094</v>
      </c>
    </row>
    <row r="1064" spans="1:4">
      <c r="A1064" t="s">
        <v>2681</v>
      </c>
      <c r="B1064" t="s">
        <v>356</v>
      </c>
      <c r="C1064" t="s">
        <v>398</v>
      </c>
      <c r="D1064">
        <v>181.982281</v>
      </c>
    </row>
    <row r="1065" spans="1:4">
      <c r="A1065" t="s">
        <v>2682</v>
      </c>
      <c r="B1065" t="s">
        <v>356</v>
      </c>
      <c r="C1065" t="s">
        <v>7331</v>
      </c>
      <c r="D1065">
        <v>813.75625</v>
      </c>
    </row>
    <row r="1066" spans="1:4">
      <c r="A1066" t="s">
        <v>2683</v>
      </c>
      <c r="B1066" t="s">
        <v>356</v>
      </c>
      <c r="C1066" t="s">
        <v>7332</v>
      </c>
      <c r="D1066">
        <v>0.102445</v>
      </c>
    </row>
    <row r="1067" spans="1:4">
      <c r="A1067" t="s">
        <v>2684</v>
      </c>
      <c r="B1067" t="s">
        <v>356</v>
      </c>
      <c r="C1067" t="s">
        <v>7333</v>
      </c>
      <c r="D1067">
        <v>305.972428</v>
      </c>
    </row>
    <row r="1068" spans="1:4">
      <c r="A1068" t="s">
        <v>2685</v>
      </c>
      <c r="B1068" t="s">
        <v>356</v>
      </c>
      <c r="C1068" t="s">
        <v>7334</v>
      </c>
      <c r="D1068">
        <v>239.516242</v>
      </c>
    </row>
    <row r="1069" spans="1:4">
      <c r="A1069" t="s">
        <v>2686</v>
      </c>
      <c r="B1069" t="s">
        <v>356</v>
      </c>
      <c r="C1069" t="s">
        <v>7335</v>
      </c>
      <c r="D1069">
        <v>44.27447</v>
      </c>
    </row>
    <row r="1070" spans="1:4">
      <c r="A1070" t="s">
        <v>2687</v>
      </c>
      <c r="B1070" t="s">
        <v>356</v>
      </c>
      <c r="C1070" t="s">
        <v>7293</v>
      </c>
      <c r="D1070">
        <v>60.882376</v>
      </c>
    </row>
    <row r="1071" spans="1:4">
      <c r="A1071" t="s">
        <v>2688</v>
      </c>
      <c r="B1071" t="s">
        <v>356</v>
      </c>
      <c r="C1071" t="s">
        <v>7336</v>
      </c>
      <c r="D1071">
        <v>305.972428</v>
      </c>
    </row>
    <row r="1072" spans="1:4">
      <c r="A1072" t="s">
        <v>2689</v>
      </c>
      <c r="B1072" t="s">
        <v>356</v>
      </c>
      <c r="C1072" t="s">
        <v>7337</v>
      </c>
      <c r="D1072">
        <v>3.199445</v>
      </c>
    </row>
    <row r="1073" spans="1:4">
      <c r="A1073" t="s">
        <v>2690</v>
      </c>
      <c r="B1073" t="s">
        <v>356</v>
      </c>
      <c r="C1073" t="s">
        <v>7338</v>
      </c>
      <c r="D1073">
        <v>21.792861</v>
      </c>
    </row>
    <row r="1074" spans="1:4">
      <c r="A1074" t="s">
        <v>2691</v>
      </c>
      <c r="B1074" t="s">
        <v>356</v>
      </c>
      <c r="C1074" t="s">
        <v>7339</v>
      </c>
      <c r="D1074">
        <v>110.934931</v>
      </c>
    </row>
    <row r="1075" spans="1:4">
      <c r="A1075" t="s">
        <v>2692</v>
      </c>
      <c r="B1075" t="s">
        <v>356</v>
      </c>
      <c r="C1075" t="s">
        <v>7340</v>
      </c>
      <c r="D1075">
        <v>152.986148</v>
      </c>
    </row>
    <row r="1076" spans="1:4">
      <c r="A1076" t="s">
        <v>2693</v>
      </c>
      <c r="B1076" t="s">
        <v>356</v>
      </c>
      <c r="C1076" t="s">
        <v>7294</v>
      </c>
      <c r="D1076">
        <v>221.615328</v>
      </c>
    </row>
    <row r="1077" spans="1:4">
      <c r="A1077" t="s">
        <v>2694</v>
      </c>
      <c r="B1077" t="s">
        <v>356</v>
      </c>
      <c r="C1077" t="s">
        <v>7341</v>
      </c>
      <c r="D1077">
        <v>0.132635</v>
      </c>
    </row>
    <row r="1078" spans="1:4">
      <c r="A1078" t="s">
        <v>2695</v>
      </c>
      <c r="B1078" t="s">
        <v>356</v>
      </c>
      <c r="C1078" t="s">
        <v>7295</v>
      </c>
      <c r="D1078">
        <v>389.583284</v>
      </c>
    </row>
    <row r="1079" spans="1:4">
      <c r="A1079" t="s">
        <v>2696</v>
      </c>
      <c r="B1079" t="s">
        <v>356</v>
      </c>
      <c r="C1079" t="s">
        <v>7342</v>
      </c>
      <c r="D1079">
        <v>13483.082241</v>
      </c>
    </row>
    <row r="1080" spans="1:4">
      <c r="A1080" t="s">
        <v>2697</v>
      </c>
      <c r="B1080" t="s">
        <v>356</v>
      </c>
      <c r="C1080" t="s">
        <v>7343</v>
      </c>
      <c r="D1080">
        <v>0.34111</v>
      </c>
    </row>
    <row r="1081" spans="1:4">
      <c r="A1081" t="s">
        <v>2698</v>
      </c>
      <c r="B1081" t="s">
        <v>356</v>
      </c>
      <c r="C1081" t="s">
        <v>7344</v>
      </c>
      <c r="D1081">
        <v>45.088631</v>
      </c>
    </row>
    <row r="1082" spans="1:4">
      <c r="A1082" t="s">
        <v>2699</v>
      </c>
      <c r="B1082" t="s">
        <v>356</v>
      </c>
      <c r="C1082" t="s">
        <v>7296</v>
      </c>
      <c r="D1082">
        <v>45.027517</v>
      </c>
    </row>
    <row r="1083" spans="1:4">
      <c r="A1083" t="s">
        <v>2700</v>
      </c>
      <c r="B1083" t="s">
        <v>356</v>
      </c>
      <c r="C1083" t="s">
        <v>7345</v>
      </c>
      <c r="D1083">
        <v>0.083871</v>
      </c>
    </row>
    <row r="1084" spans="1:4">
      <c r="A1084" t="s">
        <v>2701</v>
      </c>
      <c r="B1084" t="s">
        <v>356</v>
      </c>
      <c r="C1084" t="s">
        <v>7346</v>
      </c>
      <c r="D1084">
        <v>0.673135</v>
      </c>
    </row>
    <row r="1085" spans="1:4">
      <c r="A1085" t="s">
        <v>2702</v>
      </c>
      <c r="B1085" t="s">
        <v>356</v>
      </c>
      <c r="C1085" t="s">
        <v>7347</v>
      </c>
      <c r="D1085">
        <v>12.748848</v>
      </c>
    </row>
    <row r="1086" spans="1:4">
      <c r="A1086" t="s">
        <v>2703</v>
      </c>
      <c r="B1086" t="s">
        <v>356</v>
      </c>
      <c r="C1086" t="s">
        <v>7348</v>
      </c>
      <c r="D1086">
        <v>3.227918</v>
      </c>
    </row>
    <row r="1087" spans="1:4">
      <c r="A1087" t="s">
        <v>2704</v>
      </c>
      <c r="B1087" t="s">
        <v>356</v>
      </c>
      <c r="C1087" t="s">
        <v>7297</v>
      </c>
      <c r="D1087">
        <v>14.667039</v>
      </c>
    </row>
    <row r="1088" spans="1:4">
      <c r="A1088" t="s">
        <v>2705</v>
      </c>
      <c r="B1088" t="s">
        <v>356</v>
      </c>
      <c r="C1088" t="s">
        <v>7349</v>
      </c>
      <c r="D1088">
        <v>1.721644</v>
      </c>
    </row>
    <row r="1089" spans="1:4">
      <c r="A1089" t="s">
        <v>2706</v>
      </c>
      <c r="B1089" t="s">
        <v>356</v>
      </c>
      <c r="C1089" t="s">
        <v>7298</v>
      </c>
      <c r="D1089">
        <v>47.692059</v>
      </c>
    </row>
    <row r="1090" spans="1:4">
      <c r="A1090" t="s">
        <v>2707</v>
      </c>
      <c r="B1090" t="s">
        <v>356</v>
      </c>
      <c r="C1090" t="s">
        <v>7350</v>
      </c>
      <c r="D1090">
        <v>5.19688</v>
      </c>
    </row>
    <row r="1091" spans="1:4">
      <c r="A1091" t="s">
        <v>2708</v>
      </c>
      <c r="B1091" t="s">
        <v>356</v>
      </c>
      <c r="C1091" t="s">
        <v>7351</v>
      </c>
      <c r="D1091">
        <v>2.303737</v>
      </c>
    </row>
    <row r="1092" spans="1:4">
      <c r="A1092" t="s">
        <v>2709</v>
      </c>
      <c r="B1092" t="s">
        <v>356</v>
      </c>
      <c r="C1092" t="s">
        <v>7352</v>
      </c>
      <c r="D1092">
        <v>5.855983</v>
      </c>
    </row>
    <row r="1093" spans="1:4">
      <c r="A1093" t="s">
        <v>2710</v>
      </c>
      <c r="B1093" t="s">
        <v>356</v>
      </c>
      <c r="C1093" t="s">
        <v>7353</v>
      </c>
      <c r="D1093">
        <v>20.398157</v>
      </c>
    </row>
    <row r="1094" spans="1:4">
      <c r="A1094" t="s">
        <v>2711</v>
      </c>
      <c r="B1094" t="s">
        <v>356</v>
      </c>
      <c r="C1094" t="s">
        <v>7354</v>
      </c>
      <c r="D1094">
        <v>1.911194</v>
      </c>
    </row>
    <row r="1095" spans="1:4">
      <c r="A1095" t="s">
        <v>2712</v>
      </c>
      <c r="B1095" t="s">
        <v>356</v>
      </c>
      <c r="C1095" t="s">
        <v>7355</v>
      </c>
      <c r="D1095">
        <v>139.262284</v>
      </c>
    </row>
    <row r="1096" spans="1:4">
      <c r="A1096" t="s">
        <v>2713</v>
      </c>
      <c r="B1096" t="s">
        <v>356</v>
      </c>
      <c r="C1096" t="s">
        <v>7356</v>
      </c>
      <c r="D1096">
        <v>411.737411</v>
      </c>
    </row>
    <row r="1097" spans="1:4">
      <c r="A1097" t="s">
        <v>2714</v>
      </c>
      <c r="B1097" t="s">
        <v>356</v>
      </c>
      <c r="C1097" t="s">
        <v>7357</v>
      </c>
      <c r="D1097">
        <v>47.692065</v>
      </c>
    </row>
    <row r="1098" spans="1:4">
      <c r="A1098" t="s">
        <v>2715</v>
      </c>
      <c r="B1098" t="s">
        <v>356</v>
      </c>
      <c r="C1098" t="s">
        <v>7299</v>
      </c>
      <c r="D1098">
        <v>411.736935</v>
      </c>
    </row>
    <row r="1099" spans="1:4">
      <c r="A1099" t="s">
        <v>2716</v>
      </c>
      <c r="B1099" t="s">
        <v>356</v>
      </c>
      <c r="C1099" t="s">
        <v>7358</v>
      </c>
      <c r="D1099">
        <v>114.51844</v>
      </c>
    </row>
    <row r="1100" spans="1:4">
      <c r="A1100" t="s">
        <v>2717</v>
      </c>
      <c r="B1100" t="s">
        <v>356</v>
      </c>
      <c r="C1100" t="s">
        <v>7359</v>
      </c>
      <c r="D1100">
        <v>411.737411</v>
      </c>
    </row>
    <row r="1101" spans="1:4">
      <c r="A1101" t="s">
        <v>2718</v>
      </c>
      <c r="B1101" t="s">
        <v>356</v>
      </c>
      <c r="C1101" t="s">
        <v>7360</v>
      </c>
      <c r="D1101">
        <v>26.194968</v>
      </c>
    </row>
    <row r="1102" spans="1:4">
      <c r="A1102" t="s">
        <v>2719</v>
      </c>
      <c r="B1102" t="s">
        <v>356</v>
      </c>
      <c r="C1102" t="s">
        <v>7361</v>
      </c>
      <c r="D1102">
        <v>411.737411</v>
      </c>
    </row>
    <row r="1103" spans="1:4">
      <c r="A1103" t="s">
        <v>2720</v>
      </c>
      <c r="B1103" t="s">
        <v>356</v>
      </c>
      <c r="C1103" t="s">
        <v>7362</v>
      </c>
      <c r="D1103">
        <v>4.126197</v>
      </c>
    </row>
    <row r="1104" spans="1:4">
      <c r="A1104" t="s">
        <v>2721</v>
      </c>
      <c r="B1104" t="s">
        <v>356</v>
      </c>
      <c r="C1104" t="s">
        <v>7363</v>
      </c>
      <c r="D1104">
        <v>0.034935</v>
      </c>
    </row>
    <row r="1105" spans="1:4">
      <c r="A1105" t="s">
        <v>2722</v>
      </c>
      <c r="B1105" t="s">
        <v>356</v>
      </c>
      <c r="C1105" t="s">
        <v>7364</v>
      </c>
      <c r="D1105">
        <v>40.109061</v>
      </c>
    </row>
    <row r="1106" spans="1:4">
      <c r="A1106" t="s">
        <v>2723</v>
      </c>
      <c r="B1106" t="s">
        <v>356</v>
      </c>
      <c r="C1106" t="s">
        <v>7365</v>
      </c>
      <c r="D1106">
        <v>1.461972</v>
      </c>
    </row>
    <row r="1107" spans="1:4">
      <c r="A1107" t="s">
        <v>2724</v>
      </c>
      <c r="B1107" t="s">
        <v>356</v>
      </c>
      <c r="C1107" t="s">
        <v>7300</v>
      </c>
      <c r="D1107">
        <v>39.042597</v>
      </c>
    </row>
    <row r="1108" spans="1:4">
      <c r="A1108" t="s">
        <v>2725</v>
      </c>
      <c r="B1108" t="s">
        <v>356</v>
      </c>
      <c r="C1108" t="s">
        <v>7366</v>
      </c>
      <c r="D1108">
        <v>11.496945</v>
      </c>
    </row>
    <row r="1109" spans="1:4">
      <c r="A1109" t="s">
        <v>2726</v>
      </c>
      <c r="B1109" t="s">
        <v>356</v>
      </c>
      <c r="C1109" t="s">
        <v>7367</v>
      </c>
      <c r="D1109">
        <v>47.239552</v>
      </c>
    </row>
    <row r="1110" spans="1:4">
      <c r="A1110" t="s">
        <v>2727</v>
      </c>
      <c r="B1110" t="s">
        <v>356</v>
      </c>
      <c r="C1110" t="s">
        <v>7368</v>
      </c>
      <c r="D1110">
        <v>2.335565</v>
      </c>
    </row>
    <row r="1111" spans="1:4">
      <c r="A1111" t="s">
        <v>2728</v>
      </c>
      <c r="B1111" t="s">
        <v>356</v>
      </c>
      <c r="C1111" t="s">
        <v>7301</v>
      </c>
      <c r="D1111">
        <v>0.017217</v>
      </c>
    </row>
    <row r="1112" spans="1:4">
      <c r="A1112" t="s">
        <v>2729</v>
      </c>
      <c r="B1112" t="s">
        <v>356</v>
      </c>
      <c r="C1112" t="s">
        <v>7302</v>
      </c>
      <c r="D1112">
        <v>107.353746</v>
      </c>
    </row>
    <row r="1113" spans="1:4">
      <c r="A1113" t="s">
        <v>2730</v>
      </c>
      <c r="B1113" t="s">
        <v>356</v>
      </c>
      <c r="C1113" t="s">
        <v>7369</v>
      </c>
      <c r="D1113">
        <v>411.737411</v>
      </c>
    </row>
    <row r="1114" spans="1:4">
      <c r="A1114" t="s">
        <v>2731</v>
      </c>
      <c r="B1114" t="s">
        <v>356</v>
      </c>
      <c r="C1114" t="s">
        <v>7303</v>
      </c>
      <c r="D1114">
        <v>3.200697</v>
      </c>
    </row>
    <row r="1115" spans="1:4">
      <c r="A1115" t="s">
        <v>2732</v>
      </c>
      <c r="B1115" t="s">
        <v>356</v>
      </c>
      <c r="C1115" t="s">
        <v>7370</v>
      </c>
      <c r="D1115">
        <v>0.233357</v>
      </c>
    </row>
    <row r="1116" spans="1:4">
      <c r="A1116" t="s">
        <v>2733</v>
      </c>
      <c r="B1116" t="s">
        <v>356</v>
      </c>
      <c r="C1116" t="s">
        <v>7371</v>
      </c>
      <c r="D1116">
        <v>0.000231</v>
      </c>
    </row>
    <row r="1117" spans="1:4">
      <c r="A1117" t="s">
        <v>2734</v>
      </c>
      <c r="B1117" t="s">
        <v>356</v>
      </c>
      <c r="C1117" t="s">
        <v>7304</v>
      </c>
      <c r="D1117">
        <v>2.479382</v>
      </c>
    </row>
    <row r="1118" spans="1:4">
      <c r="A1118" t="s">
        <v>2735</v>
      </c>
      <c r="B1118" t="s">
        <v>356</v>
      </c>
      <c r="C1118" t="s">
        <v>7372</v>
      </c>
      <c r="D1118">
        <v>411.737411</v>
      </c>
    </row>
    <row r="1119" spans="1:4">
      <c r="A1119" t="s">
        <v>2736</v>
      </c>
      <c r="B1119" t="s">
        <v>356</v>
      </c>
      <c r="C1119" t="s">
        <v>7373</v>
      </c>
      <c r="D1119">
        <v>1.955068</v>
      </c>
    </row>
    <row r="1120" spans="1:4">
      <c r="A1120" t="s">
        <v>2737</v>
      </c>
      <c r="B1120" t="s">
        <v>356</v>
      </c>
      <c r="C1120" t="s">
        <v>7374</v>
      </c>
      <c r="D1120">
        <v>431.554627</v>
      </c>
    </row>
    <row r="1121" spans="1:4">
      <c r="A1121" t="s">
        <v>2738</v>
      </c>
      <c r="B1121" t="s">
        <v>356</v>
      </c>
      <c r="C1121" t="s">
        <v>7305</v>
      </c>
      <c r="D1121">
        <v>1.921627</v>
      </c>
    </row>
    <row r="1122" spans="1:4">
      <c r="A1122" t="s">
        <v>2739</v>
      </c>
      <c r="B1122" t="s">
        <v>356</v>
      </c>
      <c r="C1122" t="s">
        <v>7375</v>
      </c>
      <c r="D1122">
        <v>2.36083</v>
      </c>
    </row>
    <row r="1123" spans="1:4">
      <c r="A1123" t="s">
        <v>2740</v>
      </c>
      <c r="B1123" t="s">
        <v>356</v>
      </c>
      <c r="C1123" t="s">
        <v>7376</v>
      </c>
      <c r="D1123">
        <v>3.494825</v>
      </c>
    </row>
    <row r="1124" spans="1:4">
      <c r="A1124" t="s">
        <v>2741</v>
      </c>
      <c r="B1124" t="s">
        <v>356</v>
      </c>
      <c r="C1124" t="s">
        <v>7377</v>
      </c>
      <c r="D1124">
        <v>0.075791</v>
      </c>
    </row>
    <row r="1125" spans="1:4">
      <c r="A1125" t="s">
        <v>2742</v>
      </c>
      <c r="B1125" t="s">
        <v>356</v>
      </c>
      <c r="C1125" t="s">
        <v>7378</v>
      </c>
      <c r="D1125">
        <v>219.270605</v>
      </c>
    </row>
    <row r="1126" spans="1:4">
      <c r="A1126" t="s">
        <v>2743</v>
      </c>
      <c r="B1126" t="s">
        <v>356</v>
      </c>
      <c r="C1126" t="s">
        <v>7379</v>
      </c>
      <c r="D1126">
        <v>0.723475</v>
      </c>
    </row>
    <row r="1127" spans="1:4">
      <c r="A1127" t="s">
        <v>2744</v>
      </c>
      <c r="B1127" t="s">
        <v>356</v>
      </c>
      <c r="C1127" t="s">
        <v>7306</v>
      </c>
      <c r="D1127">
        <v>0.203036</v>
      </c>
    </row>
    <row r="1128" spans="1:4">
      <c r="A1128" t="s">
        <v>2745</v>
      </c>
      <c r="B1128" t="s">
        <v>356</v>
      </c>
      <c r="C1128" t="s">
        <v>7380</v>
      </c>
      <c r="D1128">
        <v>991.775492</v>
      </c>
    </row>
    <row r="1129" spans="1:4">
      <c r="A1129" t="s">
        <v>2746</v>
      </c>
      <c r="B1129" t="s">
        <v>356</v>
      </c>
      <c r="C1129" t="s">
        <v>7381</v>
      </c>
      <c r="D1129">
        <v>367.166851</v>
      </c>
    </row>
    <row r="1130" spans="1:4">
      <c r="A1130" t="s">
        <v>2747</v>
      </c>
      <c r="B1130" t="s">
        <v>356</v>
      </c>
      <c r="C1130" t="s">
        <v>7382</v>
      </c>
      <c r="D1130">
        <v>0.637768</v>
      </c>
    </row>
    <row r="1131" spans="1:4">
      <c r="A1131" t="s">
        <v>2748</v>
      </c>
      <c r="B1131" t="s">
        <v>356</v>
      </c>
      <c r="C1131" t="s">
        <v>7383</v>
      </c>
      <c r="D1131">
        <v>0.013933</v>
      </c>
    </row>
    <row r="1132" spans="1:4">
      <c r="A1132" t="s">
        <v>2749</v>
      </c>
      <c r="B1132" t="s">
        <v>356</v>
      </c>
      <c r="C1132" t="s">
        <v>7384</v>
      </c>
      <c r="D1132">
        <v>0.003419</v>
      </c>
    </row>
    <row r="1133" spans="1:4">
      <c r="A1133" t="s">
        <v>2750</v>
      </c>
      <c r="B1133" t="s">
        <v>356</v>
      </c>
      <c r="C1133" t="s">
        <v>7385</v>
      </c>
      <c r="D1133">
        <v>0.942541</v>
      </c>
    </row>
    <row r="1134" spans="1:4">
      <c r="A1134" t="s">
        <v>2751</v>
      </c>
      <c r="B1134" t="s">
        <v>356</v>
      </c>
      <c r="C1134" t="s">
        <v>7386</v>
      </c>
      <c r="D1134">
        <v>1.672087</v>
      </c>
    </row>
    <row r="1135" spans="1:4">
      <c r="A1135" t="s">
        <v>2752</v>
      </c>
      <c r="B1135" t="s">
        <v>356</v>
      </c>
      <c r="C1135" t="s">
        <v>7387</v>
      </c>
      <c r="D1135">
        <v>18.690387</v>
      </c>
    </row>
    <row r="1136" spans="1:4">
      <c r="A1136" t="s">
        <v>2753</v>
      </c>
      <c r="B1136" t="s">
        <v>356</v>
      </c>
      <c r="C1136" t="s">
        <v>7388</v>
      </c>
      <c r="D1136">
        <v>47.993776</v>
      </c>
    </row>
    <row r="1137" spans="1:4">
      <c r="A1137" t="s">
        <v>2754</v>
      </c>
      <c r="B1137" t="s">
        <v>356</v>
      </c>
      <c r="C1137" t="s">
        <v>7389</v>
      </c>
      <c r="D1137">
        <v>33.283843</v>
      </c>
    </row>
    <row r="1138" spans="1:4">
      <c r="A1138" t="s">
        <v>2755</v>
      </c>
      <c r="B1138" t="s">
        <v>356</v>
      </c>
      <c r="C1138" t="s">
        <v>7390</v>
      </c>
      <c r="D1138">
        <v>17.641035</v>
      </c>
    </row>
    <row r="1139" spans="1:4">
      <c r="A1139" t="s">
        <v>2756</v>
      </c>
      <c r="B1139" t="s">
        <v>356</v>
      </c>
      <c r="C1139" t="s">
        <v>7391</v>
      </c>
      <c r="D1139">
        <v>0.07327400000000001</v>
      </c>
    </row>
    <row r="1140" spans="1:4">
      <c r="A1140" t="s">
        <v>2757</v>
      </c>
      <c r="B1140" t="s">
        <v>356</v>
      </c>
      <c r="C1140" t="s">
        <v>7392</v>
      </c>
      <c r="D1140">
        <v>5.769176</v>
      </c>
    </row>
    <row r="1141" spans="1:4">
      <c r="A1141" t="s">
        <v>2758</v>
      </c>
      <c r="B1141" t="s">
        <v>356</v>
      </c>
      <c r="C1141" t="s">
        <v>7393</v>
      </c>
      <c r="D1141">
        <v>0.145621</v>
      </c>
    </row>
    <row r="1142" spans="1:4">
      <c r="A1142" t="s">
        <v>2759</v>
      </c>
      <c r="B1142" t="s">
        <v>356</v>
      </c>
      <c r="C1142" t="s">
        <v>7394</v>
      </c>
      <c r="D1142">
        <v>0.085253</v>
      </c>
    </row>
    <row r="1143" spans="1:4">
      <c r="A1143" t="s">
        <v>2760</v>
      </c>
      <c r="B1143" t="s">
        <v>356</v>
      </c>
      <c r="C1143" t="s">
        <v>7395</v>
      </c>
      <c r="D1143">
        <v>37.905445</v>
      </c>
    </row>
    <row r="1144" spans="1:4">
      <c r="A1144" t="s">
        <v>2761</v>
      </c>
      <c r="B1144" t="s">
        <v>356</v>
      </c>
      <c r="C1144" t="s">
        <v>7396</v>
      </c>
      <c r="D1144">
        <v>7.64793</v>
      </c>
    </row>
    <row r="1145" spans="1:4">
      <c r="A1145" t="s">
        <v>2762</v>
      </c>
      <c r="B1145" t="s">
        <v>356</v>
      </c>
      <c r="C1145" t="s">
        <v>7397</v>
      </c>
      <c r="D1145">
        <v>6.472573</v>
      </c>
    </row>
    <row r="1146" spans="1:4">
      <c r="A1146" t="s">
        <v>2763</v>
      </c>
      <c r="B1146" t="s">
        <v>356</v>
      </c>
      <c r="C1146" t="s">
        <v>7398</v>
      </c>
      <c r="D1146">
        <v>19.797036</v>
      </c>
    </row>
    <row r="1147" spans="1:4">
      <c r="A1147" t="s">
        <v>2764</v>
      </c>
      <c r="B1147" t="s">
        <v>356</v>
      </c>
      <c r="C1147" t="s">
        <v>7399</v>
      </c>
      <c r="D1147">
        <v>0.175283</v>
      </c>
    </row>
    <row r="1148" spans="1:4">
      <c r="A1148" t="s">
        <v>2765</v>
      </c>
      <c r="B1148" t="s">
        <v>356</v>
      </c>
      <c r="C1148" t="s">
        <v>7307</v>
      </c>
      <c r="D1148">
        <v>17.681302</v>
      </c>
    </row>
    <row r="1149" spans="1:4">
      <c r="A1149" t="s">
        <v>2766</v>
      </c>
      <c r="B1149" t="s">
        <v>356</v>
      </c>
      <c r="C1149" t="s">
        <v>7308</v>
      </c>
      <c r="D1149">
        <v>77.1742</v>
      </c>
    </row>
    <row r="1150" spans="1:4">
      <c r="A1150" t="s">
        <v>2767</v>
      </c>
      <c r="B1150" t="s">
        <v>356</v>
      </c>
      <c r="C1150" t="s">
        <v>7400</v>
      </c>
      <c r="D1150">
        <v>4.793876</v>
      </c>
    </row>
    <row r="1151" spans="1:4">
      <c r="A1151" t="s">
        <v>2768</v>
      </c>
      <c r="B1151" t="s">
        <v>356</v>
      </c>
      <c r="C1151" t="s">
        <v>7401</v>
      </c>
      <c r="D1151">
        <v>18.690387</v>
      </c>
    </row>
    <row r="1152" spans="1:4">
      <c r="A1152" t="s">
        <v>2769</v>
      </c>
      <c r="B1152" t="s">
        <v>356</v>
      </c>
      <c r="C1152" t="s">
        <v>7402</v>
      </c>
      <c r="D1152">
        <v>0.224985</v>
      </c>
    </row>
    <row r="1153" spans="1:4">
      <c r="A1153" t="s">
        <v>2770</v>
      </c>
      <c r="B1153" t="s">
        <v>356</v>
      </c>
      <c r="C1153" t="s">
        <v>7403</v>
      </c>
      <c r="D1153">
        <v>8.312067000000001</v>
      </c>
    </row>
    <row r="1154" spans="1:4">
      <c r="A1154" t="s">
        <v>2771</v>
      </c>
      <c r="B1154" t="s">
        <v>356</v>
      </c>
      <c r="C1154" t="s">
        <v>7309</v>
      </c>
      <c r="D1154">
        <v>33.026826</v>
      </c>
    </row>
    <row r="1155" spans="1:4">
      <c r="A1155" t="s">
        <v>2772</v>
      </c>
      <c r="B1155" t="s">
        <v>356</v>
      </c>
      <c r="C1155" t="s">
        <v>7404</v>
      </c>
      <c r="D1155">
        <v>1.999653</v>
      </c>
    </row>
    <row r="1156" spans="1:4">
      <c r="A1156" t="s">
        <v>2773</v>
      </c>
      <c r="B1156" t="s">
        <v>356</v>
      </c>
      <c r="C1156" t="s">
        <v>7310</v>
      </c>
      <c r="D1156">
        <v>178.709493</v>
      </c>
    </row>
    <row r="1157" spans="1:4">
      <c r="A1157" t="s">
        <v>2774</v>
      </c>
      <c r="B1157" t="s">
        <v>356</v>
      </c>
      <c r="C1157" t="s">
        <v>7405</v>
      </c>
      <c r="D1157">
        <v>795.773491</v>
      </c>
    </row>
    <row r="1158" spans="1:4">
      <c r="A1158" t="s">
        <v>2775</v>
      </c>
      <c r="B1158" t="s">
        <v>356</v>
      </c>
      <c r="C1158" t="s">
        <v>7406</v>
      </c>
      <c r="D1158">
        <v>305.972428</v>
      </c>
    </row>
    <row r="1159" spans="1:4">
      <c r="A1159" t="s">
        <v>2776</v>
      </c>
      <c r="B1159" t="s">
        <v>356</v>
      </c>
      <c r="C1159" t="s">
        <v>7407</v>
      </c>
      <c r="D1159">
        <v>89.772316</v>
      </c>
    </row>
    <row r="1160" spans="1:4">
      <c r="A1160" t="s">
        <v>2777</v>
      </c>
      <c r="B1160" t="s">
        <v>356</v>
      </c>
      <c r="C1160" t="s">
        <v>7408</v>
      </c>
      <c r="D1160">
        <v>70.13462199999999</v>
      </c>
    </row>
    <row r="1161" spans="1:4">
      <c r="A1161" t="s">
        <v>2778</v>
      </c>
      <c r="B1161" t="s">
        <v>356</v>
      </c>
      <c r="C1161" t="s">
        <v>7311</v>
      </c>
      <c r="D1161">
        <v>4.971651</v>
      </c>
    </row>
    <row r="1162" spans="1:4">
      <c r="A1162" t="s">
        <v>2779</v>
      </c>
      <c r="B1162" t="s">
        <v>356</v>
      </c>
      <c r="C1162" t="s">
        <v>7409</v>
      </c>
      <c r="D1162">
        <v>1.097406</v>
      </c>
    </row>
    <row r="1163" spans="1:4">
      <c r="A1163" t="s">
        <v>2780</v>
      </c>
      <c r="B1163" t="s">
        <v>356</v>
      </c>
      <c r="C1163" t="s">
        <v>7312</v>
      </c>
      <c r="D1163">
        <v>84.03341899999999</v>
      </c>
    </row>
    <row r="1164" spans="1:4">
      <c r="A1164" t="s">
        <v>2781</v>
      </c>
      <c r="B1164" t="s">
        <v>356</v>
      </c>
      <c r="C1164" t="s">
        <v>7410</v>
      </c>
      <c r="D1164">
        <v>0.050015</v>
      </c>
    </row>
    <row r="1165" spans="1:4">
      <c r="A1165" t="s">
        <v>2782</v>
      </c>
      <c r="B1165" t="s">
        <v>356</v>
      </c>
      <c r="C1165" t="s">
        <v>7411</v>
      </c>
      <c r="D1165">
        <v>84.058346</v>
      </c>
    </row>
    <row r="1166" spans="1:4">
      <c r="A1166" t="s">
        <v>2783</v>
      </c>
      <c r="B1166" t="s">
        <v>356</v>
      </c>
      <c r="C1166" t="s">
        <v>7313</v>
      </c>
      <c r="D1166">
        <v>67.92197</v>
      </c>
    </row>
    <row r="1167" spans="1:4">
      <c r="A1167" t="s">
        <v>2784</v>
      </c>
      <c r="B1167" t="s">
        <v>356</v>
      </c>
      <c r="C1167" t="s">
        <v>7412</v>
      </c>
      <c r="D1167">
        <v>3.030811</v>
      </c>
    </row>
    <row r="1168" spans="1:4">
      <c r="A1168" t="s">
        <v>2785</v>
      </c>
      <c r="B1168" t="s">
        <v>356</v>
      </c>
      <c r="C1168" t="s">
        <v>7413</v>
      </c>
      <c r="D1168">
        <v>4.252118</v>
      </c>
    </row>
    <row r="1169" spans="1:4">
      <c r="A1169" t="s">
        <v>2786</v>
      </c>
      <c r="B1169" t="s">
        <v>356</v>
      </c>
      <c r="C1169" t="s">
        <v>7414</v>
      </c>
      <c r="D1169">
        <v>0.20942</v>
      </c>
    </row>
    <row r="1170" spans="1:4">
      <c r="A1170" t="s">
        <v>2787</v>
      </c>
      <c r="B1170" t="s">
        <v>356</v>
      </c>
      <c r="C1170" t="s">
        <v>7415</v>
      </c>
      <c r="D1170">
        <v>81.592634</v>
      </c>
    </row>
    <row r="1171" spans="1:4">
      <c r="A1171" t="s">
        <v>2788</v>
      </c>
      <c r="B1171" t="s">
        <v>356</v>
      </c>
      <c r="C1171" t="s">
        <v>7416</v>
      </c>
      <c r="D1171">
        <v>38.635591</v>
      </c>
    </row>
    <row r="1172" spans="1:4">
      <c r="A1172" t="s">
        <v>2789</v>
      </c>
      <c r="B1172" t="s">
        <v>356</v>
      </c>
      <c r="C1172" t="s">
        <v>7417</v>
      </c>
      <c r="D1172">
        <v>21.434279</v>
      </c>
    </row>
    <row r="1173" spans="1:4">
      <c r="A1173" t="s">
        <v>2790</v>
      </c>
      <c r="B1173" t="s">
        <v>356</v>
      </c>
      <c r="C1173" t="s">
        <v>7418</v>
      </c>
      <c r="D1173">
        <v>0.684115</v>
      </c>
    </row>
    <row r="1174" spans="1:4">
      <c r="A1174" t="s">
        <v>2791</v>
      </c>
      <c r="B1174" t="s">
        <v>356</v>
      </c>
      <c r="C1174" t="s">
        <v>7314</v>
      </c>
      <c r="D1174">
        <v>32.888313</v>
      </c>
    </row>
    <row r="1175" spans="1:4">
      <c r="A1175" t="s">
        <v>2792</v>
      </c>
      <c r="B1175" t="s">
        <v>356</v>
      </c>
      <c r="C1175" t="s">
        <v>7315</v>
      </c>
      <c r="D1175">
        <v>239.538487</v>
      </c>
    </row>
    <row r="1176" spans="1:4">
      <c r="A1176" t="s">
        <v>2793</v>
      </c>
      <c r="B1176" t="s">
        <v>356</v>
      </c>
      <c r="C1176" t="s">
        <v>7419</v>
      </c>
      <c r="D1176">
        <v>411.737411</v>
      </c>
    </row>
    <row r="1177" spans="1:4">
      <c r="A1177" t="s">
        <v>2794</v>
      </c>
      <c r="B1177" t="s">
        <v>356</v>
      </c>
      <c r="C1177" t="s">
        <v>7420</v>
      </c>
      <c r="D1177">
        <v>12.573701</v>
      </c>
    </row>
    <row r="1178" spans="1:4">
      <c r="A1178" t="s">
        <v>2795</v>
      </c>
      <c r="B1178" t="s">
        <v>356</v>
      </c>
      <c r="C1178" t="s">
        <v>7421</v>
      </c>
      <c r="D1178">
        <v>0.012574</v>
      </c>
    </row>
    <row r="1179" spans="1:4">
      <c r="A1179" t="s">
        <v>2796</v>
      </c>
      <c r="B1179" t="s">
        <v>356</v>
      </c>
      <c r="C1179" t="s">
        <v>7422</v>
      </c>
      <c r="D1179">
        <v>0.535525</v>
      </c>
    </row>
    <row r="1180" spans="1:4">
      <c r="A1180" t="s">
        <v>2797</v>
      </c>
      <c r="B1180" t="s">
        <v>356</v>
      </c>
      <c r="C1180" t="s">
        <v>7423</v>
      </c>
      <c r="D1180">
        <v>8.182456999999999</v>
      </c>
    </row>
    <row r="1181" spans="1:4">
      <c r="A1181" t="s">
        <v>2798</v>
      </c>
      <c r="B1181" t="s">
        <v>356</v>
      </c>
      <c r="C1181" t="s">
        <v>7424</v>
      </c>
      <c r="D1181">
        <v>0.06267300000000001</v>
      </c>
    </row>
    <row r="1182" spans="1:4">
      <c r="A1182" t="s">
        <v>2799</v>
      </c>
      <c r="B1182" t="s">
        <v>356</v>
      </c>
      <c r="C1182" t="s">
        <v>7425</v>
      </c>
      <c r="D1182">
        <v>14.527608</v>
      </c>
    </row>
    <row r="1183" spans="1:4">
      <c r="A1183" t="s">
        <v>2800</v>
      </c>
      <c r="B1183" t="s">
        <v>356</v>
      </c>
      <c r="C1183" t="s">
        <v>7426</v>
      </c>
      <c r="D1183">
        <v>2.742516</v>
      </c>
    </row>
    <row r="1184" spans="1:4">
      <c r="A1184" t="s">
        <v>2801</v>
      </c>
      <c r="B1184" t="s">
        <v>356</v>
      </c>
      <c r="C1184" t="s">
        <v>7427</v>
      </c>
      <c r="D1184">
        <v>18.690387</v>
      </c>
    </row>
    <row r="1185" spans="1:4">
      <c r="A1185" t="s">
        <v>2802</v>
      </c>
      <c r="B1185" t="s">
        <v>356</v>
      </c>
      <c r="C1185" t="s">
        <v>7316</v>
      </c>
      <c r="D1185">
        <v>9.371689999999999</v>
      </c>
    </row>
    <row r="1186" spans="1:4">
      <c r="A1186" t="s">
        <v>2803</v>
      </c>
      <c r="B1186" t="s">
        <v>356</v>
      </c>
      <c r="C1186" t="s">
        <v>7428</v>
      </c>
      <c r="D1186">
        <v>32.997824</v>
      </c>
    </row>
    <row r="1187" spans="1:4">
      <c r="A1187" t="s">
        <v>2804</v>
      </c>
      <c r="B1187" t="s">
        <v>356</v>
      </c>
      <c r="C1187" t="s">
        <v>7429</v>
      </c>
      <c r="D1187">
        <v>87.35773</v>
      </c>
    </row>
    <row r="1188" spans="1:4">
      <c r="A1188" t="s">
        <v>2805</v>
      </c>
      <c r="B1188" t="s">
        <v>356</v>
      </c>
      <c r="C1188" t="s">
        <v>7430</v>
      </c>
      <c r="D1188">
        <v>105.399871</v>
      </c>
    </row>
    <row r="1189" spans="1:4">
      <c r="A1189" t="s">
        <v>2806</v>
      </c>
      <c r="B1189" t="s">
        <v>356</v>
      </c>
      <c r="C1189" t="s">
        <v>7431</v>
      </c>
      <c r="D1189">
        <v>129.350644</v>
      </c>
    </row>
    <row r="1190" spans="1:4">
      <c r="A1190" t="s">
        <v>2807</v>
      </c>
      <c r="B1190" t="s">
        <v>356</v>
      </c>
      <c r="C1190" t="s">
        <v>7317</v>
      </c>
      <c r="D1190">
        <v>6.66614</v>
      </c>
    </row>
    <row r="1191" spans="1:4">
      <c r="A1191" t="s">
        <v>2808</v>
      </c>
      <c r="B1191" t="s">
        <v>356</v>
      </c>
      <c r="C1191" t="s">
        <v>7432</v>
      </c>
      <c r="D1191">
        <v>41.532803</v>
      </c>
    </row>
    <row r="1192" spans="1:4">
      <c r="A1192" t="s">
        <v>2809</v>
      </c>
      <c r="B1192" t="s">
        <v>356</v>
      </c>
      <c r="C1192" t="s">
        <v>7433</v>
      </c>
      <c r="D1192">
        <v>219.270605</v>
      </c>
    </row>
    <row r="1193" spans="1:4">
      <c r="A1193" t="s">
        <v>2810</v>
      </c>
      <c r="B1193" t="s">
        <v>356</v>
      </c>
      <c r="C1193" t="s">
        <v>7434</v>
      </c>
      <c r="D1193">
        <v>9.733857</v>
      </c>
    </row>
    <row r="1194" spans="1:4">
      <c r="A1194" t="s">
        <v>2811</v>
      </c>
      <c r="B1194" t="s">
        <v>356</v>
      </c>
      <c r="C1194" t="s">
        <v>7435</v>
      </c>
      <c r="D1194">
        <v>0.118116</v>
      </c>
    </row>
    <row r="1195" spans="1:4">
      <c r="A1195" t="s">
        <v>2812</v>
      </c>
      <c r="B1195" t="s">
        <v>356</v>
      </c>
      <c r="C1195" t="s">
        <v>7436</v>
      </c>
      <c r="D1195">
        <v>6.907573</v>
      </c>
    </row>
    <row r="1196" spans="1:4">
      <c r="A1196" t="s">
        <v>2813</v>
      </c>
      <c r="B1196" t="s">
        <v>356</v>
      </c>
      <c r="C1196" t="s">
        <v>7437</v>
      </c>
      <c r="D1196">
        <v>0.082149</v>
      </c>
    </row>
    <row r="1197" spans="1:4">
      <c r="A1197" t="s">
        <v>2814</v>
      </c>
      <c r="B1197" t="s">
        <v>356</v>
      </c>
      <c r="C1197" t="s">
        <v>399</v>
      </c>
      <c r="D1197">
        <v>305.971902</v>
      </c>
    </row>
    <row r="1198" spans="1:4">
      <c r="A1198" t="s">
        <v>2815</v>
      </c>
      <c r="B1198" t="s">
        <v>356</v>
      </c>
      <c r="C1198" t="s">
        <v>7438</v>
      </c>
      <c r="D1198">
        <v>7.655356</v>
      </c>
    </row>
    <row r="1199" spans="1:4">
      <c r="A1199" t="s">
        <v>2816</v>
      </c>
      <c r="B1199" t="s">
        <v>356</v>
      </c>
      <c r="C1199" t="s">
        <v>7439</v>
      </c>
      <c r="D1199">
        <v>0.025525</v>
      </c>
    </row>
    <row r="1200" spans="1:4">
      <c r="A1200" t="s">
        <v>2817</v>
      </c>
      <c r="B1200" t="s">
        <v>356</v>
      </c>
      <c r="C1200" t="s">
        <v>7440</v>
      </c>
      <c r="D1200">
        <v>0.56703</v>
      </c>
    </row>
    <row r="1201" spans="1:4">
      <c r="A1201" t="s">
        <v>2818</v>
      </c>
      <c r="B1201" t="s">
        <v>356</v>
      </c>
      <c r="C1201" t="s">
        <v>7441</v>
      </c>
      <c r="D1201">
        <v>0.011702</v>
      </c>
    </row>
    <row r="1202" spans="1:4">
      <c r="A1202" t="s">
        <v>2819</v>
      </c>
      <c r="B1202" t="s">
        <v>356</v>
      </c>
      <c r="C1202" t="s">
        <v>7442</v>
      </c>
      <c r="D1202">
        <v>2.59291</v>
      </c>
    </row>
    <row r="1203" spans="1:4">
      <c r="A1203" t="s">
        <v>2820</v>
      </c>
      <c r="B1203" t="s">
        <v>356</v>
      </c>
      <c r="C1203" t="s">
        <v>7443</v>
      </c>
      <c r="D1203">
        <v>113.861144</v>
      </c>
    </row>
    <row r="1204" spans="1:4">
      <c r="A1204" t="s">
        <v>2821</v>
      </c>
      <c r="B1204" t="s">
        <v>356</v>
      </c>
      <c r="C1204" t="s">
        <v>7444</v>
      </c>
      <c r="D1204">
        <v>0.542606</v>
      </c>
    </row>
    <row r="1205" spans="1:4">
      <c r="A1205" t="s">
        <v>2822</v>
      </c>
      <c r="B1205" t="s">
        <v>356</v>
      </c>
      <c r="C1205" t="s">
        <v>7445</v>
      </c>
      <c r="D1205">
        <v>113.323089</v>
      </c>
    </row>
    <row r="1206" spans="1:4">
      <c r="A1206" t="s">
        <v>2823</v>
      </c>
      <c r="B1206" t="s">
        <v>356</v>
      </c>
      <c r="C1206" t="s">
        <v>7446</v>
      </c>
      <c r="D1206">
        <v>170.934299</v>
      </c>
    </row>
    <row r="1207" spans="1:4">
      <c r="A1207" t="s">
        <v>2824</v>
      </c>
      <c r="B1207" t="s">
        <v>356</v>
      </c>
      <c r="C1207" t="s">
        <v>7447</v>
      </c>
      <c r="D1207">
        <v>418.800013</v>
      </c>
    </row>
    <row r="1208" spans="1:4">
      <c r="A1208" t="s">
        <v>2825</v>
      </c>
      <c r="B1208" t="s">
        <v>356</v>
      </c>
      <c r="C1208" t="s">
        <v>7448</v>
      </c>
      <c r="D1208">
        <v>0.542606</v>
      </c>
    </row>
    <row r="1209" spans="1:4">
      <c r="A1209" t="s">
        <v>2826</v>
      </c>
      <c r="B1209" t="s">
        <v>356</v>
      </c>
      <c r="C1209" t="s">
        <v>7449</v>
      </c>
      <c r="D1209">
        <v>2.982657</v>
      </c>
    </row>
    <row r="1210" spans="1:4">
      <c r="A1210" t="s">
        <v>2827</v>
      </c>
      <c r="B1210" t="s">
        <v>356</v>
      </c>
      <c r="C1210" t="s">
        <v>7450</v>
      </c>
      <c r="D1210">
        <v>1.28149</v>
      </c>
    </row>
    <row r="1211" spans="1:4">
      <c r="A1211" t="s">
        <v>2828</v>
      </c>
      <c r="B1211" t="s">
        <v>356</v>
      </c>
      <c r="C1211" t="s">
        <v>7318</v>
      </c>
      <c r="D1211">
        <v>18.69038</v>
      </c>
    </row>
    <row r="1212" spans="1:4">
      <c r="A1212" t="s">
        <v>2829</v>
      </c>
      <c r="B1212" t="s">
        <v>356</v>
      </c>
      <c r="C1212" t="s">
        <v>7451</v>
      </c>
      <c r="D1212">
        <v>16.288623</v>
      </c>
    </row>
    <row r="1213" spans="1:4">
      <c r="A1213" t="s">
        <v>2830</v>
      </c>
      <c r="B1213" t="s">
        <v>356</v>
      </c>
      <c r="C1213" t="s">
        <v>7452</v>
      </c>
      <c r="D1213">
        <v>11.586938</v>
      </c>
    </row>
    <row r="1214" spans="1:4">
      <c r="A1214" t="s">
        <v>2831</v>
      </c>
      <c r="B1214" t="s">
        <v>356</v>
      </c>
      <c r="C1214" t="s">
        <v>7453</v>
      </c>
      <c r="D1214">
        <v>11.586938</v>
      </c>
    </row>
    <row r="1215" spans="1:4">
      <c r="A1215" t="s">
        <v>2832</v>
      </c>
      <c r="B1215" t="s">
        <v>357</v>
      </c>
      <c r="C1215" t="s">
        <v>397</v>
      </c>
      <c r="D1215">
        <v>353.932586</v>
      </c>
    </row>
    <row r="1216" spans="1:4">
      <c r="A1216" t="s">
        <v>2833</v>
      </c>
      <c r="B1216" t="s">
        <v>357</v>
      </c>
      <c r="C1216" t="s">
        <v>7319</v>
      </c>
      <c r="D1216">
        <v>82.653705</v>
      </c>
    </row>
    <row r="1217" spans="1:4">
      <c r="A1217" t="s">
        <v>2834</v>
      </c>
      <c r="B1217" t="s">
        <v>357</v>
      </c>
      <c r="C1217" t="s">
        <v>7320</v>
      </c>
      <c r="D1217">
        <v>4.867006</v>
      </c>
    </row>
    <row r="1218" spans="1:4">
      <c r="A1218" t="s">
        <v>2835</v>
      </c>
      <c r="B1218" t="s">
        <v>357</v>
      </c>
      <c r="C1218" t="s">
        <v>7321</v>
      </c>
      <c r="D1218">
        <v>3.706442</v>
      </c>
    </row>
    <row r="1219" spans="1:4">
      <c r="A1219" t="s">
        <v>2836</v>
      </c>
      <c r="B1219" t="s">
        <v>357</v>
      </c>
      <c r="C1219" t="s">
        <v>7322</v>
      </c>
      <c r="D1219">
        <v>0.825555</v>
      </c>
    </row>
    <row r="1220" spans="1:4">
      <c r="A1220" t="s">
        <v>2837</v>
      </c>
      <c r="B1220" t="s">
        <v>357</v>
      </c>
      <c r="C1220" t="s">
        <v>7323</v>
      </c>
      <c r="D1220">
        <v>169.578601</v>
      </c>
    </row>
    <row r="1221" spans="1:4">
      <c r="A1221" t="s">
        <v>2838</v>
      </c>
      <c r="B1221" t="s">
        <v>357</v>
      </c>
      <c r="C1221" t="s">
        <v>7324</v>
      </c>
      <c r="D1221">
        <v>0.319347</v>
      </c>
    </row>
    <row r="1222" spans="1:4">
      <c r="A1222" t="s">
        <v>2839</v>
      </c>
      <c r="B1222" t="s">
        <v>357</v>
      </c>
      <c r="C1222" t="s">
        <v>7325</v>
      </c>
      <c r="D1222">
        <v>0.215236</v>
      </c>
    </row>
    <row r="1223" spans="1:4">
      <c r="A1223" t="s">
        <v>2840</v>
      </c>
      <c r="B1223" t="s">
        <v>357</v>
      </c>
      <c r="C1223" t="s">
        <v>7292</v>
      </c>
      <c r="D1223">
        <v>217.906582</v>
      </c>
    </row>
    <row r="1224" spans="1:4">
      <c r="A1224" t="s">
        <v>2841</v>
      </c>
      <c r="B1224" t="s">
        <v>357</v>
      </c>
      <c r="C1224" t="s">
        <v>7326</v>
      </c>
      <c r="D1224">
        <v>169.578601</v>
      </c>
    </row>
    <row r="1225" spans="1:4">
      <c r="A1225" t="s">
        <v>2842</v>
      </c>
      <c r="B1225" t="s">
        <v>357</v>
      </c>
      <c r="C1225" t="s">
        <v>7327</v>
      </c>
      <c r="D1225">
        <v>178.90979</v>
      </c>
    </row>
    <row r="1226" spans="1:4">
      <c r="A1226" t="s">
        <v>2843</v>
      </c>
      <c r="B1226" t="s">
        <v>357</v>
      </c>
      <c r="C1226" t="s">
        <v>7328</v>
      </c>
      <c r="D1226">
        <v>180.962858</v>
      </c>
    </row>
    <row r="1227" spans="1:4">
      <c r="A1227" t="s">
        <v>2844</v>
      </c>
      <c r="B1227" t="s">
        <v>357</v>
      </c>
      <c r="C1227" t="s">
        <v>7329</v>
      </c>
      <c r="D1227">
        <v>151.772837</v>
      </c>
    </row>
    <row r="1228" spans="1:4">
      <c r="A1228" t="s">
        <v>2845</v>
      </c>
      <c r="B1228" t="s">
        <v>357</v>
      </c>
      <c r="C1228" t="s">
        <v>7330</v>
      </c>
      <c r="D1228">
        <v>2.473685</v>
      </c>
    </row>
    <row r="1229" spans="1:4">
      <c r="A1229" t="s">
        <v>2846</v>
      </c>
      <c r="B1229" t="s">
        <v>357</v>
      </c>
      <c r="C1229" t="s">
        <v>398</v>
      </c>
      <c r="D1229">
        <v>180.962858</v>
      </c>
    </row>
    <row r="1230" spans="1:4">
      <c r="A1230" t="s">
        <v>2847</v>
      </c>
      <c r="B1230" t="s">
        <v>357</v>
      </c>
      <c r="C1230" t="s">
        <v>7331</v>
      </c>
      <c r="D1230">
        <v>807.302198</v>
      </c>
    </row>
    <row r="1231" spans="1:4">
      <c r="A1231" t="s">
        <v>2848</v>
      </c>
      <c r="B1231" t="s">
        <v>357</v>
      </c>
      <c r="C1231" t="s">
        <v>7332</v>
      </c>
      <c r="D1231">
        <v>0.101663</v>
      </c>
    </row>
    <row r="1232" spans="1:4">
      <c r="A1232" t="s">
        <v>2849</v>
      </c>
      <c r="B1232" t="s">
        <v>357</v>
      </c>
      <c r="C1232" t="s">
        <v>7333</v>
      </c>
      <c r="D1232">
        <v>303.545804</v>
      </c>
    </row>
    <row r="1233" spans="1:4">
      <c r="A1233" t="s">
        <v>2850</v>
      </c>
      <c r="B1233" t="s">
        <v>357</v>
      </c>
      <c r="C1233" t="s">
        <v>7334</v>
      </c>
      <c r="D1233">
        <v>237.801347</v>
      </c>
    </row>
    <row r="1234" spans="1:4">
      <c r="A1234" t="s">
        <v>2851</v>
      </c>
      <c r="B1234" t="s">
        <v>357</v>
      </c>
      <c r="C1234" t="s">
        <v>7335</v>
      </c>
      <c r="D1234">
        <v>44.064643</v>
      </c>
    </row>
    <row r="1235" spans="1:4">
      <c r="A1235" t="s">
        <v>2852</v>
      </c>
      <c r="B1235" t="s">
        <v>357</v>
      </c>
      <c r="C1235" t="s">
        <v>7293</v>
      </c>
      <c r="D1235">
        <v>60.180888</v>
      </c>
    </row>
    <row r="1236" spans="1:4">
      <c r="A1236" t="s">
        <v>2853</v>
      </c>
      <c r="B1236" t="s">
        <v>357</v>
      </c>
      <c r="C1236" t="s">
        <v>7336</v>
      </c>
      <c r="D1236">
        <v>303.545804</v>
      </c>
    </row>
    <row r="1237" spans="1:4">
      <c r="A1237" t="s">
        <v>2854</v>
      </c>
      <c r="B1237" t="s">
        <v>357</v>
      </c>
      <c r="C1237" t="s">
        <v>7337</v>
      </c>
      <c r="D1237">
        <v>3.193277</v>
      </c>
    </row>
    <row r="1238" spans="1:4">
      <c r="A1238" t="s">
        <v>2855</v>
      </c>
      <c r="B1238" t="s">
        <v>357</v>
      </c>
      <c r="C1238" t="s">
        <v>7338</v>
      </c>
      <c r="D1238">
        <v>21.289087</v>
      </c>
    </row>
    <row r="1239" spans="1:4">
      <c r="A1239" t="s">
        <v>2856</v>
      </c>
      <c r="B1239" t="s">
        <v>357</v>
      </c>
      <c r="C1239" t="s">
        <v>7339</v>
      </c>
      <c r="D1239">
        <v>111.077784</v>
      </c>
    </row>
    <row r="1240" spans="1:4">
      <c r="A1240" t="s">
        <v>2857</v>
      </c>
      <c r="B1240" t="s">
        <v>357</v>
      </c>
      <c r="C1240" t="s">
        <v>7340</v>
      </c>
      <c r="D1240">
        <v>151.772837</v>
      </c>
    </row>
    <row r="1241" spans="1:4">
      <c r="A1241" t="s">
        <v>2858</v>
      </c>
      <c r="B1241" t="s">
        <v>357</v>
      </c>
      <c r="C1241" t="s">
        <v>7294</v>
      </c>
      <c r="D1241">
        <v>220.0946</v>
      </c>
    </row>
    <row r="1242" spans="1:4">
      <c r="A1242" t="s">
        <v>2859</v>
      </c>
      <c r="B1242" t="s">
        <v>357</v>
      </c>
      <c r="C1242" t="s">
        <v>7341</v>
      </c>
      <c r="D1242">
        <v>0.131892</v>
      </c>
    </row>
    <row r="1243" spans="1:4">
      <c r="A1243" t="s">
        <v>2860</v>
      </c>
      <c r="B1243" t="s">
        <v>357</v>
      </c>
      <c r="C1243" t="s">
        <v>7295</v>
      </c>
      <c r="D1243">
        <v>388.403387</v>
      </c>
    </row>
    <row r="1244" spans="1:4">
      <c r="A1244" t="s">
        <v>2861</v>
      </c>
      <c r="B1244" t="s">
        <v>357</v>
      </c>
      <c r="C1244" t="s">
        <v>7342</v>
      </c>
      <c r="D1244">
        <v>13491.883734</v>
      </c>
    </row>
    <row r="1245" spans="1:4">
      <c r="A1245" t="s">
        <v>2862</v>
      </c>
      <c r="B1245" t="s">
        <v>357</v>
      </c>
      <c r="C1245" t="s">
        <v>7343</v>
      </c>
      <c r="D1245">
        <v>0.341336</v>
      </c>
    </row>
    <row r="1246" spans="1:4">
      <c r="A1246" t="s">
        <v>2863</v>
      </c>
      <c r="B1246" t="s">
        <v>357</v>
      </c>
      <c r="C1246" t="s">
        <v>7344</v>
      </c>
      <c r="D1246">
        <v>44.882103</v>
      </c>
    </row>
    <row r="1247" spans="1:4">
      <c r="A1247" t="s">
        <v>2864</v>
      </c>
      <c r="B1247" t="s">
        <v>357</v>
      </c>
      <c r="C1247" t="s">
        <v>7296</v>
      </c>
      <c r="D1247">
        <v>44.828944</v>
      </c>
    </row>
    <row r="1248" spans="1:4">
      <c r="A1248" t="s">
        <v>2865</v>
      </c>
      <c r="B1248" t="s">
        <v>357</v>
      </c>
      <c r="C1248" t="s">
        <v>7345</v>
      </c>
      <c r="D1248">
        <v>0.083702</v>
      </c>
    </row>
    <row r="1249" spans="1:4">
      <c r="A1249" t="s">
        <v>2866</v>
      </c>
      <c r="B1249" t="s">
        <v>357</v>
      </c>
      <c r="C1249" t="s">
        <v>7346</v>
      </c>
      <c r="D1249">
        <v>0.6716299999999999</v>
      </c>
    </row>
    <row r="1250" spans="1:4">
      <c r="A1250" t="s">
        <v>2867</v>
      </c>
      <c r="B1250" t="s">
        <v>357</v>
      </c>
      <c r="C1250" t="s">
        <v>7347</v>
      </c>
      <c r="D1250">
        <v>12.647738</v>
      </c>
    </row>
    <row r="1251" spans="1:4">
      <c r="A1251" t="s">
        <v>2868</v>
      </c>
      <c r="B1251" t="s">
        <v>357</v>
      </c>
      <c r="C1251" t="s">
        <v>7348</v>
      </c>
      <c r="D1251">
        <v>3.209836</v>
      </c>
    </row>
    <row r="1252" spans="1:4">
      <c r="A1252" t="s">
        <v>2869</v>
      </c>
      <c r="B1252" t="s">
        <v>357</v>
      </c>
      <c r="C1252" t="s">
        <v>7297</v>
      </c>
      <c r="D1252">
        <v>14.573359</v>
      </c>
    </row>
    <row r="1253" spans="1:4">
      <c r="A1253" t="s">
        <v>2870</v>
      </c>
      <c r="B1253" t="s">
        <v>357</v>
      </c>
      <c r="C1253" t="s">
        <v>7349</v>
      </c>
      <c r="D1253">
        <v>1.70799</v>
      </c>
    </row>
    <row r="1254" spans="1:4">
      <c r="A1254" t="s">
        <v>2871</v>
      </c>
      <c r="B1254" t="s">
        <v>357</v>
      </c>
      <c r="C1254" t="s">
        <v>7298</v>
      </c>
      <c r="D1254">
        <v>47.423469</v>
      </c>
    </row>
    <row r="1255" spans="1:4">
      <c r="A1255" t="s">
        <v>2872</v>
      </c>
      <c r="B1255" t="s">
        <v>357</v>
      </c>
      <c r="C1255" t="s">
        <v>7350</v>
      </c>
      <c r="D1255">
        <v>5.150724</v>
      </c>
    </row>
    <row r="1256" spans="1:4">
      <c r="A1256" t="s">
        <v>2873</v>
      </c>
      <c r="B1256" t="s">
        <v>357</v>
      </c>
      <c r="C1256" t="s">
        <v>7351</v>
      </c>
      <c r="D1256">
        <v>2.294696</v>
      </c>
    </row>
    <row r="1257" spans="1:4">
      <c r="A1257" t="s">
        <v>2874</v>
      </c>
      <c r="B1257" t="s">
        <v>357</v>
      </c>
      <c r="C1257" t="s">
        <v>7352</v>
      </c>
      <c r="D1257">
        <v>5.817223</v>
      </c>
    </row>
    <row r="1258" spans="1:4">
      <c r="A1258" t="s">
        <v>2875</v>
      </c>
      <c r="B1258" t="s">
        <v>357</v>
      </c>
      <c r="C1258" t="s">
        <v>7353</v>
      </c>
      <c r="D1258">
        <v>20.236381</v>
      </c>
    </row>
    <row r="1259" spans="1:4">
      <c r="A1259" t="s">
        <v>2876</v>
      </c>
      <c r="B1259" t="s">
        <v>357</v>
      </c>
      <c r="C1259" t="s">
        <v>7354</v>
      </c>
      <c r="D1259">
        <v>1.87948</v>
      </c>
    </row>
    <row r="1260" spans="1:4">
      <c r="A1260" t="s">
        <v>2877</v>
      </c>
      <c r="B1260" t="s">
        <v>357</v>
      </c>
      <c r="C1260" t="s">
        <v>7355</v>
      </c>
      <c r="D1260">
        <v>137.106064</v>
      </c>
    </row>
    <row r="1261" spans="1:4">
      <c r="A1261" t="s">
        <v>2878</v>
      </c>
      <c r="B1261" t="s">
        <v>357</v>
      </c>
      <c r="C1261" t="s">
        <v>7356</v>
      </c>
      <c r="D1261">
        <v>408.250758</v>
      </c>
    </row>
    <row r="1262" spans="1:4">
      <c r="A1262" t="s">
        <v>2879</v>
      </c>
      <c r="B1262" t="s">
        <v>357</v>
      </c>
      <c r="C1262" t="s">
        <v>7357</v>
      </c>
      <c r="D1262">
        <v>47.423481</v>
      </c>
    </row>
    <row r="1263" spans="1:4">
      <c r="A1263" t="s">
        <v>2880</v>
      </c>
      <c r="B1263" t="s">
        <v>357</v>
      </c>
      <c r="C1263" t="s">
        <v>7299</v>
      </c>
      <c r="D1263">
        <v>408.249816</v>
      </c>
    </row>
    <row r="1264" spans="1:4">
      <c r="A1264" t="s">
        <v>2881</v>
      </c>
      <c r="B1264" t="s">
        <v>357</v>
      </c>
      <c r="C1264" t="s">
        <v>7358</v>
      </c>
      <c r="D1264">
        <v>113.96835</v>
      </c>
    </row>
    <row r="1265" spans="1:4">
      <c r="A1265" t="s">
        <v>2882</v>
      </c>
      <c r="B1265" t="s">
        <v>357</v>
      </c>
      <c r="C1265" t="s">
        <v>7359</v>
      </c>
      <c r="D1265">
        <v>408.250758</v>
      </c>
    </row>
    <row r="1266" spans="1:4">
      <c r="A1266" t="s">
        <v>2883</v>
      </c>
      <c r="B1266" t="s">
        <v>357</v>
      </c>
      <c r="C1266" t="s">
        <v>7360</v>
      </c>
      <c r="D1266">
        <v>25.861403</v>
      </c>
    </row>
    <row r="1267" spans="1:4">
      <c r="A1267" t="s">
        <v>2884</v>
      </c>
      <c r="B1267" t="s">
        <v>357</v>
      </c>
      <c r="C1267" t="s">
        <v>7361</v>
      </c>
      <c r="D1267">
        <v>408.250758</v>
      </c>
    </row>
    <row r="1268" spans="1:4">
      <c r="A1268" t="s">
        <v>2885</v>
      </c>
      <c r="B1268" t="s">
        <v>357</v>
      </c>
      <c r="C1268" t="s">
        <v>7362</v>
      </c>
      <c r="D1268">
        <v>4.094649</v>
      </c>
    </row>
    <row r="1269" spans="1:4">
      <c r="A1269" t="s">
        <v>2886</v>
      </c>
      <c r="B1269" t="s">
        <v>357</v>
      </c>
      <c r="C1269" t="s">
        <v>7363</v>
      </c>
      <c r="D1269">
        <v>0.03466</v>
      </c>
    </row>
    <row r="1270" spans="1:4">
      <c r="A1270" t="s">
        <v>2887</v>
      </c>
      <c r="B1270" t="s">
        <v>357</v>
      </c>
      <c r="C1270" t="s">
        <v>7364</v>
      </c>
      <c r="D1270">
        <v>39.961804</v>
      </c>
    </row>
    <row r="1271" spans="1:4">
      <c r="A1271" t="s">
        <v>2888</v>
      </c>
      <c r="B1271" t="s">
        <v>357</v>
      </c>
      <c r="C1271" t="s">
        <v>7365</v>
      </c>
      <c r="D1271">
        <v>1.453783</v>
      </c>
    </row>
    <row r="1272" spans="1:4">
      <c r="A1272" t="s">
        <v>2889</v>
      </c>
      <c r="B1272" t="s">
        <v>357</v>
      </c>
      <c r="C1272" t="s">
        <v>7300</v>
      </c>
      <c r="D1272">
        <v>38.753047</v>
      </c>
    </row>
    <row r="1273" spans="1:4">
      <c r="A1273" t="s">
        <v>2890</v>
      </c>
      <c r="B1273" t="s">
        <v>357</v>
      </c>
      <c r="C1273" t="s">
        <v>7366</v>
      </c>
      <c r="D1273">
        <v>11.457879</v>
      </c>
    </row>
    <row r="1274" spans="1:4">
      <c r="A1274" t="s">
        <v>2891</v>
      </c>
      <c r="B1274" t="s">
        <v>357</v>
      </c>
      <c r="C1274" t="s">
        <v>7367</v>
      </c>
      <c r="D1274">
        <v>46.974927</v>
      </c>
    </row>
    <row r="1275" spans="1:4">
      <c r="A1275" t="s">
        <v>2892</v>
      </c>
      <c r="B1275" t="s">
        <v>357</v>
      </c>
      <c r="C1275" t="s">
        <v>7368</v>
      </c>
      <c r="D1275">
        <v>2.322482</v>
      </c>
    </row>
    <row r="1276" spans="1:4">
      <c r="A1276" t="s">
        <v>2893</v>
      </c>
      <c r="B1276" t="s">
        <v>357</v>
      </c>
      <c r="C1276" t="s">
        <v>7301</v>
      </c>
      <c r="D1276">
        <v>0.016988</v>
      </c>
    </row>
    <row r="1277" spans="1:4">
      <c r="A1277" t="s">
        <v>2894</v>
      </c>
      <c r="B1277" t="s">
        <v>357</v>
      </c>
      <c r="C1277" t="s">
        <v>7302</v>
      </c>
      <c r="D1277">
        <v>107.907559</v>
      </c>
    </row>
    <row r="1278" spans="1:4">
      <c r="A1278" t="s">
        <v>2895</v>
      </c>
      <c r="B1278" t="s">
        <v>357</v>
      </c>
      <c r="C1278" t="s">
        <v>7369</v>
      </c>
      <c r="D1278">
        <v>408.250758</v>
      </c>
    </row>
    <row r="1279" spans="1:4">
      <c r="A1279" t="s">
        <v>2896</v>
      </c>
      <c r="B1279" t="s">
        <v>357</v>
      </c>
      <c r="C1279" t="s">
        <v>7303</v>
      </c>
      <c r="D1279">
        <v>3.193264</v>
      </c>
    </row>
    <row r="1280" spans="1:4">
      <c r="A1280" t="s">
        <v>2897</v>
      </c>
      <c r="B1280" t="s">
        <v>357</v>
      </c>
      <c r="C1280" t="s">
        <v>7370</v>
      </c>
      <c r="D1280">
        <v>0.23205</v>
      </c>
    </row>
    <row r="1281" spans="1:4">
      <c r="A1281" t="s">
        <v>2898</v>
      </c>
      <c r="B1281" t="s">
        <v>357</v>
      </c>
      <c r="C1281" t="s">
        <v>7371</v>
      </c>
      <c r="D1281">
        <v>0.000227</v>
      </c>
    </row>
    <row r="1282" spans="1:4">
      <c r="A1282" t="s">
        <v>2899</v>
      </c>
      <c r="B1282" t="s">
        <v>357</v>
      </c>
      <c r="C1282" t="s">
        <v>7304</v>
      </c>
      <c r="D1282">
        <v>2.469457</v>
      </c>
    </row>
    <row r="1283" spans="1:4">
      <c r="A1283" t="s">
        <v>2900</v>
      </c>
      <c r="B1283" t="s">
        <v>357</v>
      </c>
      <c r="C1283" t="s">
        <v>7372</v>
      </c>
      <c r="D1283">
        <v>408.250758</v>
      </c>
    </row>
    <row r="1284" spans="1:4">
      <c r="A1284" t="s">
        <v>2901</v>
      </c>
      <c r="B1284" t="s">
        <v>357</v>
      </c>
      <c r="C1284" t="s">
        <v>7373</v>
      </c>
      <c r="D1284">
        <v>1.920391</v>
      </c>
    </row>
    <row r="1285" spans="1:4">
      <c r="A1285" t="s">
        <v>2902</v>
      </c>
      <c r="B1285" t="s">
        <v>357</v>
      </c>
      <c r="C1285" t="s">
        <v>7374</v>
      </c>
      <c r="D1285">
        <v>428.132173</v>
      </c>
    </row>
    <row r="1286" spans="1:4">
      <c r="A1286" t="s">
        <v>2903</v>
      </c>
      <c r="B1286" t="s">
        <v>357</v>
      </c>
      <c r="C1286" t="s">
        <v>7305</v>
      </c>
      <c r="D1286">
        <v>1.906172</v>
      </c>
    </row>
    <row r="1287" spans="1:4">
      <c r="A1287" t="s">
        <v>2904</v>
      </c>
      <c r="B1287" t="s">
        <v>357</v>
      </c>
      <c r="C1287" t="s">
        <v>7375</v>
      </c>
      <c r="D1287">
        <v>2.348336</v>
      </c>
    </row>
    <row r="1288" spans="1:4">
      <c r="A1288" t="s">
        <v>2905</v>
      </c>
      <c r="B1288" t="s">
        <v>357</v>
      </c>
      <c r="C1288" t="s">
        <v>7376</v>
      </c>
      <c r="D1288">
        <v>3.474109</v>
      </c>
    </row>
    <row r="1289" spans="1:4">
      <c r="A1289" t="s">
        <v>2906</v>
      </c>
      <c r="B1289" t="s">
        <v>357</v>
      </c>
      <c r="C1289" t="s">
        <v>7377</v>
      </c>
      <c r="D1289">
        <v>0.075367</v>
      </c>
    </row>
    <row r="1290" spans="1:4">
      <c r="A1290" t="s">
        <v>2907</v>
      </c>
      <c r="B1290" t="s">
        <v>357</v>
      </c>
      <c r="C1290" t="s">
        <v>7378</v>
      </c>
      <c r="D1290">
        <v>217.90685</v>
      </c>
    </row>
    <row r="1291" spans="1:4">
      <c r="A1291" t="s">
        <v>2908</v>
      </c>
      <c r="B1291" t="s">
        <v>357</v>
      </c>
      <c r="C1291" t="s">
        <v>7379</v>
      </c>
      <c r="D1291">
        <v>0.719422</v>
      </c>
    </row>
    <row r="1292" spans="1:4">
      <c r="A1292" t="s">
        <v>2909</v>
      </c>
      <c r="B1292" t="s">
        <v>357</v>
      </c>
      <c r="C1292" t="s">
        <v>7306</v>
      </c>
      <c r="D1292">
        <v>0.201578</v>
      </c>
    </row>
    <row r="1293" spans="1:4">
      <c r="A1293" t="s">
        <v>2910</v>
      </c>
      <c r="B1293" t="s">
        <v>357</v>
      </c>
      <c r="C1293" t="s">
        <v>7380</v>
      </c>
      <c r="D1293">
        <v>983.282639</v>
      </c>
    </row>
    <row r="1294" spans="1:4">
      <c r="A1294" t="s">
        <v>2911</v>
      </c>
      <c r="B1294" t="s">
        <v>357</v>
      </c>
      <c r="C1294" t="s">
        <v>7381</v>
      </c>
      <c r="D1294">
        <v>364.25484</v>
      </c>
    </row>
    <row r="1295" spans="1:4">
      <c r="A1295" t="s">
        <v>2912</v>
      </c>
      <c r="B1295" t="s">
        <v>357</v>
      </c>
      <c r="C1295" t="s">
        <v>7382</v>
      </c>
      <c r="D1295">
        <v>0.62387</v>
      </c>
    </row>
    <row r="1296" spans="1:4">
      <c r="A1296" t="s">
        <v>2913</v>
      </c>
      <c r="B1296" t="s">
        <v>357</v>
      </c>
      <c r="C1296" t="s">
        <v>7383</v>
      </c>
      <c r="D1296">
        <v>0.013886</v>
      </c>
    </row>
    <row r="1297" spans="1:4">
      <c r="A1297" t="s">
        <v>2914</v>
      </c>
      <c r="B1297" t="s">
        <v>357</v>
      </c>
      <c r="C1297" t="s">
        <v>7384</v>
      </c>
      <c r="D1297">
        <v>0.003392</v>
      </c>
    </row>
    <row r="1298" spans="1:4">
      <c r="A1298" t="s">
        <v>2915</v>
      </c>
      <c r="B1298" t="s">
        <v>357</v>
      </c>
      <c r="C1298" t="s">
        <v>7385</v>
      </c>
      <c r="D1298">
        <v>0.922295</v>
      </c>
    </row>
    <row r="1299" spans="1:4">
      <c r="A1299" t="s">
        <v>2916</v>
      </c>
      <c r="B1299" t="s">
        <v>357</v>
      </c>
      <c r="C1299" t="s">
        <v>7386</v>
      </c>
      <c r="D1299">
        <v>1.670494</v>
      </c>
    </row>
    <row r="1300" spans="1:4">
      <c r="A1300" t="s">
        <v>2917</v>
      </c>
      <c r="B1300" t="s">
        <v>357</v>
      </c>
      <c r="C1300" t="s">
        <v>7387</v>
      </c>
      <c r="D1300">
        <v>18.705372</v>
      </c>
    </row>
    <row r="1301" spans="1:4">
      <c r="A1301" t="s">
        <v>2918</v>
      </c>
      <c r="B1301" t="s">
        <v>357</v>
      </c>
      <c r="C1301" t="s">
        <v>7388</v>
      </c>
      <c r="D1301">
        <v>47.724926</v>
      </c>
    </row>
    <row r="1302" spans="1:4">
      <c r="A1302" t="s">
        <v>2919</v>
      </c>
      <c r="B1302" t="s">
        <v>357</v>
      </c>
      <c r="C1302" t="s">
        <v>7389</v>
      </c>
      <c r="D1302">
        <v>33.049716</v>
      </c>
    </row>
    <row r="1303" spans="1:4">
      <c r="A1303" t="s">
        <v>2920</v>
      </c>
      <c r="B1303" t="s">
        <v>357</v>
      </c>
      <c r="C1303" t="s">
        <v>7390</v>
      </c>
      <c r="D1303">
        <v>17.570526</v>
      </c>
    </row>
    <row r="1304" spans="1:4">
      <c r="A1304" t="s">
        <v>2921</v>
      </c>
      <c r="B1304" t="s">
        <v>357</v>
      </c>
      <c r="C1304" t="s">
        <v>7391</v>
      </c>
      <c r="D1304">
        <v>0.07287200000000001</v>
      </c>
    </row>
    <row r="1305" spans="1:4">
      <c r="A1305" t="s">
        <v>2922</v>
      </c>
      <c r="B1305" t="s">
        <v>357</v>
      </c>
      <c r="C1305" t="s">
        <v>7392</v>
      </c>
      <c r="D1305">
        <v>5.736812</v>
      </c>
    </row>
    <row r="1306" spans="1:4">
      <c r="A1306" t="s">
        <v>2923</v>
      </c>
      <c r="B1306" t="s">
        <v>357</v>
      </c>
      <c r="C1306" t="s">
        <v>7393</v>
      </c>
      <c r="D1306">
        <v>0.145099</v>
      </c>
    </row>
    <row r="1307" spans="1:4">
      <c r="A1307" t="s">
        <v>2924</v>
      </c>
      <c r="B1307" t="s">
        <v>357</v>
      </c>
      <c r="C1307" t="s">
        <v>7394</v>
      </c>
      <c r="D1307">
        <v>0.08451</v>
      </c>
    </row>
    <row r="1308" spans="1:4">
      <c r="A1308" t="s">
        <v>2925</v>
      </c>
      <c r="B1308" t="s">
        <v>357</v>
      </c>
      <c r="C1308" t="s">
        <v>7395</v>
      </c>
      <c r="D1308">
        <v>37.624357</v>
      </c>
    </row>
    <row r="1309" spans="1:4">
      <c r="A1309" t="s">
        <v>2926</v>
      </c>
      <c r="B1309" t="s">
        <v>357</v>
      </c>
      <c r="C1309" t="s">
        <v>7396</v>
      </c>
      <c r="D1309">
        <v>7.605088</v>
      </c>
    </row>
    <row r="1310" spans="1:4">
      <c r="A1310" t="s">
        <v>2927</v>
      </c>
      <c r="B1310" t="s">
        <v>357</v>
      </c>
      <c r="C1310" t="s">
        <v>7397</v>
      </c>
      <c r="D1310">
        <v>6.424053</v>
      </c>
    </row>
    <row r="1311" spans="1:4">
      <c r="A1311" t="s">
        <v>2928</v>
      </c>
      <c r="B1311" t="s">
        <v>357</v>
      </c>
      <c r="C1311" t="s">
        <v>7398</v>
      </c>
      <c r="D1311">
        <v>19.733708</v>
      </c>
    </row>
    <row r="1312" spans="1:4">
      <c r="A1312" t="s">
        <v>2929</v>
      </c>
      <c r="B1312" t="s">
        <v>357</v>
      </c>
      <c r="C1312" t="s">
        <v>7399</v>
      </c>
      <c r="D1312">
        <v>0.173608</v>
      </c>
    </row>
    <row r="1313" spans="1:4">
      <c r="A1313" t="s">
        <v>2930</v>
      </c>
      <c r="B1313" t="s">
        <v>357</v>
      </c>
      <c r="C1313" t="s">
        <v>7307</v>
      </c>
      <c r="D1313">
        <v>17.496184</v>
      </c>
    </row>
    <row r="1314" spans="1:4">
      <c r="A1314" t="s">
        <v>2931</v>
      </c>
      <c r="B1314" t="s">
        <v>357</v>
      </c>
      <c r="C1314" t="s">
        <v>7308</v>
      </c>
      <c r="D1314">
        <v>76.571113</v>
      </c>
    </row>
    <row r="1315" spans="1:4">
      <c r="A1315" t="s">
        <v>2932</v>
      </c>
      <c r="B1315" t="s">
        <v>357</v>
      </c>
      <c r="C1315" t="s">
        <v>7400</v>
      </c>
      <c r="D1315">
        <v>4.75309</v>
      </c>
    </row>
    <row r="1316" spans="1:4">
      <c r="A1316" t="s">
        <v>2933</v>
      </c>
      <c r="B1316" t="s">
        <v>357</v>
      </c>
      <c r="C1316" t="s">
        <v>7401</v>
      </c>
      <c r="D1316">
        <v>18.705372</v>
      </c>
    </row>
    <row r="1317" spans="1:4">
      <c r="A1317" t="s">
        <v>2934</v>
      </c>
      <c r="B1317" t="s">
        <v>357</v>
      </c>
      <c r="C1317" t="s">
        <v>7402</v>
      </c>
      <c r="D1317">
        <v>0.224303</v>
      </c>
    </row>
    <row r="1318" spans="1:4">
      <c r="A1318" t="s">
        <v>2935</v>
      </c>
      <c r="B1318" t="s">
        <v>357</v>
      </c>
      <c r="C1318" t="s">
        <v>7403</v>
      </c>
      <c r="D1318">
        <v>8.302789000000001</v>
      </c>
    </row>
    <row r="1319" spans="1:4">
      <c r="A1319" t="s">
        <v>2936</v>
      </c>
      <c r="B1319" t="s">
        <v>357</v>
      </c>
      <c r="C1319" t="s">
        <v>7309</v>
      </c>
      <c r="D1319">
        <v>32.820225</v>
      </c>
    </row>
    <row r="1320" spans="1:4">
      <c r="A1320" t="s">
        <v>2937</v>
      </c>
      <c r="B1320" t="s">
        <v>357</v>
      </c>
      <c r="C1320" t="s">
        <v>7404</v>
      </c>
      <c r="D1320">
        <v>1.995798</v>
      </c>
    </row>
    <row r="1321" spans="1:4">
      <c r="A1321" t="s">
        <v>2938</v>
      </c>
      <c r="B1321" t="s">
        <v>357</v>
      </c>
      <c r="C1321" t="s">
        <v>7310</v>
      </c>
      <c r="D1321">
        <v>181.530422</v>
      </c>
    </row>
    <row r="1322" spans="1:4">
      <c r="A1322" t="s">
        <v>2939</v>
      </c>
      <c r="B1322" t="s">
        <v>357</v>
      </c>
      <c r="C1322" t="s">
        <v>7405</v>
      </c>
      <c r="D1322">
        <v>789.46243</v>
      </c>
    </row>
    <row r="1323" spans="1:4">
      <c r="A1323" t="s">
        <v>2940</v>
      </c>
      <c r="B1323" t="s">
        <v>357</v>
      </c>
      <c r="C1323" t="s">
        <v>7406</v>
      </c>
      <c r="D1323">
        <v>303.545804</v>
      </c>
    </row>
    <row r="1324" spans="1:4">
      <c r="A1324" t="s">
        <v>2941</v>
      </c>
      <c r="B1324" t="s">
        <v>357</v>
      </c>
      <c r="C1324" t="s">
        <v>7407</v>
      </c>
      <c r="D1324">
        <v>89.14417299999999</v>
      </c>
    </row>
    <row r="1325" spans="1:4">
      <c r="A1325" t="s">
        <v>2942</v>
      </c>
      <c r="B1325" t="s">
        <v>357</v>
      </c>
      <c r="C1325" t="s">
        <v>7408</v>
      </c>
      <c r="D1325">
        <v>69.90622999999999</v>
      </c>
    </row>
    <row r="1326" spans="1:4">
      <c r="A1326" t="s">
        <v>2943</v>
      </c>
      <c r="B1326" t="s">
        <v>357</v>
      </c>
      <c r="C1326" t="s">
        <v>7311</v>
      </c>
      <c r="D1326">
        <v>4.938691</v>
      </c>
    </row>
    <row r="1327" spans="1:4">
      <c r="A1327" t="s">
        <v>2944</v>
      </c>
      <c r="B1327" t="s">
        <v>357</v>
      </c>
      <c r="C1327" t="s">
        <v>7409</v>
      </c>
      <c r="D1327">
        <v>1.088775</v>
      </c>
    </row>
    <row r="1328" spans="1:4">
      <c r="A1328" t="s">
        <v>2945</v>
      </c>
      <c r="B1328" t="s">
        <v>357</v>
      </c>
      <c r="C1328" t="s">
        <v>7312</v>
      </c>
      <c r="D1328">
        <v>83.68626999999999</v>
      </c>
    </row>
    <row r="1329" spans="1:4">
      <c r="A1329" t="s">
        <v>2946</v>
      </c>
      <c r="B1329" t="s">
        <v>357</v>
      </c>
      <c r="C1329" t="s">
        <v>7410</v>
      </c>
      <c r="D1329">
        <v>0.049678</v>
      </c>
    </row>
    <row r="1330" spans="1:4">
      <c r="A1330" t="s">
        <v>2947</v>
      </c>
      <c r="B1330" t="s">
        <v>357</v>
      </c>
      <c r="C1330" t="s">
        <v>7411</v>
      </c>
      <c r="D1330">
        <v>83.391688</v>
      </c>
    </row>
    <row r="1331" spans="1:4">
      <c r="A1331" t="s">
        <v>2948</v>
      </c>
      <c r="B1331" t="s">
        <v>357</v>
      </c>
      <c r="C1331" t="s">
        <v>7313</v>
      </c>
      <c r="D1331">
        <v>67.41176299999999</v>
      </c>
    </row>
    <row r="1332" spans="1:4">
      <c r="A1332" t="s">
        <v>2949</v>
      </c>
      <c r="B1332" t="s">
        <v>357</v>
      </c>
      <c r="C1332" t="s">
        <v>7412</v>
      </c>
      <c r="D1332">
        <v>3.012958</v>
      </c>
    </row>
    <row r="1333" spans="1:4">
      <c r="A1333" t="s">
        <v>2950</v>
      </c>
      <c r="B1333" t="s">
        <v>357</v>
      </c>
      <c r="C1333" t="s">
        <v>7413</v>
      </c>
      <c r="D1333">
        <v>4.268128</v>
      </c>
    </row>
    <row r="1334" spans="1:4">
      <c r="A1334" t="s">
        <v>2951</v>
      </c>
      <c r="B1334" t="s">
        <v>357</v>
      </c>
      <c r="C1334" t="s">
        <v>7414</v>
      </c>
      <c r="D1334">
        <v>0.207641</v>
      </c>
    </row>
    <row r="1335" spans="1:4">
      <c r="A1335" t="s">
        <v>2952</v>
      </c>
      <c r="B1335" t="s">
        <v>357</v>
      </c>
      <c r="C1335" t="s">
        <v>7415</v>
      </c>
      <c r="D1335">
        <v>80.94552</v>
      </c>
    </row>
    <row r="1336" spans="1:4">
      <c r="A1336" t="s">
        <v>2953</v>
      </c>
      <c r="B1336" t="s">
        <v>357</v>
      </c>
      <c r="C1336" t="s">
        <v>7416</v>
      </c>
      <c r="D1336">
        <v>38.140212</v>
      </c>
    </row>
    <row r="1337" spans="1:4">
      <c r="A1337" t="s">
        <v>2954</v>
      </c>
      <c r="B1337" t="s">
        <v>357</v>
      </c>
      <c r="C1337" t="s">
        <v>7417</v>
      </c>
      <c r="D1337">
        <v>20.511397</v>
      </c>
    </row>
    <row r="1338" spans="1:4">
      <c r="A1338" t="s">
        <v>2955</v>
      </c>
      <c r="B1338" t="s">
        <v>357</v>
      </c>
      <c r="C1338" t="s">
        <v>7418</v>
      </c>
      <c r="D1338">
        <v>0.680283</v>
      </c>
    </row>
    <row r="1339" spans="1:4">
      <c r="A1339" t="s">
        <v>2956</v>
      </c>
      <c r="B1339" t="s">
        <v>357</v>
      </c>
      <c r="C1339" t="s">
        <v>7314</v>
      </c>
      <c r="D1339">
        <v>32.8452</v>
      </c>
    </row>
    <row r="1340" spans="1:4">
      <c r="A1340" t="s">
        <v>2957</v>
      </c>
      <c r="B1340" t="s">
        <v>357</v>
      </c>
      <c r="C1340" t="s">
        <v>7315</v>
      </c>
      <c r="D1340">
        <v>237.801187</v>
      </c>
    </row>
    <row r="1341" spans="1:4">
      <c r="A1341" t="s">
        <v>2958</v>
      </c>
      <c r="B1341" t="s">
        <v>357</v>
      </c>
      <c r="C1341" t="s">
        <v>7419</v>
      </c>
      <c r="D1341">
        <v>408.250758</v>
      </c>
    </row>
    <row r="1342" spans="1:4">
      <c r="A1342" t="s">
        <v>2959</v>
      </c>
      <c r="B1342" t="s">
        <v>357</v>
      </c>
      <c r="C1342" t="s">
        <v>7420</v>
      </c>
      <c r="D1342">
        <v>12.348725</v>
      </c>
    </row>
    <row r="1343" spans="1:4">
      <c r="A1343" t="s">
        <v>2960</v>
      </c>
      <c r="B1343" t="s">
        <v>357</v>
      </c>
      <c r="C1343" t="s">
        <v>7421</v>
      </c>
      <c r="D1343">
        <v>0.012349</v>
      </c>
    </row>
    <row r="1344" spans="1:4">
      <c r="A1344" t="s">
        <v>2961</v>
      </c>
      <c r="B1344" t="s">
        <v>357</v>
      </c>
      <c r="C1344" t="s">
        <v>7422</v>
      </c>
      <c r="D1344">
        <v>0.532525</v>
      </c>
    </row>
    <row r="1345" spans="1:4">
      <c r="A1345" t="s">
        <v>2962</v>
      </c>
      <c r="B1345" t="s">
        <v>357</v>
      </c>
      <c r="C1345" t="s">
        <v>7423</v>
      </c>
      <c r="D1345">
        <v>8.136621</v>
      </c>
    </row>
    <row r="1346" spans="1:4">
      <c r="A1346" t="s">
        <v>2963</v>
      </c>
      <c r="B1346" t="s">
        <v>357</v>
      </c>
      <c r="C1346" t="s">
        <v>7424</v>
      </c>
      <c r="D1346">
        <v>0.064636</v>
      </c>
    </row>
    <row r="1347" spans="1:4">
      <c r="A1347" t="s">
        <v>2964</v>
      </c>
      <c r="B1347" t="s">
        <v>357</v>
      </c>
      <c r="C1347" t="s">
        <v>7425</v>
      </c>
      <c r="D1347">
        <v>14.446228</v>
      </c>
    </row>
    <row r="1348" spans="1:4">
      <c r="A1348" t="s">
        <v>2965</v>
      </c>
      <c r="B1348" t="s">
        <v>357</v>
      </c>
      <c r="C1348" t="s">
        <v>7426</v>
      </c>
      <c r="D1348">
        <v>2.741562</v>
      </c>
    </row>
    <row r="1349" spans="1:4">
      <c r="A1349" t="s">
        <v>2966</v>
      </c>
      <c r="B1349" t="s">
        <v>357</v>
      </c>
      <c r="C1349" t="s">
        <v>7427</v>
      </c>
      <c r="D1349">
        <v>18.705372</v>
      </c>
    </row>
    <row r="1350" spans="1:4">
      <c r="A1350" t="s">
        <v>2967</v>
      </c>
      <c r="B1350" t="s">
        <v>357</v>
      </c>
      <c r="C1350" t="s">
        <v>7316</v>
      </c>
      <c r="D1350">
        <v>9.337142999999999</v>
      </c>
    </row>
    <row r="1351" spans="1:4">
      <c r="A1351" t="s">
        <v>2968</v>
      </c>
      <c r="B1351" t="s">
        <v>357</v>
      </c>
      <c r="C1351" t="s">
        <v>7428</v>
      </c>
      <c r="D1351">
        <v>32.913974</v>
      </c>
    </row>
    <row r="1352" spans="1:4">
      <c r="A1352" t="s">
        <v>2969</v>
      </c>
      <c r="B1352" t="s">
        <v>357</v>
      </c>
      <c r="C1352" t="s">
        <v>7429</v>
      </c>
      <c r="D1352">
        <v>86.85372700000001</v>
      </c>
    </row>
    <row r="1353" spans="1:4">
      <c r="A1353" t="s">
        <v>2970</v>
      </c>
      <c r="B1353" t="s">
        <v>357</v>
      </c>
      <c r="C1353" t="s">
        <v>7430</v>
      </c>
      <c r="D1353">
        <v>104.528508</v>
      </c>
    </row>
    <row r="1354" spans="1:4">
      <c r="A1354" t="s">
        <v>2971</v>
      </c>
      <c r="B1354" t="s">
        <v>357</v>
      </c>
      <c r="C1354" t="s">
        <v>7431</v>
      </c>
      <c r="D1354">
        <v>128.812179</v>
      </c>
    </row>
    <row r="1355" spans="1:4">
      <c r="A1355" t="s">
        <v>2972</v>
      </c>
      <c r="B1355" t="s">
        <v>357</v>
      </c>
      <c r="C1355" t="s">
        <v>7317</v>
      </c>
      <c r="D1355">
        <v>6.616181</v>
      </c>
    </row>
    <row r="1356" spans="1:4">
      <c r="A1356" t="s">
        <v>2973</v>
      </c>
      <c r="B1356" t="s">
        <v>357</v>
      </c>
      <c r="C1356" t="s">
        <v>7432</v>
      </c>
      <c r="D1356">
        <v>37.414087</v>
      </c>
    </row>
    <row r="1357" spans="1:4">
      <c r="A1357" t="s">
        <v>2974</v>
      </c>
      <c r="B1357" t="s">
        <v>357</v>
      </c>
      <c r="C1357" t="s">
        <v>7433</v>
      </c>
      <c r="D1357">
        <v>217.90685</v>
      </c>
    </row>
    <row r="1358" spans="1:4">
      <c r="A1358" t="s">
        <v>2975</v>
      </c>
      <c r="B1358" t="s">
        <v>357</v>
      </c>
      <c r="C1358" t="s">
        <v>7434</v>
      </c>
      <c r="D1358">
        <v>9.678925</v>
      </c>
    </row>
    <row r="1359" spans="1:4">
      <c r="A1359" t="s">
        <v>2976</v>
      </c>
      <c r="B1359" t="s">
        <v>357</v>
      </c>
      <c r="C1359" t="s">
        <v>7435</v>
      </c>
      <c r="D1359">
        <v>0.117219</v>
      </c>
    </row>
    <row r="1360" spans="1:4">
      <c r="A1360" t="s">
        <v>2977</v>
      </c>
      <c r="B1360" t="s">
        <v>357</v>
      </c>
      <c r="C1360" t="s">
        <v>7436</v>
      </c>
      <c r="D1360">
        <v>6.87118</v>
      </c>
    </row>
    <row r="1361" spans="1:4">
      <c r="A1361" t="s">
        <v>2978</v>
      </c>
      <c r="B1361" t="s">
        <v>357</v>
      </c>
      <c r="C1361" t="s">
        <v>7437</v>
      </c>
      <c r="D1361">
        <v>0.081486</v>
      </c>
    </row>
    <row r="1362" spans="1:4">
      <c r="A1362" t="s">
        <v>2979</v>
      </c>
      <c r="B1362" t="s">
        <v>357</v>
      </c>
      <c r="C1362" t="s">
        <v>399</v>
      </c>
      <c r="D1362">
        <v>303.545023</v>
      </c>
    </row>
    <row r="1363" spans="1:4">
      <c r="A1363" t="s">
        <v>2980</v>
      </c>
      <c r="B1363" t="s">
        <v>357</v>
      </c>
      <c r="C1363" t="s">
        <v>7438</v>
      </c>
      <c r="D1363">
        <v>7.613942</v>
      </c>
    </row>
    <row r="1364" spans="1:4">
      <c r="A1364" t="s">
        <v>2981</v>
      </c>
      <c r="B1364" t="s">
        <v>357</v>
      </c>
      <c r="C1364" t="s">
        <v>7439</v>
      </c>
      <c r="D1364">
        <v>0.025332</v>
      </c>
    </row>
    <row r="1365" spans="1:4">
      <c r="A1365" t="s">
        <v>2982</v>
      </c>
      <c r="B1365" t="s">
        <v>357</v>
      </c>
      <c r="C1365" t="s">
        <v>7440</v>
      </c>
      <c r="D1365">
        <v>0.548156</v>
      </c>
    </row>
    <row r="1366" spans="1:4">
      <c r="A1366" t="s">
        <v>2983</v>
      </c>
      <c r="B1366" t="s">
        <v>357</v>
      </c>
      <c r="C1366" t="s">
        <v>7441</v>
      </c>
      <c r="D1366">
        <v>0.011632</v>
      </c>
    </row>
    <row r="1367" spans="1:4">
      <c r="A1367" t="s">
        <v>2984</v>
      </c>
      <c r="B1367" t="s">
        <v>357</v>
      </c>
      <c r="C1367" t="s">
        <v>7442</v>
      </c>
      <c r="D1367">
        <v>2.580406</v>
      </c>
    </row>
    <row r="1368" spans="1:4">
      <c r="A1368" t="s">
        <v>2985</v>
      </c>
      <c r="B1368" t="s">
        <v>357</v>
      </c>
      <c r="C1368" t="s">
        <v>7443</v>
      </c>
      <c r="D1368">
        <v>113.369947</v>
      </c>
    </row>
    <row r="1369" spans="1:4">
      <c r="A1369" t="s">
        <v>2986</v>
      </c>
      <c r="B1369" t="s">
        <v>357</v>
      </c>
      <c r="C1369" t="s">
        <v>7444</v>
      </c>
      <c r="D1369">
        <v>0.539567</v>
      </c>
    </row>
    <row r="1370" spans="1:4">
      <c r="A1370" t="s">
        <v>2987</v>
      </c>
      <c r="B1370" t="s">
        <v>357</v>
      </c>
      <c r="C1370" t="s">
        <v>7445</v>
      </c>
      <c r="D1370">
        <v>112.424329</v>
      </c>
    </row>
    <row r="1371" spans="1:4">
      <c r="A1371" t="s">
        <v>2988</v>
      </c>
      <c r="B1371" t="s">
        <v>357</v>
      </c>
      <c r="C1371" t="s">
        <v>7446</v>
      </c>
      <c r="D1371">
        <v>169.578601</v>
      </c>
    </row>
    <row r="1372" spans="1:4">
      <c r="A1372" t="s">
        <v>2989</v>
      </c>
      <c r="B1372" t="s">
        <v>357</v>
      </c>
      <c r="C1372" t="s">
        <v>7447</v>
      </c>
      <c r="D1372">
        <v>416.012462</v>
      </c>
    </row>
    <row r="1373" spans="1:4">
      <c r="A1373" t="s">
        <v>2990</v>
      </c>
      <c r="B1373" t="s">
        <v>357</v>
      </c>
      <c r="C1373" t="s">
        <v>7448</v>
      </c>
      <c r="D1373">
        <v>0.539567</v>
      </c>
    </row>
    <row r="1374" spans="1:4">
      <c r="A1374" t="s">
        <v>2991</v>
      </c>
      <c r="B1374" t="s">
        <v>357</v>
      </c>
      <c r="C1374" t="s">
        <v>7449</v>
      </c>
      <c r="D1374">
        <v>2.965949</v>
      </c>
    </row>
    <row r="1375" spans="1:4">
      <c r="A1375" t="s">
        <v>2992</v>
      </c>
      <c r="B1375" t="s">
        <v>357</v>
      </c>
      <c r="C1375" t="s">
        <v>7450</v>
      </c>
      <c r="D1375">
        <v>1.276931</v>
      </c>
    </row>
    <row r="1376" spans="1:4">
      <c r="A1376" t="s">
        <v>2993</v>
      </c>
      <c r="B1376" t="s">
        <v>357</v>
      </c>
      <c r="C1376" t="s">
        <v>7318</v>
      </c>
      <c r="D1376">
        <v>18.713458</v>
      </c>
    </row>
    <row r="1377" spans="1:4">
      <c r="A1377" t="s">
        <v>2994</v>
      </c>
      <c r="B1377" t="s">
        <v>357</v>
      </c>
      <c r="C1377" t="s">
        <v>7451</v>
      </c>
      <c r="D1377">
        <v>16.535366</v>
      </c>
    </row>
    <row r="1378" spans="1:4">
      <c r="A1378" t="s">
        <v>2995</v>
      </c>
      <c r="B1378" t="s">
        <v>357</v>
      </c>
      <c r="C1378" t="s">
        <v>7452</v>
      </c>
      <c r="D1378">
        <v>11.294003</v>
      </c>
    </row>
    <row r="1379" spans="1:4">
      <c r="A1379" t="s">
        <v>2996</v>
      </c>
      <c r="B1379" t="s">
        <v>357</v>
      </c>
      <c r="C1379" t="s">
        <v>7453</v>
      </c>
      <c r="D1379">
        <v>11.294003</v>
      </c>
    </row>
    <row r="1380" spans="1:4">
      <c r="A1380" t="s">
        <v>2997</v>
      </c>
      <c r="B1380" t="s">
        <v>7289</v>
      </c>
      <c r="C1380" t="s">
        <v>397</v>
      </c>
      <c r="D1380">
        <v>354.030486</v>
      </c>
    </row>
    <row r="1381" spans="1:4">
      <c r="A1381" t="s">
        <v>2998</v>
      </c>
      <c r="B1381" t="s">
        <v>7289</v>
      </c>
      <c r="C1381" t="s">
        <v>7319</v>
      </c>
      <c r="D1381">
        <v>82.724129</v>
      </c>
    </row>
    <row r="1382" spans="1:4">
      <c r="A1382" t="s">
        <v>2999</v>
      </c>
      <c r="B1382" t="s">
        <v>7289</v>
      </c>
      <c r="C1382" t="s">
        <v>7320</v>
      </c>
      <c r="D1382">
        <v>4.828088</v>
      </c>
    </row>
    <row r="1383" spans="1:4">
      <c r="A1383" t="s">
        <v>3000</v>
      </c>
      <c r="B1383" t="s">
        <v>7289</v>
      </c>
      <c r="C1383" t="s">
        <v>7321</v>
      </c>
      <c r="D1383">
        <v>3.70629</v>
      </c>
    </row>
    <row r="1384" spans="1:4">
      <c r="A1384" t="s">
        <v>3001</v>
      </c>
      <c r="B1384" t="s">
        <v>7289</v>
      </c>
      <c r="C1384" t="s">
        <v>7322</v>
      </c>
      <c r="D1384">
        <v>0.825778</v>
      </c>
    </row>
    <row r="1385" spans="1:4">
      <c r="A1385" t="s">
        <v>3002</v>
      </c>
      <c r="B1385" t="s">
        <v>7289</v>
      </c>
      <c r="C1385" t="s">
        <v>7323</v>
      </c>
      <c r="D1385">
        <v>169.72309</v>
      </c>
    </row>
    <row r="1386" spans="1:4">
      <c r="A1386" t="s">
        <v>3003</v>
      </c>
      <c r="B1386" t="s">
        <v>7289</v>
      </c>
      <c r="C1386" t="s">
        <v>7324</v>
      </c>
      <c r="D1386">
        <v>0.319197</v>
      </c>
    </row>
    <row r="1387" spans="1:4">
      <c r="A1387" t="s">
        <v>3004</v>
      </c>
      <c r="B1387" t="s">
        <v>7289</v>
      </c>
      <c r="C1387" t="s">
        <v>7325</v>
      </c>
      <c r="D1387">
        <v>0.21542</v>
      </c>
    </row>
    <row r="1388" spans="1:4">
      <c r="A1388" t="s">
        <v>3005</v>
      </c>
      <c r="B1388" t="s">
        <v>7289</v>
      </c>
      <c r="C1388" t="s">
        <v>7292</v>
      </c>
      <c r="D1388">
        <v>218.09267</v>
      </c>
    </row>
    <row r="1389" spans="1:4">
      <c r="A1389" t="s">
        <v>3006</v>
      </c>
      <c r="B1389" t="s">
        <v>7289</v>
      </c>
      <c r="C1389" t="s">
        <v>7326</v>
      </c>
      <c r="D1389">
        <v>169.72309</v>
      </c>
    </row>
    <row r="1390" spans="1:4">
      <c r="A1390" t="s">
        <v>3007</v>
      </c>
      <c r="B1390" t="s">
        <v>7289</v>
      </c>
      <c r="C1390" t="s">
        <v>7327</v>
      </c>
      <c r="D1390">
        <v>178.787203</v>
      </c>
    </row>
    <row r="1391" spans="1:4">
      <c r="A1391" t="s">
        <v>3008</v>
      </c>
      <c r="B1391" t="s">
        <v>7289</v>
      </c>
      <c r="C1391" t="s">
        <v>7328</v>
      </c>
      <c r="D1391">
        <v>181.012913</v>
      </c>
    </row>
    <row r="1392" spans="1:4">
      <c r="A1392" t="s">
        <v>3009</v>
      </c>
      <c r="B1392" t="s">
        <v>7289</v>
      </c>
      <c r="C1392" t="s">
        <v>7329</v>
      </c>
      <c r="D1392">
        <v>151.902169</v>
      </c>
    </row>
    <row r="1393" spans="1:4">
      <c r="A1393" t="s">
        <v>3010</v>
      </c>
      <c r="B1393" t="s">
        <v>7289</v>
      </c>
      <c r="C1393" t="s">
        <v>7330</v>
      </c>
      <c r="D1393">
        <v>2.47633</v>
      </c>
    </row>
    <row r="1394" spans="1:4">
      <c r="A1394" t="s">
        <v>3011</v>
      </c>
      <c r="B1394" t="s">
        <v>7289</v>
      </c>
      <c r="C1394" t="s">
        <v>398</v>
      </c>
      <c r="D1394">
        <v>181.012913</v>
      </c>
    </row>
    <row r="1395" spans="1:4">
      <c r="A1395" t="s">
        <v>3012</v>
      </c>
      <c r="B1395" t="s">
        <v>7289</v>
      </c>
      <c r="C1395" t="s">
        <v>7331</v>
      </c>
      <c r="D1395">
        <v>807.9899349999999</v>
      </c>
    </row>
    <row r="1396" spans="1:4">
      <c r="A1396" t="s">
        <v>3013</v>
      </c>
      <c r="B1396" t="s">
        <v>7289</v>
      </c>
      <c r="C1396" t="s">
        <v>7332</v>
      </c>
      <c r="D1396">
        <v>0.101685</v>
      </c>
    </row>
    <row r="1397" spans="1:4">
      <c r="A1397" t="s">
        <v>3014</v>
      </c>
      <c r="B1397" t="s">
        <v>7289</v>
      </c>
      <c r="C1397" t="s">
        <v>7333</v>
      </c>
      <c r="D1397">
        <v>303.804338</v>
      </c>
    </row>
    <row r="1398" spans="1:4">
      <c r="A1398" t="s">
        <v>3015</v>
      </c>
      <c r="B1398" t="s">
        <v>7289</v>
      </c>
      <c r="C1398" t="s">
        <v>7334</v>
      </c>
      <c r="D1398">
        <v>237.88087</v>
      </c>
    </row>
    <row r="1399" spans="1:4">
      <c r="A1399" t="s">
        <v>3016</v>
      </c>
      <c r="B1399" t="s">
        <v>7289</v>
      </c>
      <c r="C1399" t="s">
        <v>7335</v>
      </c>
      <c r="D1399">
        <v>44.086151</v>
      </c>
    </row>
    <row r="1400" spans="1:4">
      <c r="A1400" t="s">
        <v>3017</v>
      </c>
      <c r="B1400" t="s">
        <v>7289</v>
      </c>
      <c r="C1400" t="s">
        <v>7293</v>
      </c>
      <c r="D1400">
        <v>60.292117</v>
      </c>
    </row>
    <row r="1401" spans="1:4">
      <c r="A1401" t="s">
        <v>3018</v>
      </c>
      <c r="B1401" t="s">
        <v>7289</v>
      </c>
      <c r="C1401" t="s">
        <v>7336</v>
      </c>
      <c r="D1401">
        <v>303.804338</v>
      </c>
    </row>
    <row r="1402" spans="1:4">
      <c r="A1402" t="s">
        <v>3019</v>
      </c>
      <c r="B1402" t="s">
        <v>7289</v>
      </c>
      <c r="C1402" t="s">
        <v>7337</v>
      </c>
      <c r="D1402">
        <v>3.199859</v>
      </c>
    </row>
    <row r="1403" spans="1:4">
      <c r="A1403" t="s">
        <v>3020</v>
      </c>
      <c r="B1403" t="s">
        <v>7289</v>
      </c>
      <c r="C1403" t="s">
        <v>7338</v>
      </c>
      <c r="D1403">
        <v>22.204704</v>
      </c>
    </row>
    <row r="1404" spans="1:4">
      <c r="A1404" t="s">
        <v>3021</v>
      </c>
      <c r="B1404" t="s">
        <v>7289</v>
      </c>
      <c r="C1404" t="s">
        <v>7339</v>
      </c>
      <c r="D1404">
        <v>110.768938</v>
      </c>
    </row>
    <row r="1405" spans="1:4">
      <c r="A1405" t="s">
        <v>3022</v>
      </c>
      <c r="B1405" t="s">
        <v>7289</v>
      </c>
      <c r="C1405" t="s">
        <v>7340</v>
      </c>
      <c r="D1405">
        <v>151.902169</v>
      </c>
    </row>
    <row r="1406" spans="1:4">
      <c r="A1406" t="s">
        <v>3023</v>
      </c>
      <c r="B1406" t="s">
        <v>7289</v>
      </c>
      <c r="C1406" t="s">
        <v>7294</v>
      </c>
      <c r="D1406">
        <v>220.235324</v>
      </c>
    </row>
    <row r="1407" spans="1:4">
      <c r="A1407" t="s">
        <v>3024</v>
      </c>
      <c r="B1407" t="s">
        <v>7289</v>
      </c>
      <c r="C1407" t="s">
        <v>7341</v>
      </c>
      <c r="D1407">
        <v>0.131928</v>
      </c>
    </row>
    <row r="1408" spans="1:4">
      <c r="A1408" t="s">
        <v>3025</v>
      </c>
      <c r="B1408" t="s">
        <v>7289</v>
      </c>
      <c r="C1408" t="s">
        <v>7295</v>
      </c>
      <c r="D1408">
        <v>388.608907</v>
      </c>
    </row>
    <row r="1409" spans="1:4">
      <c r="A1409" t="s">
        <v>3026</v>
      </c>
      <c r="B1409" t="s">
        <v>7289</v>
      </c>
      <c r="C1409" t="s">
        <v>7342</v>
      </c>
      <c r="D1409">
        <v>13476.607766</v>
      </c>
    </row>
    <row r="1410" spans="1:4">
      <c r="A1410" t="s">
        <v>3027</v>
      </c>
      <c r="B1410" t="s">
        <v>7289</v>
      </c>
      <c r="C1410" t="s">
        <v>7343</v>
      </c>
      <c r="D1410">
        <v>0.340958</v>
      </c>
    </row>
    <row r="1411" spans="1:4">
      <c r="A1411" t="s">
        <v>3028</v>
      </c>
      <c r="B1411" t="s">
        <v>7289</v>
      </c>
      <c r="C1411" t="s">
        <v>7344</v>
      </c>
      <c r="D1411">
        <v>44.916161</v>
      </c>
    </row>
    <row r="1412" spans="1:4">
      <c r="A1412" t="s">
        <v>3029</v>
      </c>
      <c r="B1412" t="s">
        <v>7289</v>
      </c>
      <c r="C1412" t="s">
        <v>7296</v>
      </c>
      <c r="D1412">
        <v>44.871</v>
      </c>
    </row>
    <row r="1413" spans="1:4">
      <c r="A1413" t="s">
        <v>3030</v>
      </c>
      <c r="B1413" t="s">
        <v>7289</v>
      </c>
      <c r="C1413" t="s">
        <v>7345</v>
      </c>
      <c r="D1413">
        <v>0.08333599999999999</v>
      </c>
    </row>
    <row r="1414" spans="1:4">
      <c r="A1414" t="s">
        <v>3031</v>
      </c>
      <c r="B1414" t="s">
        <v>7289</v>
      </c>
      <c r="C1414" t="s">
        <v>7346</v>
      </c>
      <c r="D1414">
        <v>0.6719309999999999</v>
      </c>
    </row>
    <row r="1415" spans="1:4">
      <c r="A1415" t="s">
        <v>3032</v>
      </c>
      <c r="B1415" t="s">
        <v>7289</v>
      </c>
      <c r="C1415" t="s">
        <v>7347</v>
      </c>
      <c r="D1415">
        <v>12.658516</v>
      </c>
    </row>
    <row r="1416" spans="1:4">
      <c r="A1416" t="s">
        <v>3033</v>
      </c>
      <c r="B1416" t="s">
        <v>7289</v>
      </c>
      <c r="C1416" t="s">
        <v>7348</v>
      </c>
      <c r="D1416">
        <v>3.210724</v>
      </c>
    </row>
    <row r="1417" spans="1:4">
      <c r="A1417" t="s">
        <v>3034</v>
      </c>
      <c r="B1417" t="s">
        <v>7289</v>
      </c>
      <c r="C1417" t="s">
        <v>7297</v>
      </c>
      <c r="D1417">
        <v>14.580219</v>
      </c>
    </row>
    <row r="1418" spans="1:4">
      <c r="A1418" t="s">
        <v>3035</v>
      </c>
      <c r="B1418" t="s">
        <v>7289</v>
      </c>
      <c r="C1418" t="s">
        <v>7349</v>
      </c>
      <c r="D1418">
        <v>1.709446</v>
      </c>
    </row>
    <row r="1419" spans="1:4">
      <c r="A1419" t="s">
        <v>3036</v>
      </c>
      <c r="B1419" t="s">
        <v>7289</v>
      </c>
      <c r="C1419" t="s">
        <v>7298</v>
      </c>
      <c r="D1419">
        <v>47.45161</v>
      </c>
    </row>
    <row r="1420" spans="1:4">
      <c r="A1420" t="s">
        <v>3037</v>
      </c>
      <c r="B1420" t="s">
        <v>7289</v>
      </c>
      <c r="C1420" t="s">
        <v>7350</v>
      </c>
      <c r="D1420">
        <v>5.156634</v>
      </c>
    </row>
    <row r="1421" spans="1:4">
      <c r="A1421" t="s">
        <v>3038</v>
      </c>
      <c r="B1421" t="s">
        <v>7289</v>
      </c>
      <c r="C1421" t="s">
        <v>7351</v>
      </c>
      <c r="D1421">
        <v>2.284906</v>
      </c>
    </row>
    <row r="1422" spans="1:4">
      <c r="A1422" t="s">
        <v>3039</v>
      </c>
      <c r="B1422" t="s">
        <v>7289</v>
      </c>
      <c r="C1422" t="s">
        <v>7352</v>
      </c>
      <c r="D1422">
        <v>5.818318</v>
      </c>
    </row>
    <row r="1423" spans="1:4">
      <c r="A1423" t="s">
        <v>3040</v>
      </c>
      <c r="B1423" t="s">
        <v>7289</v>
      </c>
      <c r="C1423" t="s">
        <v>7353</v>
      </c>
      <c r="D1423">
        <v>20.253625</v>
      </c>
    </row>
    <row r="1424" spans="1:4">
      <c r="A1424" t="s">
        <v>3041</v>
      </c>
      <c r="B1424" t="s">
        <v>7289</v>
      </c>
      <c r="C1424" t="s">
        <v>7354</v>
      </c>
      <c r="D1424">
        <v>1.888597</v>
      </c>
    </row>
    <row r="1425" spans="1:4">
      <c r="A1425" t="s">
        <v>3042</v>
      </c>
      <c r="B1425" t="s">
        <v>7289</v>
      </c>
      <c r="C1425" t="s">
        <v>7355</v>
      </c>
      <c r="D1425">
        <v>137.58155</v>
      </c>
    </row>
    <row r="1426" spans="1:4">
      <c r="A1426" t="s">
        <v>3043</v>
      </c>
      <c r="B1426" t="s">
        <v>7289</v>
      </c>
      <c r="C1426" t="s">
        <v>7356</v>
      </c>
      <c r="D1426">
        <v>408.613012</v>
      </c>
    </row>
    <row r="1427" spans="1:4">
      <c r="A1427" t="s">
        <v>3044</v>
      </c>
      <c r="B1427" t="s">
        <v>7289</v>
      </c>
      <c r="C1427" t="s">
        <v>7357</v>
      </c>
      <c r="D1427">
        <v>47.451617</v>
      </c>
    </row>
    <row r="1428" spans="1:4">
      <c r="A1428" t="s">
        <v>3045</v>
      </c>
      <c r="B1428" t="s">
        <v>7289</v>
      </c>
      <c r="C1428" t="s">
        <v>7299</v>
      </c>
      <c r="D1428">
        <v>408.612541</v>
      </c>
    </row>
    <row r="1429" spans="1:4">
      <c r="A1429" t="s">
        <v>3046</v>
      </c>
      <c r="B1429" t="s">
        <v>7289</v>
      </c>
      <c r="C1429" t="s">
        <v>7358</v>
      </c>
      <c r="D1429">
        <v>113.999507</v>
      </c>
    </row>
    <row r="1430" spans="1:4">
      <c r="A1430" t="s">
        <v>3047</v>
      </c>
      <c r="B1430" t="s">
        <v>7289</v>
      </c>
      <c r="C1430" t="s">
        <v>7359</v>
      </c>
      <c r="D1430">
        <v>408.613012</v>
      </c>
    </row>
    <row r="1431" spans="1:4">
      <c r="A1431" t="s">
        <v>3048</v>
      </c>
      <c r="B1431" t="s">
        <v>7289</v>
      </c>
      <c r="C1431" t="s">
        <v>7360</v>
      </c>
      <c r="D1431">
        <v>25.866768</v>
      </c>
    </row>
    <row r="1432" spans="1:4">
      <c r="A1432" t="s">
        <v>3049</v>
      </c>
      <c r="B1432" t="s">
        <v>7289</v>
      </c>
      <c r="C1432" t="s">
        <v>7361</v>
      </c>
      <c r="D1432">
        <v>408.613012</v>
      </c>
    </row>
    <row r="1433" spans="1:4">
      <c r="A1433" t="s">
        <v>3050</v>
      </c>
      <c r="B1433" t="s">
        <v>7289</v>
      </c>
      <c r="C1433" t="s">
        <v>7362</v>
      </c>
      <c r="D1433">
        <v>4.095756</v>
      </c>
    </row>
    <row r="1434" spans="1:4">
      <c r="A1434" t="s">
        <v>3051</v>
      </c>
      <c r="B1434" t="s">
        <v>7289</v>
      </c>
      <c r="C1434" t="s">
        <v>7363</v>
      </c>
      <c r="D1434">
        <v>0.034669</v>
      </c>
    </row>
    <row r="1435" spans="1:4">
      <c r="A1435" t="s">
        <v>3052</v>
      </c>
      <c r="B1435" t="s">
        <v>7289</v>
      </c>
      <c r="C1435" t="s">
        <v>7364</v>
      </c>
      <c r="D1435">
        <v>39.890781</v>
      </c>
    </row>
    <row r="1436" spans="1:4">
      <c r="A1436" t="s">
        <v>3053</v>
      </c>
      <c r="B1436" t="s">
        <v>7289</v>
      </c>
      <c r="C1436" t="s">
        <v>7365</v>
      </c>
      <c r="D1436">
        <v>1.454185</v>
      </c>
    </row>
    <row r="1437" spans="1:4">
      <c r="A1437" t="s">
        <v>3054</v>
      </c>
      <c r="B1437" t="s">
        <v>7289</v>
      </c>
      <c r="C1437" t="s">
        <v>7300</v>
      </c>
      <c r="D1437">
        <v>38.770363</v>
      </c>
    </row>
    <row r="1438" spans="1:4">
      <c r="A1438" t="s">
        <v>3055</v>
      </c>
      <c r="B1438" t="s">
        <v>7289</v>
      </c>
      <c r="C1438" t="s">
        <v>7366</v>
      </c>
      <c r="D1438">
        <v>11.441212</v>
      </c>
    </row>
    <row r="1439" spans="1:4">
      <c r="A1439" t="s">
        <v>3056</v>
      </c>
      <c r="B1439" t="s">
        <v>7289</v>
      </c>
      <c r="C1439" t="s">
        <v>7367</v>
      </c>
      <c r="D1439">
        <v>46.98792</v>
      </c>
    </row>
    <row r="1440" spans="1:4">
      <c r="A1440" t="s">
        <v>3057</v>
      </c>
      <c r="B1440" t="s">
        <v>7289</v>
      </c>
      <c r="C1440" t="s">
        <v>7368</v>
      </c>
      <c r="D1440">
        <v>2.323125</v>
      </c>
    </row>
    <row r="1441" spans="1:4">
      <c r="A1441" t="s">
        <v>3058</v>
      </c>
      <c r="B1441" t="s">
        <v>7289</v>
      </c>
      <c r="C1441" t="s">
        <v>7301</v>
      </c>
      <c r="D1441">
        <v>0.017021</v>
      </c>
    </row>
    <row r="1442" spans="1:4">
      <c r="A1442" t="s">
        <v>3059</v>
      </c>
      <c r="B1442" t="s">
        <v>7289</v>
      </c>
      <c r="C1442" t="s">
        <v>7302</v>
      </c>
      <c r="D1442">
        <v>108.129405</v>
      </c>
    </row>
    <row r="1443" spans="1:4">
      <c r="A1443" t="s">
        <v>3060</v>
      </c>
      <c r="B1443" t="s">
        <v>7289</v>
      </c>
      <c r="C1443" t="s">
        <v>7369</v>
      </c>
      <c r="D1443">
        <v>408.613012</v>
      </c>
    </row>
    <row r="1444" spans="1:4">
      <c r="A1444" t="s">
        <v>3061</v>
      </c>
      <c r="B1444" t="s">
        <v>7289</v>
      </c>
      <c r="C1444" t="s">
        <v>7303</v>
      </c>
      <c r="D1444">
        <v>3.199855</v>
      </c>
    </row>
    <row r="1445" spans="1:4">
      <c r="A1445" t="s">
        <v>3062</v>
      </c>
      <c r="B1445" t="s">
        <v>7289</v>
      </c>
      <c r="C1445" t="s">
        <v>7370</v>
      </c>
      <c r="D1445">
        <v>0.232114</v>
      </c>
    </row>
    <row r="1446" spans="1:4">
      <c r="A1446" t="s">
        <v>3063</v>
      </c>
      <c r="B1446" t="s">
        <v>7289</v>
      </c>
      <c r="C1446" t="s">
        <v>7371</v>
      </c>
      <c r="D1446">
        <v>0.000227</v>
      </c>
    </row>
    <row r="1447" spans="1:4">
      <c r="A1447" t="s">
        <v>3064</v>
      </c>
      <c r="B1447" t="s">
        <v>7289</v>
      </c>
      <c r="C1447" t="s">
        <v>7304</v>
      </c>
      <c r="D1447">
        <v>2.470274</v>
      </c>
    </row>
    <row r="1448" spans="1:4">
      <c r="A1448" t="s">
        <v>3065</v>
      </c>
      <c r="B1448" t="s">
        <v>7289</v>
      </c>
      <c r="C1448" t="s">
        <v>7372</v>
      </c>
      <c r="D1448">
        <v>408.613012</v>
      </c>
    </row>
    <row r="1449" spans="1:4">
      <c r="A1449" t="s">
        <v>3066</v>
      </c>
      <c r="B1449" t="s">
        <v>7289</v>
      </c>
      <c r="C1449" t="s">
        <v>7373</v>
      </c>
      <c r="D1449">
        <v>1.93366</v>
      </c>
    </row>
    <row r="1450" spans="1:4">
      <c r="A1450" t="s">
        <v>3067</v>
      </c>
      <c r="B1450" t="s">
        <v>7289</v>
      </c>
      <c r="C1450" t="s">
        <v>7374</v>
      </c>
      <c r="D1450">
        <v>428.496803</v>
      </c>
    </row>
    <row r="1451" spans="1:4">
      <c r="A1451" t="s">
        <v>3068</v>
      </c>
      <c r="B1451" t="s">
        <v>7289</v>
      </c>
      <c r="C1451" t="s">
        <v>7305</v>
      </c>
      <c r="D1451">
        <v>1.906672</v>
      </c>
    </row>
    <row r="1452" spans="1:4">
      <c r="A1452" t="s">
        <v>3069</v>
      </c>
      <c r="B1452" t="s">
        <v>7289</v>
      </c>
      <c r="C1452" t="s">
        <v>7375</v>
      </c>
      <c r="D1452">
        <v>2.34763</v>
      </c>
    </row>
    <row r="1453" spans="1:4">
      <c r="A1453" t="s">
        <v>3070</v>
      </c>
      <c r="B1453" t="s">
        <v>7289</v>
      </c>
      <c r="C1453" t="s">
        <v>7376</v>
      </c>
      <c r="D1453">
        <v>3.475062</v>
      </c>
    </row>
    <row r="1454" spans="1:4">
      <c r="A1454" t="s">
        <v>3071</v>
      </c>
      <c r="B1454" t="s">
        <v>7289</v>
      </c>
      <c r="C1454" t="s">
        <v>7377</v>
      </c>
      <c r="D1454">
        <v>0.075387</v>
      </c>
    </row>
    <row r="1455" spans="1:4">
      <c r="A1455" t="s">
        <v>3072</v>
      </c>
      <c r="B1455" t="s">
        <v>7289</v>
      </c>
      <c r="C1455" t="s">
        <v>7378</v>
      </c>
      <c r="D1455">
        <v>218.092939</v>
      </c>
    </row>
    <row r="1456" spans="1:4">
      <c r="A1456" t="s">
        <v>3073</v>
      </c>
      <c r="B1456" t="s">
        <v>7289</v>
      </c>
      <c r="C1456" t="s">
        <v>7379</v>
      </c>
      <c r="D1456">
        <v>0.719621</v>
      </c>
    </row>
    <row r="1457" spans="1:4">
      <c r="A1457" t="s">
        <v>3074</v>
      </c>
      <c r="B1457" t="s">
        <v>7289</v>
      </c>
      <c r="C1457" t="s">
        <v>7306</v>
      </c>
      <c r="D1457">
        <v>0.20162</v>
      </c>
    </row>
    <row r="1458" spans="1:4">
      <c r="A1458" t="s">
        <v>3075</v>
      </c>
      <c r="B1458" t="s">
        <v>7289</v>
      </c>
      <c r="C1458" t="s">
        <v>7380</v>
      </c>
      <c r="D1458">
        <v>982.822863</v>
      </c>
    </row>
    <row r="1459" spans="1:4">
      <c r="A1459" t="s">
        <v>3076</v>
      </c>
      <c r="B1459" t="s">
        <v>7289</v>
      </c>
      <c r="C1459" t="s">
        <v>7381</v>
      </c>
      <c r="D1459">
        <v>364.56533</v>
      </c>
    </row>
    <row r="1460" spans="1:4">
      <c r="A1460" t="s">
        <v>3077</v>
      </c>
      <c r="B1460" t="s">
        <v>7289</v>
      </c>
      <c r="C1460" t="s">
        <v>7382</v>
      </c>
      <c r="D1460">
        <v>0.624538</v>
      </c>
    </row>
    <row r="1461" spans="1:4">
      <c r="A1461" t="s">
        <v>3078</v>
      </c>
      <c r="B1461" t="s">
        <v>7289</v>
      </c>
      <c r="C1461" t="s">
        <v>7383</v>
      </c>
      <c r="D1461">
        <v>0.013931</v>
      </c>
    </row>
    <row r="1462" spans="1:4">
      <c r="A1462" t="s">
        <v>3079</v>
      </c>
      <c r="B1462" t="s">
        <v>7289</v>
      </c>
      <c r="C1462" t="s">
        <v>7384</v>
      </c>
      <c r="D1462">
        <v>0.003394</v>
      </c>
    </row>
    <row r="1463" spans="1:4">
      <c r="A1463" t="s">
        <v>3080</v>
      </c>
      <c r="B1463" t="s">
        <v>7289</v>
      </c>
      <c r="C1463" t="s">
        <v>7385</v>
      </c>
      <c r="D1463">
        <v>0.922963</v>
      </c>
    </row>
    <row r="1464" spans="1:4">
      <c r="A1464" t="s">
        <v>3081</v>
      </c>
      <c r="B1464" t="s">
        <v>7289</v>
      </c>
      <c r="C1464" t="s">
        <v>7386</v>
      </c>
      <c r="D1464">
        <v>1.671919</v>
      </c>
    </row>
    <row r="1465" spans="1:4">
      <c r="A1465" t="s">
        <v>3082</v>
      </c>
      <c r="B1465" t="s">
        <v>7289</v>
      </c>
      <c r="C1465" t="s">
        <v>7387</v>
      </c>
      <c r="D1465">
        <v>18.696744</v>
      </c>
    </row>
    <row r="1466" spans="1:4">
      <c r="A1466" t="s">
        <v>3083</v>
      </c>
      <c r="B1466" t="s">
        <v>7289</v>
      </c>
      <c r="C1466" t="s">
        <v>7388</v>
      </c>
      <c r="D1466">
        <v>47.738127</v>
      </c>
    </row>
    <row r="1467" spans="1:4">
      <c r="A1467" t="s">
        <v>3084</v>
      </c>
      <c r="B1467" t="s">
        <v>7289</v>
      </c>
      <c r="C1467" t="s">
        <v>7389</v>
      </c>
      <c r="D1467">
        <v>33.07583</v>
      </c>
    </row>
    <row r="1468" spans="1:4">
      <c r="A1468" t="s">
        <v>3085</v>
      </c>
      <c r="B1468" t="s">
        <v>7289</v>
      </c>
      <c r="C1468" t="s">
        <v>7390</v>
      </c>
      <c r="D1468">
        <v>17.573631</v>
      </c>
    </row>
    <row r="1469" spans="1:4">
      <c r="A1469" t="s">
        <v>3086</v>
      </c>
      <c r="B1469" t="s">
        <v>7289</v>
      </c>
      <c r="C1469" t="s">
        <v>7391</v>
      </c>
      <c r="D1469">
        <v>0.072972</v>
      </c>
    </row>
    <row r="1470" spans="1:4">
      <c r="A1470" t="s">
        <v>3087</v>
      </c>
      <c r="B1470" t="s">
        <v>7289</v>
      </c>
      <c r="C1470" t="s">
        <v>7392</v>
      </c>
      <c r="D1470">
        <v>5.738398</v>
      </c>
    </row>
    <row r="1471" spans="1:4">
      <c r="A1471" t="s">
        <v>3088</v>
      </c>
      <c r="B1471" t="s">
        <v>7289</v>
      </c>
      <c r="C1471" t="s">
        <v>7393</v>
      </c>
      <c r="D1471">
        <v>0.144756</v>
      </c>
    </row>
    <row r="1472" spans="1:4">
      <c r="A1472" t="s">
        <v>3089</v>
      </c>
      <c r="B1472" t="s">
        <v>7289</v>
      </c>
      <c r="C1472" t="s">
        <v>7394</v>
      </c>
      <c r="D1472">
        <v>0.084637</v>
      </c>
    </row>
    <row r="1473" spans="1:4">
      <c r="A1473" t="s">
        <v>3090</v>
      </c>
      <c r="B1473" t="s">
        <v>7289</v>
      </c>
      <c r="C1473" t="s">
        <v>7395</v>
      </c>
      <c r="D1473">
        <v>37.641134</v>
      </c>
    </row>
    <row r="1474" spans="1:4">
      <c r="A1474" t="s">
        <v>3091</v>
      </c>
      <c r="B1474" t="s">
        <v>7289</v>
      </c>
      <c r="C1474" t="s">
        <v>7396</v>
      </c>
      <c r="D1474">
        <v>7.607191</v>
      </c>
    </row>
    <row r="1475" spans="1:4">
      <c r="A1475" t="s">
        <v>3092</v>
      </c>
      <c r="B1475" t="s">
        <v>7289</v>
      </c>
      <c r="C1475" t="s">
        <v>7397</v>
      </c>
      <c r="D1475">
        <v>6.420322</v>
      </c>
    </row>
    <row r="1476" spans="1:4">
      <c r="A1476" t="s">
        <v>3093</v>
      </c>
      <c r="B1476" t="s">
        <v>7289</v>
      </c>
      <c r="C1476" t="s">
        <v>7398</v>
      </c>
      <c r="D1476">
        <v>19.677821</v>
      </c>
    </row>
    <row r="1477" spans="1:4">
      <c r="A1477" t="s">
        <v>3094</v>
      </c>
      <c r="B1477" t="s">
        <v>7289</v>
      </c>
      <c r="C1477" t="s">
        <v>7399</v>
      </c>
      <c r="D1477">
        <v>0.173644</v>
      </c>
    </row>
    <row r="1478" spans="1:4">
      <c r="A1478" t="s">
        <v>3095</v>
      </c>
      <c r="B1478" t="s">
        <v>7289</v>
      </c>
      <c r="C1478" t="s">
        <v>7307</v>
      </c>
      <c r="D1478">
        <v>17.510172</v>
      </c>
    </row>
    <row r="1479" spans="1:4">
      <c r="A1479" t="s">
        <v>3096</v>
      </c>
      <c r="B1479" t="s">
        <v>7289</v>
      </c>
      <c r="C1479" t="s">
        <v>7308</v>
      </c>
      <c r="D1479">
        <v>76.62951099999999</v>
      </c>
    </row>
    <row r="1480" spans="1:4">
      <c r="A1480" t="s">
        <v>3097</v>
      </c>
      <c r="B1480" t="s">
        <v>7289</v>
      </c>
      <c r="C1480" t="s">
        <v>7400</v>
      </c>
      <c r="D1480">
        <v>4.754219</v>
      </c>
    </row>
    <row r="1481" spans="1:4">
      <c r="A1481" t="s">
        <v>3098</v>
      </c>
      <c r="B1481" t="s">
        <v>7289</v>
      </c>
      <c r="C1481" t="s">
        <v>7401</v>
      </c>
      <c r="D1481">
        <v>18.696744</v>
      </c>
    </row>
    <row r="1482" spans="1:4">
      <c r="A1482" t="s">
        <v>3099</v>
      </c>
      <c r="B1482" t="s">
        <v>7289</v>
      </c>
      <c r="C1482" t="s">
        <v>7402</v>
      </c>
      <c r="D1482">
        <v>0.222346</v>
      </c>
    </row>
    <row r="1483" spans="1:4">
      <c r="A1483" t="s">
        <v>3100</v>
      </c>
      <c r="B1483" t="s">
        <v>7289</v>
      </c>
      <c r="C1483" t="s">
        <v>7403</v>
      </c>
      <c r="D1483">
        <v>8.273058000000001</v>
      </c>
    </row>
    <row r="1484" spans="1:4">
      <c r="A1484" t="s">
        <v>3101</v>
      </c>
      <c r="B1484" t="s">
        <v>7289</v>
      </c>
      <c r="C1484" t="s">
        <v>7309</v>
      </c>
      <c r="D1484">
        <v>32.852959</v>
      </c>
    </row>
    <row r="1485" spans="1:4">
      <c r="A1485" t="s">
        <v>3102</v>
      </c>
      <c r="B1485" t="s">
        <v>7289</v>
      </c>
      <c r="C1485" t="s">
        <v>7404</v>
      </c>
      <c r="D1485">
        <v>1.999912</v>
      </c>
    </row>
    <row r="1486" spans="1:4">
      <c r="A1486" t="s">
        <v>3103</v>
      </c>
      <c r="B1486" t="s">
        <v>7289</v>
      </c>
      <c r="C1486" t="s">
        <v>7310</v>
      </c>
      <c r="D1486">
        <v>181.681272</v>
      </c>
    </row>
    <row r="1487" spans="1:4">
      <c r="A1487" t="s">
        <v>3104</v>
      </c>
      <c r="B1487" t="s">
        <v>7289</v>
      </c>
      <c r="C1487" t="s">
        <v>7405</v>
      </c>
      <c r="D1487">
        <v>790.133744</v>
      </c>
    </row>
    <row r="1488" spans="1:4">
      <c r="A1488" t="s">
        <v>3105</v>
      </c>
      <c r="B1488" t="s">
        <v>7289</v>
      </c>
      <c r="C1488" t="s">
        <v>7406</v>
      </c>
      <c r="D1488">
        <v>303.804338</v>
      </c>
    </row>
    <row r="1489" spans="1:4">
      <c r="A1489" t="s">
        <v>3106</v>
      </c>
      <c r="B1489" t="s">
        <v>7289</v>
      </c>
      <c r="C1489" t="s">
        <v>7407</v>
      </c>
      <c r="D1489">
        <v>89.347691</v>
      </c>
    </row>
    <row r="1490" spans="1:4">
      <c r="A1490" t="s">
        <v>3107</v>
      </c>
      <c r="B1490" t="s">
        <v>7289</v>
      </c>
      <c r="C1490" t="s">
        <v>7408</v>
      </c>
      <c r="D1490">
        <v>69.869497</v>
      </c>
    </row>
    <row r="1491" spans="1:4">
      <c r="A1491" t="s">
        <v>3108</v>
      </c>
      <c r="B1491" t="s">
        <v>7289</v>
      </c>
      <c r="C1491" t="s">
        <v>7311</v>
      </c>
      <c r="D1491">
        <v>4.939899</v>
      </c>
    </row>
    <row r="1492" spans="1:4">
      <c r="A1492" t="s">
        <v>3109</v>
      </c>
      <c r="B1492" t="s">
        <v>7289</v>
      </c>
      <c r="C1492" t="s">
        <v>7409</v>
      </c>
      <c r="D1492">
        <v>1.091345</v>
      </c>
    </row>
    <row r="1493" spans="1:4">
      <c r="A1493" t="s">
        <v>3110</v>
      </c>
      <c r="B1493" t="s">
        <v>7289</v>
      </c>
      <c r="C1493" t="s">
        <v>7312</v>
      </c>
      <c r="D1493">
        <v>83.681124</v>
      </c>
    </row>
    <row r="1494" spans="1:4">
      <c r="A1494" t="s">
        <v>3111</v>
      </c>
      <c r="B1494" t="s">
        <v>7289</v>
      </c>
      <c r="C1494" t="s">
        <v>7410</v>
      </c>
      <c r="D1494">
        <v>0.049499</v>
      </c>
    </row>
    <row r="1495" spans="1:4">
      <c r="A1495" t="s">
        <v>3112</v>
      </c>
      <c r="B1495" t="s">
        <v>7289</v>
      </c>
      <c r="C1495" t="s">
        <v>7411</v>
      </c>
      <c r="D1495">
        <v>83.462737</v>
      </c>
    </row>
    <row r="1496" spans="1:4">
      <c r="A1496" t="s">
        <v>3113</v>
      </c>
      <c r="B1496" t="s">
        <v>7289</v>
      </c>
      <c r="C1496" t="s">
        <v>7313</v>
      </c>
      <c r="D1496">
        <v>67.418994</v>
      </c>
    </row>
    <row r="1497" spans="1:4">
      <c r="A1497" t="s">
        <v>3114</v>
      </c>
      <c r="B1497" t="s">
        <v>7289</v>
      </c>
      <c r="C1497" t="s">
        <v>7412</v>
      </c>
      <c r="D1497">
        <v>3.01324</v>
      </c>
    </row>
    <row r="1498" spans="1:4">
      <c r="A1498" t="s">
        <v>3115</v>
      </c>
      <c r="B1498" t="s">
        <v>7289</v>
      </c>
      <c r="C1498" t="s">
        <v>7413</v>
      </c>
      <c r="D1498">
        <v>4.274691</v>
      </c>
    </row>
    <row r="1499" spans="1:4">
      <c r="A1499" t="s">
        <v>3116</v>
      </c>
      <c r="B1499" t="s">
        <v>7289</v>
      </c>
      <c r="C1499" t="s">
        <v>7414</v>
      </c>
      <c r="D1499">
        <v>0.207787</v>
      </c>
    </row>
    <row r="1500" spans="1:4">
      <c r="A1500" t="s">
        <v>3117</v>
      </c>
      <c r="B1500" t="s">
        <v>7289</v>
      </c>
      <c r="C1500" t="s">
        <v>7415</v>
      </c>
      <c r="D1500">
        <v>81.014509</v>
      </c>
    </row>
    <row r="1501" spans="1:4">
      <c r="A1501" t="s">
        <v>3118</v>
      </c>
      <c r="B1501" t="s">
        <v>7289</v>
      </c>
      <c r="C1501" t="s">
        <v>7416</v>
      </c>
      <c r="D1501">
        <v>38.371619</v>
      </c>
    </row>
    <row r="1502" spans="1:4">
      <c r="A1502" t="s">
        <v>3119</v>
      </c>
      <c r="B1502" t="s">
        <v>7289</v>
      </c>
      <c r="C1502" t="s">
        <v>7417</v>
      </c>
      <c r="D1502">
        <v>21.320531</v>
      </c>
    </row>
    <row r="1503" spans="1:4">
      <c r="A1503" t="s">
        <v>3120</v>
      </c>
      <c r="B1503" t="s">
        <v>7289</v>
      </c>
      <c r="C1503" t="s">
        <v>7418</v>
      </c>
      <c r="D1503">
        <v>0.680471</v>
      </c>
    </row>
    <row r="1504" spans="1:4">
      <c r="A1504" t="s">
        <v>3121</v>
      </c>
      <c r="B1504" t="s">
        <v>7289</v>
      </c>
      <c r="C1504" t="s">
        <v>7314</v>
      </c>
      <c r="D1504">
        <v>32.865348</v>
      </c>
    </row>
    <row r="1505" spans="1:4">
      <c r="A1505" t="s">
        <v>3122</v>
      </c>
      <c r="B1505" t="s">
        <v>7289</v>
      </c>
      <c r="C1505" t="s">
        <v>7315</v>
      </c>
      <c r="D1505">
        <v>237.88071</v>
      </c>
    </row>
    <row r="1506" spans="1:4">
      <c r="A1506" t="s">
        <v>3123</v>
      </c>
      <c r="B1506" t="s">
        <v>7289</v>
      </c>
      <c r="C1506" t="s">
        <v>7419</v>
      </c>
      <c r="D1506">
        <v>408.613012</v>
      </c>
    </row>
    <row r="1507" spans="1:4">
      <c r="A1507" t="s">
        <v>3124</v>
      </c>
      <c r="B1507" t="s">
        <v>7289</v>
      </c>
      <c r="C1507" t="s">
        <v>7420</v>
      </c>
      <c r="D1507">
        <v>12.35927</v>
      </c>
    </row>
    <row r="1508" spans="1:4">
      <c r="A1508" t="s">
        <v>3125</v>
      </c>
      <c r="B1508" t="s">
        <v>7289</v>
      </c>
      <c r="C1508" t="s">
        <v>7421</v>
      </c>
      <c r="D1508">
        <v>0.012359</v>
      </c>
    </row>
    <row r="1509" spans="1:4">
      <c r="A1509" t="s">
        <v>3126</v>
      </c>
      <c r="B1509" t="s">
        <v>7289</v>
      </c>
      <c r="C1509" t="s">
        <v>7422</v>
      </c>
      <c r="D1509">
        <v>0.532672</v>
      </c>
    </row>
    <row r="1510" spans="1:4">
      <c r="A1510" t="s">
        <v>3127</v>
      </c>
      <c r="B1510" t="s">
        <v>7289</v>
      </c>
      <c r="C1510" t="s">
        <v>7423</v>
      </c>
      <c r="D1510">
        <v>8.138871</v>
      </c>
    </row>
    <row r="1511" spans="1:4">
      <c r="A1511" t="s">
        <v>3128</v>
      </c>
      <c r="B1511" t="s">
        <v>7289</v>
      </c>
      <c r="C1511" t="s">
        <v>7424</v>
      </c>
      <c r="D1511">
        <v>0.064654</v>
      </c>
    </row>
    <row r="1512" spans="1:4">
      <c r="A1512" t="s">
        <v>3129</v>
      </c>
      <c r="B1512" t="s">
        <v>7289</v>
      </c>
      <c r="C1512" t="s">
        <v>7425</v>
      </c>
      <c r="D1512">
        <v>14.450224</v>
      </c>
    </row>
    <row r="1513" spans="1:4">
      <c r="A1513" t="s">
        <v>3130</v>
      </c>
      <c r="B1513" t="s">
        <v>7289</v>
      </c>
      <c r="C1513" t="s">
        <v>7426</v>
      </c>
      <c r="D1513">
        <v>2.749447</v>
      </c>
    </row>
    <row r="1514" spans="1:4">
      <c r="A1514" t="s">
        <v>3131</v>
      </c>
      <c r="B1514" t="s">
        <v>7289</v>
      </c>
      <c r="C1514" t="s">
        <v>7427</v>
      </c>
      <c r="D1514">
        <v>18.696744</v>
      </c>
    </row>
    <row r="1515" spans="1:4">
      <c r="A1515" t="s">
        <v>3132</v>
      </c>
      <c r="B1515" t="s">
        <v>7289</v>
      </c>
      <c r="C1515" t="s">
        <v>7316</v>
      </c>
      <c r="D1515">
        <v>9.333698</v>
      </c>
    </row>
    <row r="1516" spans="1:4">
      <c r="A1516" t="s">
        <v>3133</v>
      </c>
      <c r="B1516" t="s">
        <v>7289</v>
      </c>
      <c r="C1516" t="s">
        <v>7428</v>
      </c>
      <c r="D1516">
        <v>32.923167</v>
      </c>
    </row>
    <row r="1517" spans="1:4">
      <c r="A1517" t="s">
        <v>3134</v>
      </c>
      <c r="B1517" t="s">
        <v>7289</v>
      </c>
      <c r="C1517" t="s">
        <v>7429</v>
      </c>
      <c r="D1517">
        <v>86.802814</v>
      </c>
    </row>
    <row r="1518" spans="1:4">
      <c r="A1518" t="s">
        <v>3135</v>
      </c>
      <c r="B1518" t="s">
        <v>7289</v>
      </c>
      <c r="C1518" t="s">
        <v>7430</v>
      </c>
      <c r="D1518">
        <v>104.623204</v>
      </c>
    </row>
    <row r="1519" spans="1:4">
      <c r="A1519" t="s">
        <v>3136</v>
      </c>
      <c r="B1519" t="s">
        <v>7289</v>
      </c>
      <c r="C1519" t="s">
        <v>7431</v>
      </c>
      <c r="D1519">
        <v>127.491584</v>
      </c>
    </row>
    <row r="1520" spans="1:4">
      <c r="A1520" t="s">
        <v>3137</v>
      </c>
      <c r="B1520" t="s">
        <v>7289</v>
      </c>
      <c r="C1520" t="s">
        <v>7317</v>
      </c>
      <c r="D1520">
        <v>6.619555</v>
      </c>
    </row>
    <row r="1521" spans="1:4">
      <c r="A1521" t="s">
        <v>3138</v>
      </c>
      <c r="B1521" t="s">
        <v>7289</v>
      </c>
      <c r="C1521" t="s">
        <v>7432</v>
      </c>
      <c r="D1521">
        <v>43.85175</v>
      </c>
    </row>
    <row r="1522" spans="1:4">
      <c r="A1522" t="s">
        <v>3139</v>
      </c>
      <c r="B1522" t="s">
        <v>7289</v>
      </c>
      <c r="C1522" t="s">
        <v>7433</v>
      </c>
      <c r="D1522">
        <v>218.092939</v>
      </c>
    </row>
    <row r="1523" spans="1:4">
      <c r="A1523" t="s">
        <v>3140</v>
      </c>
      <c r="B1523" t="s">
        <v>7289</v>
      </c>
      <c r="C1523" t="s">
        <v>7434</v>
      </c>
      <c r="D1523">
        <v>9.67858</v>
      </c>
    </row>
    <row r="1524" spans="1:4">
      <c r="A1524" t="s">
        <v>3141</v>
      </c>
      <c r="B1524" t="s">
        <v>7289</v>
      </c>
      <c r="C1524" t="s">
        <v>7435</v>
      </c>
      <c r="D1524">
        <v>0.117448</v>
      </c>
    </row>
    <row r="1525" spans="1:4">
      <c r="A1525" t="s">
        <v>3142</v>
      </c>
      <c r="B1525" t="s">
        <v>7289</v>
      </c>
      <c r="C1525" t="s">
        <v>7436</v>
      </c>
      <c r="D1525">
        <v>6.867062</v>
      </c>
    </row>
    <row r="1526" spans="1:4">
      <c r="A1526" t="s">
        <v>3143</v>
      </c>
      <c r="B1526" t="s">
        <v>7289</v>
      </c>
      <c r="C1526" t="s">
        <v>7437</v>
      </c>
      <c r="D1526">
        <v>0.081597</v>
      </c>
    </row>
    <row r="1527" spans="1:4">
      <c r="A1527" t="s">
        <v>3144</v>
      </c>
      <c r="B1527" t="s">
        <v>7289</v>
      </c>
      <c r="C1527" t="s">
        <v>399</v>
      </c>
      <c r="D1527">
        <v>303.804338</v>
      </c>
    </row>
    <row r="1528" spans="1:4">
      <c r="A1528" t="s">
        <v>3145</v>
      </c>
      <c r="B1528" t="s">
        <v>7289</v>
      </c>
      <c r="C1528" t="s">
        <v>7438</v>
      </c>
      <c r="D1528">
        <v>7.613311</v>
      </c>
    </row>
    <row r="1529" spans="1:4">
      <c r="A1529" t="s">
        <v>3146</v>
      </c>
      <c r="B1529" t="s">
        <v>7289</v>
      </c>
      <c r="C1529" t="s">
        <v>7439</v>
      </c>
      <c r="D1529">
        <v>0.025337</v>
      </c>
    </row>
    <row r="1530" spans="1:4">
      <c r="A1530" t="s">
        <v>3147</v>
      </c>
      <c r="B1530" t="s">
        <v>7289</v>
      </c>
      <c r="C1530" t="s">
        <v>7440</v>
      </c>
      <c r="D1530">
        <v>0.548307</v>
      </c>
    </row>
    <row r="1531" spans="1:4">
      <c r="A1531" t="s">
        <v>3148</v>
      </c>
      <c r="B1531" t="s">
        <v>7289</v>
      </c>
      <c r="C1531" t="s">
        <v>7441</v>
      </c>
      <c r="D1531">
        <v>0.011618</v>
      </c>
    </row>
    <row r="1532" spans="1:4">
      <c r="A1532" t="s">
        <v>3149</v>
      </c>
      <c r="B1532" t="s">
        <v>7289</v>
      </c>
      <c r="C1532" t="s">
        <v>7442</v>
      </c>
      <c r="D1532">
        <v>2.578758</v>
      </c>
    </row>
    <row r="1533" spans="1:4">
      <c r="A1533" t="s">
        <v>3150</v>
      </c>
      <c r="B1533" t="s">
        <v>7289</v>
      </c>
      <c r="C1533" t="s">
        <v>7443</v>
      </c>
      <c r="D1533">
        <v>113.177085</v>
      </c>
    </row>
    <row r="1534" spans="1:4">
      <c r="A1534" t="s">
        <v>3151</v>
      </c>
      <c r="B1534" t="s">
        <v>7289</v>
      </c>
      <c r="C1534" t="s">
        <v>7444</v>
      </c>
      <c r="D1534">
        <v>0.539716</v>
      </c>
    </row>
    <row r="1535" spans="1:4">
      <c r="A1535" t="s">
        <v>3152</v>
      </c>
      <c r="B1535" t="s">
        <v>7289</v>
      </c>
      <c r="C1535" t="s">
        <v>7445</v>
      </c>
      <c r="D1535">
        <v>112.520154</v>
      </c>
    </row>
    <row r="1536" spans="1:4">
      <c r="A1536" t="s">
        <v>3153</v>
      </c>
      <c r="B1536" t="s">
        <v>7289</v>
      </c>
      <c r="C1536" t="s">
        <v>7446</v>
      </c>
      <c r="D1536">
        <v>169.72309</v>
      </c>
    </row>
    <row r="1537" spans="1:4">
      <c r="A1537" t="s">
        <v>3154</v>
      </c>
      <c r="B1537" t="s">
        <v>7289</v>
      </c>
      <c r="C1537" t="s">
        <v>7447</v>
      </c>
      <c r="D1537">
        <v>416.175961</v>
      </c>
    </row>
    <row r="1538" spans="1:4">
      <c r="A1538" t="s">
        <v>3155</v>
      </c>
      <c r="B1538" t="s">
        <v>7289</v>
      </c>
      <c r="C1538" t="s">
        <v>7448</v>
      </c>
      <c r="D1538">
        <v>0.539716</v>
      </c>
    </row>
    <row r="1539" spans="1:4">
      <c r="A1539" t="s">
        <v>3156</v>
      </c>
      <c r="B1539" t="s">
        <v>7289</v>
      </c>
      <c r="C1539" t="s">
        <v>7449</v>
      </c>
      <c r="D1539">
        <v>2.966769</v>
      </c>
    </row>
    <row r="1540" spans="1:4">
      <c r="A1540" t="s">
        <v>3157</v>
      </c>
      <c r="B1540" t="s">
        <v>7289</v>
      </c>
      <c r="C1540" t="s">
        <v>7450</v>
      </c>
      <c r="D1540">
        <v>1.273652</v>
      </c>
    </row>
    <row r="1541" spans="1:4">
      <c r="A1541" t="s">
        <v>3158</v>
      </c>
      <c r="B1541" t="s">
        <v>7289</v>
      </c>
      <c r="C1541" t="s">
        <v>7318</v>
      </c>
      <c r="D1541">
        <v>18.696712</v>
      </c>
    </row>
    <row r="1542" spans="1:4">
      <c r="A1542" t="s">
        <v>3159</v>
      </c>
      <c r="B1542" t="s">
        <v>7289</v>
      </c>
      <c r="C1542" t="s">
        <v>7451</v>
      </c>
      <c r="D1542">
        <v>16.542455</v>
      </c>
    </row>
    <row r="1543" spans="1:4">
      <c r="A1543" t="s">
        <v>3160</v>
      </c>
      <c r="B1543" t="s">
        <v>7289</v>
      </c>
      <c r="C1543" t="s">
        <v>7452</v>
      </c>
      <c r="D1543">
        <v>11.297127</v>
      </c>
    </row>
    <row r="1544" spans="1:4">
      <c r="A1544" t="s">
        <v>3161</v>
      </c>
      <c r="B1544" t="s">
        <v>7289</v>
      </c>
      <c r="C1544" t="s">
        <v>7453</v>
      </c>
      <c r="D1544">
        <v>11.297127</v>
      </c>
    </row>
    <row r="1545" spans="1:4">
      <c r="A1545" t="s">
        <v>3162</v>
      </c>
      <c r="B1545" t="s">
        <v>358</v>
      </c>
      <c r="C1545" t="s">
        <v>397</v>
      </c>
      <c r="D1545">
        <v>355.022637</v>
      </c>
    </row>
    <row r="1546" spans="1:4">
      <c r="A1546" t="s">
        <v>3163</v>
      </c>
      <c r="B1546" t="s">
        <v>358</v>
      </c>
      <c r="C1546" t="s">
        <v>7319</v>
      </c>
      <c r="D1546">
        <v>83.120777</v>
      </c>
    </row>
    <row r="1547" spans="1:4">
      <c r="A1547" t="s">
        <v>3164</v>
      </c>
      <c r="B1547" t="s">
        <v>358</v>
      </c>
      <c r="C1547" t="s">
        <v>7320</v>
      </c>
      <c r="D1547">
        <v>4.84341</v>
      </c>
    </row>
    <row r="1548" spans="1:4">
      <c r="A1548" t="s">
        <v>3165</v>
      </c>
      <c r="B1548" t="s">
        <v>358</v>
      </c>
      <c r="C1548" t="s">
        <v>7321</v>
      </c>
      <c r="D1548">
        <v>3.720544</v>
      </c>
    </row>
    <row r="1549" spans="1:4">
      <c r="A1549" t="s">
        <v>3166</v>
      </c>
      <c r="B1549" t="s">
        <v>358</v>
      </c>
      <c r="C1549" t="s">
        <v>7322</v>
      </c>
      <c r="D1549">
        <v>0.827543</v>
      </c>
    </row>
    <row r="1550" spans="1:4">
      <c r="A1550" t="s">
        <v>3167</v>
      </c>
      <c r="B1550" t="s">
        <v>358</v>
      </c>
      <c r="C1550" t="s">
        <v>7323</v>
      </c>
      <c r="D1550">
        <v>170.536954</v>
      </c>
    </row>
    <row r="1551" spans="1:4">
      <c r="A1551" t="s">
        <v>3168</v>
      </c>
      <c r="B1551" t="s">
        <v>358</v>
      </c>
      <c r="C1551" t="s">
        <v>7324</v>
      </c>
      <c r="D1551">
        <v>0.323293</v>
      </c>
    </row>
    <row r="1552" spans="1:4">
      <c r="A1552" t="s">
        <v>3169</v>
      </c>
      <c r="B1552" t="s">
        <v>358</v>
      </c>
      <c r="C1552" t="s">
        <v>7325</v>
      </c>
      <c r="D1552">
        <v>0.213921</v>
      </c>
    </row>
    <row r="1553" spans="1:4">
      <c r="A1553" t="s">
        <v>3170</v>
      </c>
      <c r="B1553" t="s">
        <v>358</v>
      </c>
      <c r="C1553" t="s">
        <v>7292</v>
      </c>
      <c r="D1553">
        <v>218.964197</v>
      </c>
    </row>
    <row r="1554" spans="1:4">
      <c r="A1554" t="s">
        <v>3171</v>
      </c>
      <c r="B1554" t="s">
        <v>358</v>
      </c>
      <c r="C1554" t="s">
        <v>7326</v>
      </c>
      <c r="D1554">
        <v>170.536954</v>
      </c>
    </row>
    <row r="1555" spans="1:4">
      <c r="A1555" t="s">
        <v>3172</v>
      </c>
      <c r="B1555" t="s">
        <v>358</v>
      </c>
      <c r="C1555" t="s">
        <v>7327</v>
      </c>
      <c r="D1555">
        <v>179.419172</v>
      </c>
    </row>
    <row r="1556" spans="1:4">
      <c r="A1556" t="s">
        <v>3173</v>
      </c>
      <c r="B1556" t="s">
        <v>358</v>
      </c>
      <c r="C1556" t="s">
        <v>7328</v>
      </c>
      <c r="D1556">
        <v>181.520192</v>
      </c>
    </row>
    <row r="1557" spans="1:4">
      <c r="A1557" t="s">
        <v>3174</v>
      </c>
      <c r="B1557" t="s">
        <v>358</v>
      </c>
      <c r="C1557" t="s">
        <v>7329</v>
      </c>
      <c r="D1557">
        <v>152.630554</v>
      </c>
    </row>
    <row r="1558" spans="1:4">
      <c r="A1558" t="s">
        <v>3175</v>
      </c>
      <c r="B1558" t="s">
        <v>358</v>
      </c>
      <c r="C1558" t="s">
        <v>7330</v>
      </c>
      <c r="D1558">
        <v>2.484646</v>
      </c>
    </row>
    <row r="1559" spans="1:4">
      <c r="A1559" t="s">
        <v>3176</v>
      </c>
      <c r="B1559" t="s">
        <v>358</v>
      </c>
      <c r="C1559" t="s">
        <v>398</v>
      </c>
      <c r="D1559">
        <v>181.520192</v>
      </c>
    </row>
    <row r="1560" spans="1:4">
      <c r="A1560" t="s">
        <v>3177</v>
      </c>
      <c r="B1560" t="s">
        <v>358</v>
      </c>
      <c r="C1560" t="s">
        <v>7331</v>
      </c>
      <c r="D1560">
        <v>811.8644410000001</v>
      </c>
    </row>
    <row r="1561" spans="1:4">
      <c r="A1561" t="s">
        <v>3178</v>
      </c>
      <c r="B1561" t="s">
        <v>358</v>
      </c>
      <c r="C1561" t="s">
        <v>7332</v>
      </c>
      <c r="D1561">
        <v>0.102198</v>
      </c>
    </row>
    <row r="1562" spans="1:4">
      <c r="A1562" t="s">
        <v>3179</v>
      </c>
      <c r="B1562" t="s">
        <v>358</v>
      </c>
      <c r="C1562" t="s">
        <v>7333</v>
      </c>
      <c r="D1562">
        <v>305.261108</v>
      </c>
    </row>
    <row r="1563" spans="1:4">
      <c r="A1563" t="s">
        <v>3180</v>
      </c>
      <c r="B1563" t="s">
        <v>358</v>
      </c>
      <c r="C1563" t="s">
        <v>7334</v>
      </c>
      <c r="D1563">
        <v>238.53133</v>
      </c>
    </row>
    <row r="1564" spans="1:4">
      <c r="A1564" t="s">
        <v>3181</v>
      </c>
      <c r="B1564" t="s">
        <v>358</v>
      </c>
      <c r="C1564" t="s">
        <v>7335</v>
      </c>
      <c r="D1564">
        <v>44.085033</v>
      </c>
    </row>
    <row r="1565" spans="1:4">
      <c r="A1565" t="s">
        <v>3182</v>
      </c>
      <c r="B1565" t="s">
        <v>358</v>
      </c>
      <c r="C1565" t="s">
        <v>7293</v>
      </c>
      <c r="D1565">
        <v>60.798106</v>
      </c>
    </row>
    <row r="1566" spans="1:4">
      <c r="A1566" t="s">
        <v>3183</v>
      </c>
      <c r="B1566" t="s">
        <v>358</v>
      </c>
      <c r="C1566" t="s">
        <v>7336</v>
      </c>
      <c r="D1566">
        <v>305.261108</v>
      </c>
    </row>
    <row r="1567" spans="1:4">
      <c r="A1567" t="s">
        <v>3184</v>
      </c>
      <c r="B1567" t="s">
        <v>358</v>
      </c>
      <c r="C1567" t="s">
        <v>7337</v>
      </c>
      <c r="D1567">
        <v>3.204466</v>
      </c>
    </row>
    <row r="1568" spans="1:4">
      <c r="A1568" t="s">
        <v>3185</v>
      </c>
      <c r="B1568" t="s">
        <v>358</v>
      </c>
      <c r="C1568" t="s">
        <v>7338</v>
      </c>
      <c r="D1568">
        <v>21.755894</v>
      </c>
    </row>
    <row r="1569" spans="1:4">
      <c r="A1569" t="s">
        <v>3186</v>
      </c>
      <c r="B1569" t="s">
        <v>358</v>
      </c>
      <c r="C1569" t="s">
        <v>7339</v>
      </c>
      <c r="D1569">
        <v>110.548018</v>
      </c>
    </row>
    <row r="1570" spans="1:4">
      <c r="A1570" t="s">
        <v>3187</v>
      </c>
      <c r="B1570" t="s">
        <v>358</v>
      </c>
      <c r="C1570" t="s">
        <v>7340</v>
      </c>
      <c r="D1570">
        <v>152.630554</v>
      </c>
    </row>
    <row r="1571" spans="1:4">
      <c r="A1571" t="s">
        <v>3188</v>
      </c>
      <c r="B1571" t="s">
        <v>358</v>
      </c>
      <c r="C1571" t="s">
        <v>7294</v>
      </c>
      <c r="D1571">
        <v>220.566987</v>
      </c>
    </row>
    <row r="1572" spans="1:4">
      <c r="A1572" t="s">
        <v>3189</v>
      </c>
      <c r="B1572" t="s">
        <v>358</v>
      </c>
      <c r="C1572" t="s">
        <v>7341</v>
      </c>
      <c r="D1572">
        <v>0.13326</v>
      </c>
    </row>
    <row r="1573" spans="1:4">
      <c r="A1573" t="s">
        <v>3190</v>
      </c>
      <c r="B1573" t="s">
        <v>358</v>
      </c>
      <c r="C1573" t="s">
        <v>7295</v>
      </c>
      <c r="D1573">
        <v>387.678757</v>
      </c>
    </row>
    <row r="1574" spans="1:4">
      <c r="A1574" t="s">
        <v>3191</v>
      </c>
      <c r="B1574" t="s">
        <v>358</v>
      </c>
      <c r="C1574" t="s">
        <v>7342</v>
      </c>
      <c r="D1574">
        <v>13503.580579</v>
      </c>
    </row>
    <row r="1575" spans="1:4">
      <c r="A1575" t="s">
        <v>3192</v>
      </c>
      <c r="B1575" t="s">
        <v>358</v>
      </c>
      <c r="C1575" t="s">
        <v>7343</v>
      </c>
      <c r="D1575">
        <v>0.341635</v>
      </c>
    </row>
    <row r="1576" spans="1:4">
      <c r="A1576" t="s">
        <v>3193</v>
      </c>
      <c r="B1576" t="s">
        <v>358</v>
      </c>
      <c r="C1576" t="s">
        <v>7344</v>
      </c>
      <c r="D1576">
        <v>45.123386</v>
      </c>
    </row>
    <row r="1577" spans="1:4">
      <c r="A1577" t="s">
        <v>3194</v>
      </c>
      <c r="B1577" t="s">
        <v>358</v>
      </c>
      <c r="C1577" t="s">
        <v>7296</v>
      </c>
      <c r="D1577">
        <v>45.054783</v>
      </c>
    </row>
    <row r="1578" spans="1:4">
      <c r="A1578" t="s">
        <v>3195</v>
      </c>
      <c r="B1578" t="s">
        <v>358</v>
      </c>
      <c r="C1578" t="s">
        <v>7345</v>
      </c>
      <c r="D1578">
        <v>0.08556</v>
      </c>
    </row>
    <row r="1579" spans="1:4">
      <c r="A1579" t="s">
        <v>3196</v>
      </c>
      <c r="B1579" t="s">
        <v>358</v>
      </c>
      <c r="C1579" t="s">
        <v>7346</v>
      </c>
      <c r="D1579">
        <v>0.669862</v>
      </c>
    </row>
    <row r="1580" spans="1:4">
      <c r="A1580" t="s">
        <v>3197</v>
      </c>
      <c r="B1580" t="s">
        <v>358</v>
      </c>
      <c r="C1580" t="s">
        <v>7347</v>
      </c>
      <c r="D1580">
        <v>12.719211</v>
      </c>
    </row>
    <row r="1581" spans="1:4">
      <c r="A1581" t="s">
        <v>3198</v>
      </c>
      <c r="B1581" t="s">
        <v>358</v>
      </c>
      <c r="C1581" t="s">
        <v>7348</v>
      </c>
      <c r="D1581">
        <v>3.219722</v>
      </c>
    </row>
    <row r="1582" spans="1:4">
      <c r="A1582" t="s">
        <v>3199</v>
      </c>
      <c r="B1582" t="s">
        <v>358</v>
      </c>
      <c r="C1582" t="s">
        <v>7297</v>
      </c>
      <c r="D1582">
        <v>14.644338</v>
      </c>
    </row>
    <row r="1583" spans="1:4">
      <c r="A1583" t="s">
        <v>3200</v>
      </c>
      <c r="B1583" t="s">
        <v>358</v>
      </c>
      <c r="C1583" t="s">
        <v>7349</v>
      </c>
      <c r="D1583">
        <v>1.717642</v>
      </c>
    </row>
    <row r="1584" spans="1:4">
      <c r="A1584" t="s">
        <v>3201</v>
      </c>
      <c r="B1584" t="s">
        <v>358</v>
      </c>
      <c r="C1584" t="s">
        <v>7298</v>
      </c>
      <c r="D1584">
        <v>47.568237</v>
      </c>
    </row>
    <row r="1585" spans="1:4">
      <c r="A1585" t="s">
        <v>3202</v>
      </c>
      <c r="B1585" t="s">
        <v>358</v>
      </c>
      <c r="C1585" t="s">
        <v>7350</v>
      </c>
      <c r="D1585">
        <v>5.222001</v>
      </c>
    </row>
    <row r="1586" spans="1:4">
      <c r="A1586" t="s">
        <v>3203</v>
      </c>
      <c r="B1586" t="s">
        <v>358</v>
      </c>
      <c r="C1586" t="s">
        <v>7351</v>
      </c>
      <c r="D1586">
        <v>2.293756</v>
      </c>
    </row>
    <row r="1587" spans="1:4">
      <c r="A1587" t="s">
        <v>3204</v>
      </c>
      <c r="B1587" t="s">
        <v>358</v>
      </c>
      <c r="C1587" t="s">
        <v>7352</v>
      </c>
      <c r="D1587">
        <v>5.879563</v>
      </c>
    </row>
    <row r="1588" spans="1:4">
      <c r="A1588" t="s">
        <v>3205</v>
      </c>
      <c r="B1588" t="s">
        <v>358</v>
      </c>
      <c r="C1588" t="s">
        <v>7353</v>
      </c>
      <c r="D1588">
        <v>20.350738</v>
      </c>
    </row>
    <row r="1589" spans="1:4">
      <c r="A1589" t="s">
        <v>3206</v>
      </c>
      <c r="B1589" t="s">
        <v>358</v>
      </c>
      <c r="C1589" t="s">
        <v>7354</v>
      </c>
      <c r="D1589">
        <v>1.921009</v>
      </c>
    </row>
    <row r="1590" spans="1:4">
      <c r="A1590" t="s">
        <v>3207</v>
      </c>
      <c r="B1590" t="s">
        <v>358</v>
      </c>
      <c r="C1590" t="s">
        <v>7355</v>
      </c>
      <c r="D1590">
        <v>139.234665</v>
      </c>
    </row>
    <row r="1591" spans="1:4">
      <c r="A1591" t="s">
        <v>3208</v>
      </c>
      <c r="B1591" t="s">
        <v>358</v>
      </c>
      <c r="C1591" t="s">
        <v>7356</v>
      </c>
      <c r="D1591">
        <v>410.931989</v>
      </c>
    </row>
    <row r="1592" spans="1:4">
      <c r="A1592" t="s">
        <v>3209</v>
      </c>
      <c r="B1592" t="s">
        <v>358</v>
      </c>
      <c r="C1592" t="s">
        <v>7357</v>
      </c>
      <c r="D1592">
        <v>47.56825</v>
      </c>
    </row>
    <row r="1593" spans="1:4">
      <c r="A1593" t="s">
        <v>3210</v>
      </c>
      <c r="B1593" t="s">
        <v>358</v>
      </c>
      <c r="C1593" t="s">
        <v>7299</v>
      </c>
      <c r="D1593">
        <v>410.931989</v>
      </c>
    </row>
    <row r="1594" spans="1:4">
      <c r="A1594" t="s">
        <v>3211</v>
      </c>
      <c r="B1594" t="s">
        <v>358</v>
      </c>
      <c r="C1594" t="s">
        <v>7358</v>
      </c>
      <c r="D1594">
        <v>114.509764</v>
      </c>
    </row>
    <row r="1595" spans="1:4">
      <c r="A1595" t="s">
        <v>3212</v>
      </c>
      <c r="B1595" t="s">
        <v>358</v>
      </c>
      <c r="C1595" t="s">
        <v>7359</v>
      </c>
      <c r="D1595">
        <v>410.931989</v>
      </c>
    </row>
    <row r="1596" spans="1:4">
      <c r="A1596" t="s">
        <v>3213</v>
      </c>
      <c r="B1596" t="s">
        <v>358</v>
      </c>
      <c r="C1596" t="s">
        <v>7360</v>
      </c>
      <c r="D1596">
        <v>25.883152</v>
      </c>
    </row>
    <row r="1597" spans="1:4">
      <c r="A1597" t="s">
        <v>3214</v>
      </c>
      <c r="B1597" t="s">
        <v>358</v>
      </c>
      <c r="C1597" t="s">
        <v>7361</v>
      </c>
      <c r="D1597">
        <v>410.931989</v>
      </c>
    </row>
    <row r="1598" spans="1:4">
      <c r="A1598" t="s">
        <v>3215</v>
      </c>
      <c r="B1598" t="s">
        <v>358</v>
      </c>
      <c r="C1598" t="s">
        <v>7362</v>
      </c>
      <c r="D1598">
        <v>4.110578</v>
      </c>
    </row>
    <row r="1599" spans="1:4">
      <c r="A1599" t="s">
        <v>3216</v>
      </c>
      <c r="B1599" t="s">
        <v>358</v>
      </c>
      <c r="C1599" t="s">
        <v>7363</v>
      </c>
      <c r="D1599">
        <v>0.034794</v>
      </c>
    </row>
    <row r="1600" spans="1:4">
      <c r="A1600" t="s">
        <v>3217</v>
      </c>
      <c r="B1600" t="s">
        <v>358</v>
      </c>
      <c r="C1600" t="s">
        <v>7364</v>
      </c>
      <c r="D1600">
        <v>39.995538</v>
      </c>
    </row>
    <row r="1601" spans="1:4">
      <c r="A1601" t="s">
        <v>3218</v>
      </c>
      <c r="B1601" t="s">
        <v>358</v>
      </c>
      <c r="C1601" t="s">
        <v>7365</v>
      </c>
      <c r="D1601">
        <v>1.458903</v>
      </c>
    </row>
    <row r="1602" spans="1:4">
      <c r="A1602" t="s">
        <v>3219</v>
      </c>
      <c r="B1602" t="s">
        <v>358</v>
      </c>
      <c r="C1602" t="s">
        <v>7300</v>
      </c>
      <c r="D1602">
        <v>38.938155</v>
      </c>
    </row>
    <row r="1603" spans="1:4">
      <c r="A1603" t="s">
        <v>3220</v>
      </c>
      <c r="B1603" t="s">
        <v>358</v>
      </c>
      <c r="C1603" t="s">
        <v>7366</v>
      </c>
      <c r="D1603">
        <v>11.463374</v>
      </c>
    </row>
    <row r="1604" spans="1:4">
      <c r="A1604" t="s">
        <v>3221</v>
      </c>
      <c r="B1604" t="s">
        <v>358</v>
      </c>
      <c r="C1604" t="s">
        <v>7367</v>
      </c>
      <c r="D1604">
        <v>47.119601</v>
      </c>
    </row>
    <row r="1605" spans="1:4">
      <c r="A1605" t="s">
        <v>3222</v>
      </c>
      <c r="B1605" t="s">
        <v>358</v>
      </c>
      <c r="C1605" t="s">
        <v>7368</v>
      </c>
      <c r="D1605">
        <v>2.331063</v>
      </c>
    </row>
    <row r="1606" spans="1:4">
      <c r="A1606" t="s">
        <v>3223</v>
      </c>
      <c r="B1606" t="s">
        <v>358</v>
      </c>
      <c r="C1606" t="s">
        <v>7301</v>
      </c>
      <c r="D1606">
        <v>0.017136</v>
      </c>
    </row>
    <row r="1607" spans="1:4">
      <c r="A1607" t="s">
        <v>3224</v>
      </c>
      <c r="B1607" t="s">
        <v>358</v>
      </c>
      <c r="C1607" t="s">
        <v>7302</v>
      </c>
      <c r="D1607">
        <v>107.434748</v>
      </c>
    </row>
    <row r="1608" spans="1:4">
      <c r="A1608" t="s">
        <v>3225</v>
      </c>
      <c r="B1608" t="s">
        <v>358</v>
      </c>
      <c r="C1608" t="s">
        <v>7369</v>
      </c>
      <c r="D1608">
        <v>410.931989</v>
      </c>
    </row>
    <row r="1609" spans="1:4">
      <c r="A1609" t="s">
        <v>3226</v>
      </c>
      <c r="B1609" t="s">
        <v>358</v>
      </c>
      <c r="C1609" t="s">
        <v>7303</v>
      </c>
      <c r="D1609">
        <v>3.204456</v>
      </c>
    </row>
    <row r="1610" spans="1:4">
      <c r="A1610" t="s">
        <v>3227</v>
      </c>
      <c r="B1610" t="s">
        <v>358</v>
      </c>
      <c r="C1610" t="s">
        <v>7370</v>
      </c>
      <c r="D1610">
        <v>0.232708</v>
      </c>
    </row>
    <row r="1611" spans="1:4">
      <c r="A1611" t="s">
        <v>3228</v>
      </c>
      <c r="B1611" t="s">
        <v>358</v>
      </c>
      <c r="C1611" t="s">
        <v>7371</v>
      </c>
      <c r="D1611">
        <v>0.000225</v>
      </c>
    </row>
    <row r="1612" spans="1:4">
      <c r="A1612" t="s">
        <v>3229</v>
      </c>
      <c r="B1612" t="s">
        <v>358</v>
      </c>
      <c r="C1612" t="s">
        <v>7304</v>
      </c>
      <c r="D1612">
        <v>2.472764</v>
      </c>
    </row>
    <row r="1613" spans="1:4">
      <c r="A1613" t="s">
        <v>3230</v>
      </c>
      <c r="B1613" t="s">
        <v>358</v>
      </c>
      <c r="C1613" t="s">
        <v>7372</v>
      </c>
      <c r="D1613">
        <v>410.931989</v>
      </c>
    </row>
    <row r="1614" spans="1:4">
      <c r="A1614" t="s">
        <v>3231</v>
      </c>
      <c r="B1614" t="s">
        <v>358</v>
      </c>
      <c r="C1614" t="s">
        <v>7373</v>
      </c>
      <c r="D1614">
        <v>1.918798</v>
      </c>
    </row>
    <row r="1615" spans="1:4">
      <c r="A1615" t="s">
        <v>3232</v>
      </c>
      <c r="B1615" t="s">
        <v>358</v>
      </c>
      <c r="C1615" t="s">
        <v>7374</v>
      </c>
      <c r="D1615">
        <v>430.551747</v>
      </c>
    </row>
    <row r="1616" spans="1:4">
      <c r="A1616" t="s">
        <v>3233</v>
      </c>
      <c r="B1616" t="s">
        <v>358</v>
      </c>
      <c r="C1616" t="s">
        <v>7305</v>
      </c>
      <c r="D1616">
        <v>1.908909</v>
      </c>
    </row>
    <row r="1617" spans="1:4">
      <c r="A1617" t="s">
        <v>3234</v>
      </c>
      <c r="B1617" t="s">
        <v>358</v>
      </c>
      <c r="C1617" t="s">
        <v>7375</v>
      </c>
      <c r="D1617">
        <v>2.355913</v>
      </c>
    </row>
    <row r="1618" spans="1:4">
      <c r="A1618" t="s">
        <v>3235</v>
      </c>
      <c r="B1618" t="s">
        <v>358</v>
      </c>
      <c r="C1618" t="s">
        <v>7376</v>
      </c>
      <c r="D1618">
        <v>3.486385</v>
      </c>
    </row>
    <row r="1619" spans="1:4">
      <c r="A1619" t="s">
        <v>3236</v>
      </c>
      <c r="B1619" t="s">
        <v>358</v>
      </c>
      <c r="C1619" t="s">
        <v>7377</v>
      </c>
      <c r="D1619">
        <v>0.075581</v>
      </c>
    </row>
    <row r="1620" spans="1:4">
      <c r="A1620" t="s">
        <v>3237</v>
      </c>
      <c r="B1620" t="s">
        <v>358</v>
      </c>
      <c r="C1620" t="s">
        <v>7378</v>
      </c>
      <c r="D1620">
        <v>218.964467</v>
      </c>
    </row>
    <row r="1621" spans="1:4">
      <c r="A1621" t="s">
        <v>3238</v>
      </c>
      <c r="B1621" t="s">
        <v>358</v>
      </c>
      <c r="C1621" t="s">
        <v>7379</v>
      </c>
      <c r="D1621">
        <v>0.721638</v>
      </c>
    </row>
    <row r="1622" spans="1:4">
      <c r="A1622" t="s">
        <v>3239</v>
      </c>
      <c r="B1622" t="s">
        <v>358</v>
      </c>
      <c r="C1622" t="s">
        <v>7306</v>
      </c>
      <c r="D1622">
        <v>0.201072</v>
      </c>
    </row>
    <row r="1623" spans="1:4">
      <c r="A1623" t="s">
        <v>3240</v>
      </c>
      <c r="B1623" t="s">
        <v>358</v>
      </c>
      <c r="C1623" t="s">
        <v>7380</v>
      </c>
      <c r="D1623">
        <v>989.494295</v>
      </c>
    </row>
    <row r="1624" spans="1:4">
      <c r="A1624" t="s">
        <v>3241</v>
      </c>
      <c r="B1624" t="s">
        <v>358</v>
      </c>
      <c r="C1624" t="s">
        <v>7381</v>
      </c>
      <c r="D1624">
        <v>366.313519</v>
      </c>
    </row>
    <row r="1625" spans="1:4">
      <c r="A1625" t="s">
        <v>3242</v>
      </c>
      <c r="B1625" t="s">
        <v>358</v>
      </c>
      <c r="C1625" t="s">
        <v>7382</v>
      </c>
      <c r="D1625">
        <v>0.622734</v>
      </c>
    </row>
    <row r="1626" spans="1:4">
      <c r="A1626" t="s">
        <v>3243</v>
      </c>
      <c r="B1626" t="s">
        <v>358</v>
      </c>
      <c r="C1626" t="s">
        <v>7383</v>
      </c>
      <c r="D1626">
        <v>0.013893</v>
      </c>
    </row>
    <row r="1627" spans="1:4">
      <c r="A1627" t="s">
        <v>3244</v>
      </c>
      <c r="B1627" t="s">
        <v>358</v>
      </c>
      <c r="C1627" t="s">
        <v>7384</v>
      </c>
      <c r="D1627">
        <v>0.003411</v>
      </c>
    </row>
    <row r="1628" spans="1:4">
      <c r="A1628" t="s">
        <v>3245</v>
      </c>
      <c r="B1628" t="s">
        <v>358</v>
      </c>
      <c r="C1628" t="s">
        <v>7385</v>
      </c>
      <c r="D1628">
        <v>0.920092</v>
      </c>
    </row>
    <row r="1629" spans="1:4">
      <c r="A1629" t="s">
        <v>3246</v>
      </c>
      <c r="B1629" t="s">
        <v>358</v>
      </c>
      <c r="C1629" t="s">
        <v>7386</v>
      </c>
      <c r="D1629">
        <v>1.670101</v>
      </c>
    </row>
    <row r="1630" spans="1:4">
      <c r="A1630" t="s">
        <v>3247</v>
      </c>
      <c r="B1630" t="s">
        <v>358</v>
      </c>
      <c r="C1630" t="s">
        <v>7387</v>
      </c>
      <c r="D1630">
        <v>18.794515</v>
      </c>
    </row>
    <row r="1631" spans="1:4">
      <c r="A1631" t="s">
        <v>3248</v>
      </c>
      <c r="B1631" t="s">
        <v>358</v>
      </c>
      <c r="C1631" t="s">
        <v>7388</v>
      </c>
      <c r="D1631">
        <v>48.035408</v>
      </c>
    </row>
    <row r="1632" spans="1:4">
      <c r="A1632" t="s">
        <v>3249</v>
      </c>
      <c r="B1632" t="s">
        <v>358</v>
      </c>
      <c r="C1632" t="s">
        <v>7389</v>
      </c>
      <c r="D1632">
        <v>33.185923</v>
      </c>
    </row>
    <row r="1633" spans="1:4">
      <c r="A1633" t="s">
        <v>3250</v>
      </c>
      <c r="B1633" t="s">
        <v>358</v>
      </c>
      <c r="C1633" t="s">
        <v>7390</v>
      </c>
      <c r="D1633">
        <v>17.658412</v>
      </c>
    </row>
    <row r="1634" spans="1:4">
      <c r="A1634" t="s">
        <v>3251</v>
      </c>
      <c r="B1634" t="s">
        <v>358</v>
      </c>
      <c r="C1634" t="s">
        <v>7391</v>
      </c>
      <c r="D1634">
        <v>0.07315000000000001</v>
      </c>
    </row>
    <row r="1635" spans="1:4">
      <c r="A1635" t="s">
        <v>3252</v>
      </c>
      <c r="B1635" t="s">
        <v>358</v>
      </c>
      <c r="C1635" t="s">
        <v>7392</v>
      </c>
      <c r="D1635">
        <v>5.754555</v>
      </c>
    </row>
    <row r="1636" spans="1:4">
      <c r="A1636" t="s">
        <v>3253</v>
      </c>
      <c r="B1636" t="s">
        <v>358</v>
      </c>
      <c r="C1636" t="s">
        <v>7393</v>
      </c>
      <c r="D1636">
        <v>0.145231</v>
      </c>
    </row>
    <row r="1637" spans="1:4">
      <c r="A1637" t="s">
        <v>3254</v>
      </c>
      <c r="B1637" t="s">
        <v>358</v>
      </c>
      <c r="C1637" t="s">
        <v>7394</v>
      </c>
      <c r="D1637">
        <v>0.084663</v>
      </c>
    </row>
    <row r="1638" spans="1:4">
      <c r="A1638" t="s">
        <v>3255</v>
      </c>
      <c r="B1638" t="s">
        <v>358</v>
      </c>
      <c r="C1638" t="s">
        <v>7395</v>
      </c>
      <c r="D1638">
        <v>37.804062</v>
      </c>
    </row>
    <row r="1639" spans="1:4">
      <c r="A1639" t="s">
        <v>3256</v>
      </c>
      <c r="B1639" t="s">
        <v>358</v>
      </c>
      <c r="C1639" t="s">
        <v>7396</v>
      </c>
      <c r="D1639">
        <v>7.61275</v>
      </c>
    </row>
    <row r="1640" spans="1:4">
      <c r="A1640" t="s">
        <v>3257</v>
      </c>
      <c r="B1640" t="s">
        <v>358</v>
      </c>
      <c r="C1640" t="s">
        <v>7397</v>
      </c>
      <c r="D1640">
        <v>6.439179</v>
      </c>
    </row>
    <row r="1641" spans="1:4">
      <c r="A1641" t="s">
        <v>3258</v>
      </c>
      <c r="B1641" t="s">
        <v>358</v>
      </c>
      <c r="C1641" t="s">
        <v>7398</v>
      </c>
      <c r="D1641">
        <v>19.744101</v>
      </c>
    </row>
    <row r="1642" spans="1:4">
      <c r="A1642" t="s">
        <v>3259</v>
      </c>
      <c r="B1642" t="s">
        <v>358</v>
      </c>
      <c r="C1642" t="s">
        <v>7399</v>
      </c>
      <c r="D1642">
        <v>0.174964</v>
      </c>
    </row>
    <row r="1643" spans="1:4">
      <c r="A1643" t="s">
        <v>3260</v>
      </c>
      <c r="B1643" t="s">
        <v>358</v>
      </c>
      <c r="C1643" t="s">
        <v>7307</v>
      </c>
      <c r="D1643">
        <v>17.638643</v>
      </c>
    </row>
    <row r="1644" spans="1:4">
      <c r="A1644" t="s">
        <v>3261</v>
      </c>
      <c r="B1644" t="s">
        <v>358</v>
      </c>
      <c r="C1644" t="s">
        <v>7308</v>
      </c>
      <c r="D1644">
        <v>76.94091899999999</v>
      </c>
    </row>
    <row r="1645" spans="1:4">
      <c r="A1645" t="s">
        <v>3262</v>
      </c>
      <c r="B1645" t="s">
        <v>358</v>
      </c>
      <c r="C1645" t="s">
        <v>7400</v>
      </c>
      <c r="D1645">
        <v>4.781384</v>
      </c>
    </row>
    <row r="1646" spans="1:4">
      <c r="A1646" t="s">
        <v>3263</v>
      </c>
      <c r="B1646" t="s">
        <v>358</v>
      </c>
      <c r="C1646" t="s">
        <v>7401</v>
      </c>
      <c r="D1646">
        <v>18.794515</v>
      </c>
    </row>
    <row r="1647" spans="1:4">
      <c r="A1647" t="s">
        <v>3264</v>
      </c>
      <c r="B1647" t="s">
        <v>358</v>
      </c>
      <c r="C1647" t="s">
        <v>7402</v>
      </c>
      <c r="D1647">
        <v>0.224146</v>
      </c>
    </row>
    <row r="1648" spans="1:4">
      <c r="A1648" t="s">
        <v>3265</v>
      </c>
      <c r="B1648" t="s">
        <v>358</v>
      </c>
      <c r="C1648" t="s">
        <v>7403</v>
      </c>
      <c r="D1648">
        <v>8.296013</v>
      </c>
    </row>
    <row r="1649" spans="1:4">
      <c r="A1649" t="s">
        <v>3266</v>
      </c>
      <c r="B1649" t="s">
        <v>358</v>
      </c>
      <c r="C1649" t="s">
        <v>7309</v>
      </c>
      <c r="D1649">
        <v>32.884533</v>
      </c>
    </row>
    <row r="1650" spans="1:4">
      <c r="A1650" t="s">
        <v>3267</v>
      </c>
      <c r="B1650" t="s">
        <v>358</v>
      </c>
      <c r="C1650" t="s">
        <v>7404</v>
      </c>
      <c r="D1650">
        <v>2.002791</v>
      </c>
    </row>
    <row r="1651" spans="1:4">
      <c r="A1651" t="s">
        <v>3268</v>
      </c>
      <c r="B1651" t="s">
        <v>358</v>
      </c>
      <c r="C1651" t="s">
        <v>7310</v>
      </c>
      <c r="D1651">
        <v>180.89754</v>
      </c>
    </row>
    <row r="1652" spans="1:4">
      <c r="A1652" t="s">
        <v>3269</v>
      </c>
      <c r="B1652" t="s">
        <v>358</v>
      </c>
      <c r="C1652" t="s">
        <v>7405</v>
      </c>
      <c r="D1652">
        <v>793.923267</v>
      </c>
    </row>
    <row r="1653" spans="1:4">
      <c r="A1653" t="s">
        <v>3270</v>
      </c>
      <c r="B1653" t="s">
        <v>358</v>
      </c>
      <c r="C1653" t="s">
        <v>7406</v>
      </c>
      <c r="D1653">
        <v>305.261108</v>
      </c>
    </row>
    <row r="1654" spans="1:4">
      <c r="A1654" t="s">
        <v>3271</v>
      </c>
      <c r="B1654" t="s">
        <v>358</v>
      </c>
      <c r="C1654" t="s">
        <v>7407</v>
      </c>
      <c r="D1654">
        <v>89.596771</v>
      </c>
    </row>
    <row r="1655" spans="1:4">
      <c r="A1655" t="s">
        <v>3272</v>
      </c>
      <c r="B1655" t="s">
        <v>358</v>
      </c>
      <c r="C1655" t="s">
        <v>7408</v>
      </c>
      <c r="D1655">
        <v>69.90869499999999</v>
      </c>
    </row>
    <row r="1656" spans="1:4">
      <c r="A1656" t="s">
        <v>3273</v>
      </c>
      <c r="B1656" t="s">
        <v>358</v>
      </c>
      <c r="C1656" t="s">
        <v>7311</v>
      </c>
      <c r="D1656">
        <v>4.946416</v>
      </c>
    </row>
    <row r="1657" spans="1:4">
      <c r="A1657" t="s">
        <v>3274</v>
      </c>
      <c r="B1657" t="s">
        <v>358</v>
      </c>
      <c r="C1657" t="s">
        <v>7409</v>
      </c>
      <c r="D1657">
        <v>1.094361</v>
      </c>
    </row>
    <row r="1658" spans="1:4">
      <c r="A1658" t="s">
        <v>3275</v>
      </c>
      <c r="B1658" t="s">
        <v>358</v>
      </c>
      <c r="C1658" t="s">
        <v>7312</v>
      </c>
      <c r="D1658">
        <v>83.824613</v>
      </c>
    </row>
    <row r="1659" spans="1:4">
      <c r="A1659" t="s">
        <v>3276</v>
      </c>
      <c r="B1659" t="s">
        <v>358</v>
      </c>
      <c r="C1659" t="s">
        <v>7410</v>
      </c>
      <c r="D1659">
        <v>0.050656</v>
      </c>
    </row>
    <row r="1660" spans="1:4">
      <c r="A1660" t="s">
        <v>3277</v>
      </c>
      <c r="B1660" t="s">
        <v>358</v>
      </c>
      <c r="C1660" t="s">
        <v>7411</v>
      </c>
      <c r="D1660">
        <v>83.862928</v>
      </c>
    </row>
    <row r="1661" spans="1:4">
      <c r="A1661" t="s">
        <v>3278</v>
      </c>
      <c r="B1661" t="s">
        <v>358</v>
      </c>
      <c r="C1661" t="s">
        <v>7313</v>
      </c>
      <c r="D1661">
        <v>67.54924800000001</v>
      </c>
    </row>
    <row r="1662" spans="1:4">
      <c r="A1662" t="s">
        <v>3279</v>
      </c>
      <c r="B1662" t="s">
        <v>358</v>
      </c>
      <c r="C1662" t="s">
        <v>7412</v>
      </c>
      <c r="D1662">
        <v>3.023672</v>
      </c>
    </row>
    <row r="1663" spans="1:4">
      <c r="A1663" t="s">
        <v>3280</v>
      </c>
      <c r="B1663" t="s">
        <v>358</v>
      </c>
      <c r="C1663" t="s">
        <v>7413</v>
      </c>
      <c r="D1663">
        <v>4.198495</v>
      </c>
    </row>
    <row r="1664" spans="1:4">
      <c r="A1664" t="s">
        <v>3281</v>
      </c>
      <c r="B1664" t="s">
        <v>358</v>
      </c>
      <c r="C1664" t="s">
        <v>7414</v>
      </c>
      <c r="D1664">
        <v>0.208508</v>
      </c>
    </row>
    <row r="1665" spans="1:4">
      <c r="A1665" t="s">
        <v>3282</v>
      </c>
      <c r="B1665" t="s">
        <v>358</v>
      </c>
      <c r="C1665" t="s">
        <v>7415</v>
      </c>
      <c r="D1665">
        <v>81.402957</v>
      </c>
    </row>
    <row r="1666" spans="1:4">
      <c r="A1666" t="s">
        <v>3283</v>
      </c>
      <c r="B1666" t="s">
        <v>358</v>
      </c>
      <c r="C1666" t="s">
        <v>7416</v>
      </c>
      <c r="D1666">
        <v>38.559789</v>
      </c>
    </row>
    <row r="1667" spans="1:4">
      <c r="A1667" t="s">
        <v>3284</v>
      </c>
      <c r="B1667" t="s">
        <v>358</v>
      </c>
      <c r="C1667" t="s">
        <v>7417</v>
      </c>
      <c r="D1667">
        <v>20.646847</v>
      </c>
    </row>
    <row r="1668" spans="1:4">
      <c r="A1668" t="s">
        <v>3285</v>
      </c>
      <c r="B1668" t="s">
        <v>358</v>
      </c>
      <c r="C1668" t="s">
        <v>7418</v>
      </c>
      <c r="D1668">
        <v>0.682214</v>
      </c>
    </row>
    <row r="1669" spans="1:4">
      <c r="A1669" t="s">
        <v>3286</v>
      </c>
      <c r="B1669" t="s">
        <v>358</v>
      </c>
      <c r="C1669" t="s">
        <v>7314</v>
      </c>
      <c r="D1669">
        <v>32.771724</v>
      </c>
    </row>
    <row r="1670" spans="1:4">
      <c r="A1670" t="s">
        <v>3287</v>
      </c>
      <c r="B1670" t="s">
        <v>358</v>
      </c>
      <c r="C1670" t="s">
        <v>7315</v>
      </c>
      <c r="D1670">
        <v>238.53133</v>
      </c>
    </row>
    <row r="1671" spans="1:4">
      <c r="A1671" t="s">
        <v>3288</v>
      </c>
      <c r="B1671" t="s">
        <v>358</v>
      </c>
      <c r="C1671" t="s">
        <v>7419</v>
      </c>
      <c r="D1671">
        <v>410.931989</v>
      </c>
    </row>
    <row r="1672" spans="1:4">
      <c r="A1672" t="s">
        <v>3289</v>
      </c>
      <c r="B1672" t="s">
        <v>358</v>
      </c>
      <c r="C1672" t="s">
        <v>7420</v>
      </c>
      <c r="D1672">
        <v>12.418513</v>
      </c>
    </row>
    <row r="1673" spans="1:4">
      <c r="A1673" t="s">
        <v>3290</v>
      </c>
      <c r="B1673" t="s">
        <v>358</v>
      </c>
      <c r="C1673" t="s">
        <v>7421</v>
      </c>
      <c r="D1673">
        <v>0.012418</v>
      </c>
    </row>
    <row r="1674" spans="1:4">
      <c r="A1674" t="s">
        <v>3291</v>
      </c>
      <c r="B1674" t="s">
        <v>358</v>
      </c>
      <c r="C1674" t="s">
        <v>7422</v>
      </c>
      <c r="D1674">
        <v>0.534036</v>
      </c>
    </row>
    <row r="1675" spans="1:4">
      <c r="A1675" t="s">
        <v>3292</v>
      </c>
      <c r="B1675" t="s">
        <v>358</v>
      </c>
      <c r="C1675" t="s">
        <v>7423</v>
      </c>
      <c r="D1675">
        <v>8.199493</v>
      </c>
    </row>
    <row r="1676" spans="1:4">
      <c r="A1676" t="s">
        <v>3293</v>
      </c>
      <c r="B1676" t="s">
        <v>358</v>
      </c>
      <c r="C1676" t="s">
        <v>7424</v>
      </c>
      <c r="D1676">
        <v>0.064871</v>
      </c>
    </row>
    <row r="1677" spans="1:4">
      <c r="A1677" t="s">
        <v>3294</v>
      </c>
      <c r="B1677" t="s">
        <v>358</v>
      </c>
      <c r="C1677" t="s">
        <v>7425</v>
      </c>
      <c r="D1677">
        <v>14.49072</v>
      </c>
    </row>
    <row r="1678" spans="1:4">
      <c r="A1678" t="s">
        <v>3295</v>
      </c>
      <c r="B1678" t="s">
        <v>358</v>
      </c>
      <c r="C1678" t="s">
        <v>7426</v>
      </c>
      <c r="D1678">
        <v>2.716154</v>
      </c>
    </row>
    <row r="1679" spans="1:4">
      <c r="A1679" t="s">
        <v>3296</v>
      </c>
      <c r="B1679" t="s">
        <v>358</v>
      </c>
      <c r="C1679" t="s">
        <v>7427</v>
      </c>
      <c r="D1679">
        <v>18.794515</v>
      </c>
    </row>
    <row r="1680" spans="1:4">
      <c r="A1680" t="s">
        <v>3297</v>
      </c>
      <c r="B1680" t="s">
        <v>358</v>
      </c>
      <c r="C1680" t="s">
        <v>7316</v>
      </c>
      <c r="D1680">
        <v>9.349971999999999</v>
      </c>
    </row>
    <row r="1681" spans="1:4">
      <c r="A1681" t="s">
        <v>3298</v>
      </c>
      <c r="B1681" t="s">
        <v>358</v>
      </c>
      <c r="C1681" t="s">
        <v>7428</v>
      </c>
      <c r="D1681">
        <v>33.031194</v>
      </c>
    </row>
    <row r="1682" spans="1:4">
      <c r="A1682" t="s">
        <v>3299</v>
      </c>
      <c r="B1682" t="s">
        <v>358</v>
      </c>
      <c r="C1682" t="s">
        <v>7429</v>
      </c>
      <c r="D1682">
        <v>87.115663</v>
      </c>
    </row>
    <row r="1683" spans="1:4">
      <c r="A1683" t="s">
        <v>3300</v>
      </c>
      <c r="B1683" t="s">
        <v>358</v>
      </c>
      <c r="C1683" t="s">
        <v>7430</v>
      </c>
      <c r="D1683">
        <v>104.822452</v>
      </c>
    </row>
    <row r="1684" spans="1:4">
      <c r="A1684" t="s">
        <v>3301</v>
      </c>
      <c r="B1684" t="s">
        <v>358</v>
      </c>
      <c r="C1684" t="s">
        <v>7431</v>
      </c>
      <c r="D1684">
        <v>129.106418</v>
      </c>
    </row>
    <row r="1685" spans="1:4">
      <c r="A1685" t="s">
        <v>3302</v>
      </c>
      <c r="B1685" t="s">
        <v>358</v>
      </c>
      <c r="C1685" t="s">
        <v>7317</v>
      </c>
      <c r="D1685">
        <v>6.640355</v>
      </c>
    </row>
    <row r="1686" spans="1:4">
      <c r="A1686" t="s">
        <v>3303</v>
      </c>
      <c r="B1686" t="s">
        <v>358</v>
      </c>
      <c r="C1686" t="s">
        <v>7432</v>
      </c>
      <c r="D1686">
        <v>42.006748</v>
      </c>
    </row>
    <row r="1687" spans="1:4">
      <c r="A1687" t="s">
        <v>3304</v>
      </c>
      <c r="B1687" t="s">
        <v>358</v>
      </c>
      <c r="C1687" t="s">
        <v>7433</v>
      </c>
      <c r="D1687">
        <v>218.964467</v>
      </c>
    </row>
    <row r="1688" spans="1:4">
      <c r="A1688" t="s">
        <v>3305</v>
      </c>
      <c r="B1688" t="s">
        <v>358</v>
      </c>
      <c r="C1688" t="s">
        <v>7434</v>
      </c>
      <c r="D1688">
        <v>9.706337</v>
      </c>
    </row>
    <row r="1689" spans="1:4">
      <c r="A1689" t="s">
        <v>3306</v>
      </c>
      <c r="B1689" t="s">
        <v>358</v>
      </c>
      <c r="C1689" t="s">
        <v>7435</v>
      </c>
      <c r="D1689">
        <v>0.117521</v>
      </c>
    </row>
    <row r="1690" spans="1:4">
      <c r="A1690" t="s">
        <v>3307</v>
      </c>
      <c r="B1690" t="s">
        <v>358</v>
      </c>
      <c r="C1690" t="s">
        <v>7436</v>
      </c>
      <c r="D1690">
        <v>6.876703</v>
      </c>
    </row>
    <row r="1691" spans="1:4">
      <c r="A1691" t="s">
        <v>3308</v>
      </c>
      <c r="B1691" t="s">
        <v>358</v>
      </c>
      <c r="C1691" t="s">
        <v>7437</v>
      </c>
      <c r="D1691">
        <v>0.08166900000000001</v>
      </c>
    </row>
    <row r="1692" spans="1:4">
      <c r="A1692" t="s">
        <v>3309</v>
      </c>
      <c r="B1692" t="s">
        <v>358</v>
      </c>
      <c r="C1692" t="s">
        <v>399</v>
      </c>
      <c r="D1692">
        <v>305.260583</v>
      </c>
    </row>
    <row r="1693" spans="1:4">
      <c r="A1693" t="s">
        <v>3310</v>
      </c>
      <c r="B1693" t="s">
        <v>358</v>
      </c>
      <c r="C1693" t="s">
        <v>7438</v>
      </c>
      <c r="D1693">
        <v>7.588209</v>
      </c>
    </row>
    <row r="1694" spans="1:4">
      <c r="A1694" t="s">
        <v>3311</v>
      </c>
      <c r="B1694" t="s">
        <v>358</v>
      </c>
      <c r="C1694" t="s">
        <v>7439</v>
      </c>
      <c r="D1694">
        <v>0.02561</v>
      </c>
    </row>
    <row r="1695" spans="1:4">
      <c r="A1695" t="s">
        <v>3312</v>
      </c>
      <c r="B1695" t="s">
        <v>358</v>
      </c>
      <c r="C1695" t="s">
        <v>7440</v>
      </c>
      <c r="D1695">
        <v>0.545721</v>
      </c>
    </row>
    <row r="1696" spans="1:4">
      <c r="A1696" t="s">
        <v>3313</v>
      </c>
      <c r="B1696" t="s">
        <v>358</v>
      </c>
      <c r="C1696" t="s">
        <v>7441</v>
      </c>
      <c r="D1696">
        <v>0.011693</v>
      </c>
    </row>
    <row r="1697" spans="1:4">
      <c r="A1697" t="s">
        <v>3314</v>
      </c>
      <c r="B1697" t="s">
        <v>358</v>
      </c>
      <c r="C1697" t="s">
        <v>7442</v>
      </c>
      <c r="D1697">
        <v>2.584455</v>
      </c>
    </row>
    <row r="1698" spans="1:4">
      <c r="A1698" t="s">
        <v>3315</v>
      </c>
      <c r="B1698" t="s">
        <v>358</v>
      </c>
      <c r="C1698" t="s">
        <v>7443</v>
      </c>
      <c r="D1698">
        <v>113.890238</v>
      </c>
    </row>
    <row r="1699" spans="1:4">
      <c r="A1699" t="s">
        <v>3316</v>
      </c>
      <c r="B1699" t="s">
        <v>358</v>
      </c>
      <c r="C1699" t="s">
        <v>7444</v>
      </c>
      <c r="D1699">
        <v>0.541229</v>
      </c>
    </row>
    <row r="1700" spans="1:4">
      <c r="A1700" t="s">
        <v>3317</v>
      </c>
      <c r="B1700" t="s">
        <v>358</v>
      </c>
      <c r="C1700" t="s">
        <v>7445</v>
      </c>
      <c r="D1700">
        <v>113.059673</v>
      </c>
    </row>
    <row r="1701" spans="1:4">
      <c r="A1701" t="s">
        <v>3318</v>
      </c>
      <c r="B1701" t="s">
        <v>358</v>
      </c>
      <c r="C1701" t="s">
        <v>7446</v>
      </c>
      <c r="D1701">
        <v>170.536954</v>
      </c>
    </row>
    <row r="1702" spans="1:4">
      <c r="A1702" t="s">
        <v>3319</v>
      </c>
      <c r="B1702" t="s">
        <v>358</v>
      </c>
      <c r="C1702" t="s">
        <v>7447</v>
      </c>
      <c r="D1702">
        <v>417.435016</v>
      </c>
    </row>
    <row r="1703" spans="1:4">
      <c r="A1703" t="s">
        <v>3320</v>
      </c>
      <c r="B1703" t="s">
        <v>358</v>
      </c>
      <c r="C1703" t="s">
        <v>7448</v>
      </c>
      <c r="D1703">
        <v>0.541229</v>
      </c>
    </row>
    <row r="1704" spans="1:4">
      <c r="A1704" t="s">
        <v>3321</v>
      </c>
      <c r="B1704" t="s">
        <v>358</v>
      </c>
      <c r="C1704" t="s">
        <v>7449</v>
      </c>
      <c r="D1704">
        <v>2.975083</v>
      </c>
    </row>
    <row r="1705" spans="1:4">
      <c r="A1705" t="s">
        <v>3322</v>
      </c>
      <c r="B1705" t="s">
        <v>358</v>
      </c>
      <c r="C1705" t="s">
        <v>7450</v>
      </c>
      <c r="D1705">
        <v>1.278444</v>
      </c>
    </row>
    <row r="1706" spans="1:4">
      <c r="A1706" t="s">
        <v>3323</v>
      </c>
      <c r="B1706" t="s">
        <v>358</v>
      </c>
      <c r="C1706" t="s">
        <v>7318</v>
      </c>
      <c r="D1706">
        <v>18.794504</v>
      </c>
    </row>
    <row r="1707" spans="1:4">
      <c r="A1707" t="s">
        <v>3324</v>
      </c>
      <c r="B1707" t="s">
        <v>358</v>
      </c>
      <c r="C1707" t="s">
        <v>7451</v>
      </c>
      <c r="D1707">
        <v>16.884126</v>
      </c>
    </row>
    <row r="1708" spans="1:4">
      <c r="A1708" t="s">
        <v>3325</v>
      </c>
      <c r="B1708" t="s">
        <v>358</v>
      </c>
      <c r="C1708" t="s">
        <v>7452</v>
      </c>
      <c r="D1708">
        <v>11.344823</v>
      </c>
    </row>
    <row r="1709" spans="1:4">
      <c r="A1709" t="s">
        <v>3326</v>
      </c>
      <c r="B1709" t="s">
        <v>358</v>
      </c>
      <c r="C1709" t="s">
        <v>7453</v>
      </c>
      <c r="D1709">
        <v>11.344823</v>
      </c>
    </row>
    <row r="1710" spans="1:4">
      <c r="A1710" t="s">
        <v>3327</v>
      </c>
      <c r="B1710" t="s">
        <v>359</v>
      </c>
      <c r="C1710" t="s">
        <v>397</v>
      </c>
      <c r="D1710">
        <v>355.526924</v>
      </c>
    </row>
    <row r="1711" spans="1:4">
      <c r="A1711" t="s">
        <v>3328</v>
      </c>
      <c r="B1711" t="s">
        <v>359</v>
      </c>
      <c r="C1711" t="s">
        <v>7319</v>
      </c>
      <c r="D1711">
        <v>83.409896</v>
      </c>
    </row>
    <row r="1712" spans="1:4">
      <c r="A1712" t="s">
        <v>3329</v>
      </c>
      <c r="B1712" t="s">
        <v>359</v>
      </c>
      <c r="C1712" t="s">
        <v>7320</v>
      </c>
      <c r="D1712">
        <v>4.869166</v>
      </c>
    </row>
    <row r="1713" spans="1:4">
      <c r="A1713" t="s">
        <v>3330</v>
      </c>
      <c r="B1713" t="s">
        <v>359</v>
      </c>
      <c r="C1713" t="s">
        <v>7321</v>
      </c>
      <c r="D1713">
        <v>3.728047</v>
      </c>
    </row>
    <row r="1714" spans="1:4">
      <c r="A1714" t="s">
        <v>3331</v>
      </c>
      <c r="B1714" t="s">
        <v>359</v>
      </c>
      <c r="C1714" t="s">
        <v>7322</v>
      </c>
      <c r="D1714">
        <v>0.830164</v>
      </c>
    </row>
    <row r="1715" spans="1:4">
      <c r="A1715" t="s">
        <v>3332</v>
      </c>
      <c r="B1715" t="s">
        <v>359</v>
      </c>
      <c r="C1715" t="s">
        <v>7323</v>
      </c>
      <c r="D1715">
        <v>171.130116</v>
      </c>
    </row>
    <row r="1716" spans="1:4">
      <c r="A1716" t="s">
        <v>3333</v>
      </c>
      <c r="B1716" t="s">
        <v>359</v>
      </c>
      <c r="C1716" t="s">
        <v>7324</v>
      </c>
      <c r="D1716">
        <v>0.325089</v>
      </c>
    </row>
    <row r="1717" spans="1:4">
      <c r="A1717" t="s">
        <v>3334</v>
      </c>
      <c r="B1717" t="s">
        <v>359</v>
      </c>
      <c r="C1717" t="s">
        <v>7325</v>
      </c>
      <c r="D1717">
        <v>0.213409</v>
      </c>
    </row>
    <row r="1718" spans="1:4">
      <c r="A1718" t="s">
        <v>3335</v>
      </c>
      <c r="B1718" t="s">
        <v>359</v>
      </c>
      <c r="C1718" t="s">
        <v>7292</v>
      </c>
      <c r="D1718">
        <v>218.722134</v>
      </c>
    </row>
    <row r="1719" spans="1:4">
      <c r="A1719" t="s">
        <v>3336</v>
      </c>
      <c r="B1719" t="s">
        <v>359</v>
      </c>
      <c r="C1719" t="s">
        <v>7326</v>
      </c>
      <c r="D1719">
        <v>171.130116</v>
      </c>
    </row>
    <row r="1720" spans="1:4">
      <c r="A1720" t="s">
        <v>3337</v>
      </c>
      <c r="B1720" t="s">
        <v>359</v>
      </c>
      <c r="C1720" t="s">
        <v>7327</v>
      </c>
      <c r="D1720">
        <v>180.064598</v>
      </c>
    </row>
    <row r="1721" spans="1:4">
      <c r="A1721" t="s">
        <v>3338</v>
      </c>
      <c r="B1721" t="s">
        <v>359</v>
      </c>
      <c r="C1721" t="s">
        <v>7328</v>
      </c>
      <c r="D1721">
        <v>181.77803</v>
      </c>
    </row>
    <row r="1722" spans="1:4">
      <c r="A1722" t="s">
        <v>3339</v>
      </c>
      <c r="B1722" t="s">
        <v>359</v>
      </c>
      <c r="C1722" t="s">
        <v>7329</v>
      </c>
      <c r="D1722">
        <v>153.161445</v>
      </c>
    </row>
    <row r="1723" spans="1:4">
      <c r="A1723" t="s">
        <v>3340</v>
      </c>
      <c r="B1723" t="s">
        <v>359</v>
      </c>
      <c r="C1723" t="s">
        <v>7330</v>
      </c>
      <c r="D1723">
        <v>2.49517</v>
      </c>
    </row>
    <row r="1724" spans="1:4">
      <c r="A1724" t="s">
        <v>3341</v>
      </c>
      <c r="B1724" t="s">
        <v>359</v>
      </c>
      <c r="C1724" t="s">
        <v>398</v>
      </c>
      <c r="D1724">
        <v>181.77803</v>
      </c>
    </row>
    <row r="1725" spans="1:4">
      <c r="A1725" t="s">
        <v>3342</v>
      </c>
      <c r="B1725" t="s">
        <v>359</v>
      </c>
      <c r="C1725" t="s">
        <v>7331</v>
      </c>
      <c r="D1725">
        <v>814.688778</v>
      </c>
    </row>
    <row r="1726" spans="1:4">
      <c r="A1726" t="s">
        <v>3343</v>
      </c>
      <c r="B1726" t="s">
        <v>359</v>
      </c>
      <c r="C1726" t="s">
        <v>7332</v>
      </c>
      <c r="D1726">
        <v>0.102459</v>
      </c>
    </row>
    <row r="1727" spans="1:4">
      <c r="A1727" t="s">
        <v>3344</v>
      </c>
      <c r="B1727" t="s">
        <v>359</v>
      </c>
      <c r="C1727" t="s">
        <v>7333</v>
      </c>
      <c r="D1727">
        <v>306.322891</v>
      </c>
    </row>
    <row r="1728" spans="1:4">
      <c r="A1728" t="s">
        <v>3345</v>
      </c>
      <c r="B1728" t="s">
        <v>359</v>
      </c>
      <c r="C1728" t="s">
        <v>7334</v>
      </c>
      <c r="D1728">
        <v>238.757056</v>
      </c>
    </row>
    <row r="1729" spans="1:4">
      <c r="A1729" t="s">
        <v>3346</v>
      </c>
      <c r="B1729" t="s">
        <v>359</v>
      </c>
      <c r="C1729" t="s">
        <v>7335</v>
      </c>
      <c r="D1729">
        <v>44.244646</v>
      </c>
    </row>
    <row r="1730" spans="1:4">
      <c r="A1730" t="s">
        <v>3347</v>
      </c>
      <c r="B1730" t="s">
        <v>359</v>
      </c>
      <c r="C1730" t="s">
        <v>7293</v>
      </c>
      <c r="D1730">
        <v>60.885915</v>
      </c>
    </row>
    <row r="1731" spans="1:4">
      <c r="A1731" t="s">
        <v>3348</v>
      </c>
      <c r="B1731" t="s">
        <v>359</v>
      </c>
      <c r="C1731" t="s">
        <v>7336</v>
      </c>
      <c r="D1731">
        <v>306.322891</v>
      </c>
    </row>
    <row r="1732" spans="1:4">
      <c r="A1732" t="s">
        <v>3349</v>
      </c>
      <c r="B1732" t="s">
        <v>359</v>
      </c>
      <c r="C1732" t="s">
        <v>7337</v>
      </c>
      <c r="D1732">
        <v>3.200736</v>
      </c>
    </row>
    <row r="1733" spans="1:4">
      <c r="A1733" t="s">
        <v>3350</v>
      </c>
      <c r="B1733" t="s">
        <v>359</v>
      </c>
      <c r="C1733" t="s">
        <v>7338</v>
      </c>
      <c r="D1733">
        <v>21.854744</v>
      </c>
    </row>
    <row r="1734" spans="1:4">
      <c r="A1734" t="s">
        <v>3351</v>
      </c>
      <c r="B1734" t="s">
        <v>359</v>
      </c>
      <c r="C1734" t="s">
        <v>7339</v>
      </c>
      <c r="D1734">
        <v>109.283616</v>
      </c>
    </row>
    <row r="1735" spans="1:4">
      <c r="A1735" t="s">
        <v>3352</v>
      </c>
      <c r="B1735" t="s">
        <v>359</v>
      </c>
      <c r="C1735" t="s">
        <v>7340</v>
      </c>
      <c r="D1735">
        <v>153.161445</v>
      </c>
    </row>
    <row r="1736" spans="1:4">
      <c r="A1736" t="s">
        <v>3353</v>
      </c>
      <c r="B1736" t="s">
        <v>359</v>
      </c>
      <c r="C1736" t="s">
        <v>7294</v>
      </c>
      <c r="D1736">
        <v>220.646015</v>
      </c>
    </row>
    <row r="1737" spans="1:4">
      <c r="A1737" t="s">
        <v>3354</v>
      </c>
      <c r="B1737" t="s">
        <v>359</v>
      </c>
      <c r="C1737" t="s">
        <v>7341</v>
      </c>
      <c r="D1737">
        <v>0.133576</v>
      </c>
    </row>
    <row r="1738" spans="1:4">
      <c r="A1738" t="s">
        <v>3355</v>
      </c>
      <c r="B1738" t="s">
        <v>359</v>
      </c>
      <c r="C1738" t="s">
        <v>7295</v>
      </c>
      <c r="D1738">
        <v>387.317562</v>
      </c>
    </row>
    <row r="1739" spans="1:4">
      <c r="A1739" t="s">
        <v>3356</v>
      </c>
      <c r="B1739" t="s">
        <v>359</v>
      </c>
      <c r="C1739" t="s">
        <v>7342</v>
      </c>
      <c r="D1739">
        <v>13614.939838</v>
      </c>
    </row>
    <row r="1740" spans="1:4">
      <c r="A1740" t="s">
        <v>3357</v>
      </c>
      <c r="B1740" t="s">
        <v>359</v>
      </c>
      <c r="C1740" t="s">
        <v>7343</v>
      </c>
      <c r="D1740">
        <v>0.344453</v>
      </c>
    </row>
    <row r="1741" spans="1:4">
      <c r="A1741" t="s">
        <v>3358</v>
      </c>
      <c r="B1741" t="s">
        <v>359</v>
      </c>
      <c r="C1741" t="s">
        <v>7344</v>
      </c>
      <c r="D1741">
        <v>45.212565</v>
      </c>
    </row>
    <row r="1742" spans="1:4">
      <c r="A1742" t="s">
        <v>3359</v>
      </c>
      <c r="B1742" t="s">
        <v>359</v>
      </c>
      <c r="C1742" t="s">
        <v>7296</v>
      </c>
      <c r="D1742">
        <v>45.15572</v>
      </c>
    </row>
    <row r="1743" spans="1:4">
      <c r="A1743" t="s">
        <v>3360</v>
      </c>
      <c r="B1743" t="s">
        <v>359</v>
      </c>
      <c r="C1743" t="s">
        <v>7345</v>
      </c>
      <c r="D1743">
        <v>0.08550199999999999</v>
      </c>
    </row>
    <row r="1744" spans="1:4">
      <c r="A1744" t="s">
        <v>3361</v>
      </c>
      <c r="B1744" t="s">
        <v>359</v>
      </c>
      <c r="C1744" t="s">
        <v>7346</v>
      </c>
      <c r="D1744">
        <v>0.670086</v>
      </c>
    </row>
    <row r="1745" spans="1:4">
      <c r="A1745" t="s">
        <v>3362</v>
      </c>
      <c r="B1745" t="s">
        <v>359</v>
      </c>
      <c r="C1745" t="s">
        <v>7347</v>
      </c>
      <c r="D1745">
        <v>12.763452</v>
      </c>
    </row>
    <row r="1746" spans="1:4">
      <c r="A1746" t="s">
        <v>3363</v>
      </c>
      <c r="B1746" t="s">
        <v>359</v>
      </c>
      <c r="C1746" t="s">
        <v>7348</v>
      </c>
      <c r="D1746">
        <v>3.224295</v>
      </c>
    </row>
    <row r="1747" spans="1:4">
      <c r="A1747" t="s">
        <v>3364</v>
      </c>
      <c r="B1747" t="s">
        <v>359</v>
      </c>
      <c r="C1747" t="s">
        <v>7297</v>
      </c>
      <c r="D1747">
        <v>14.693082</v>
      </c>
    </row>
    <row r="1748" spans="1:4">
      <c r="A1748" t="s">
        <v>3365</v>
      </c>
      <c r="B1748" t="s">
        <v>359</v>
      </c>
      <c r="C1748" t="s">
        <v>7349</v>
      </c>
      <c r="D1748">
        <v>1.723616</v>
      </c>
    </row>
    <row r="1749" spans="1:4">
      <c r="A1749" t="s">
        <v>3366</v>
      </c>
      <c r="B1749" t="s">
        <v>359</v>
      </c>
      <c r="C1749" t="s">
        <v>7298</v>
      </c>
      <c r="D1749">
        <v>47.635952</v>
      </c>
    </row>
    <row r="1750" spans="1:4">
      <c r="A1750" t="s">
        <v>3367</v>
      </c>
      <c r="B1750" t="s">
        <v>359</v>
      </c>
      <c r="C1750" t="s">
        <v>7350</v>
      </c>
      <c r="D1750">
        <v>5.261072</v>
      </c>
    </row>
    <row r="1751" spans="1:4">
      <c r="A1751" t="s">
        <v>3368</v>
      </c>
      <c r="B1751" t="s">
        <v>359</v>
      </c>
      <c r="C1751" t="s">
        <v>7351</v>
      </c>
      <c r="D1751">
        <v>2.295474</v>
      </c>
    </row>
    <row r="1752" spans="1:4">
      <c r="A1752" t="s">
        <v>3369</v>
      </c>
      <c r="B1752" t="s">
        <v>359</v>
      </c>
      <c r="C1752" t="s">
        <v>7352</v>
      </c>
      <c r="D1752">
        <v>5.895197</v>
      </c>
    </row>
    <row r="1753" spans="1:4">
      <c r="A1753" t="s">
        <v>3370</v>
      </c>
      <c r="B1753" t="s">
        <v>359</v>
      </c>
      <c r="C1753" t="s">
        <v>7353</v>
      </c>
      <c r="D1753">
        <v>20.421523</v>
      </c>
    </row>
    <row r="1754" spans="1:4">
      <c r="A1754" t="s">
        <v>3371</v>
      </c>
      <c r="B1754" t="s">
        <v>359</v>
      </c>
      <c r="C1754" t="s">
        <v>7354</v>
      </c>
      <c r="D1754">
        <v>1.903198</v>
      </c>
    </row>
    <row r="1755" spans="1:4">
      <c r="A1755" t="s">
        <v>3372</v>
      </c>
      <c r="B1755" t="s">
        <v>359</v>
      </c>
      <c r="C1755" t="s">
        <v>7355</v>
      </c>
      <c r="D1755">
        <v>139.415325</v>
      </c>
    </row>
    <row r="1756" spans="1:4">
      <c r="A1756" t="s">
        <v>3373</v>
      </c>
      <c r="B1756" t="s">
        <v>359</v>
      </c>
      <c r="C1756" t="s">
        <v>7356</v>
      </c>
      <c r="D1756">
        <v>411.395693</v>
      </c>
    </row>
    <row r="1757" spans="1:4">
      <c r="A1757" t="s">
        <v>3374</v>
      </c>
      <c r="B1757" t="s">
        <v>359</v>
      </c>
      <c r="C1757" t="s">
        <v>7357</v>
      </c>
      <c r="D1757">
        <v>47.635964</v>
      </c>
    </row>
    <row r="1758" spans="1:4">
      <c r="A1758" t="s">
        <v>3375</v>
      </c>
      <c r="B1758" t="s">
        <v>359</v>
      </c>
      <c r="C1758" t="s">
        <v>7299</v>
      </c>
      <c r="D1758">
        <v>411.395693</v>
      </c>
    </row>
    <row r="1759" spans="1:4">
      <c r="A1759" t="s">
        <v>3376</v>
      </c>
      <c r="B1759" t="s">
        <v>359</v>
      </c>
      <c r="C1759" t="s">
        <v>7358</v>
      </c>
      <c r="D1759">
        <v>114.833944</v>
      </c>
    </row>
    <row r="1760" spans="1:4">
      <c r="A1760" t="s">
        <v>3377</v>
      </c>
      <c r="B1760" t="s">
        <v>359</v>
      </c>
      <c r="C1760" t="s">
        <v>7359</v>
      </c>
      <c r="D1760">
        <v>411.395693</v>
      </c>
    </row>
    <row r="1761" spans="1:4">
      <c r="A1761" t="s">
        <v>3378</v>
      </c>
      <c r="B1761" t="s">
        <v>359</v>
      </c>
      <c r="C1761" t="s">
        <v>7360</v>
      </c>
      <c r="D1761">
        <v>25.959846</v>
      </c>
    </row>
    <row r="1762" spans="1:4">
      <c r="A1762" t="s">
        <v>3379</v>
      </c>
      <c r="B1762" t="s">
        <v>359</v>
      </c>
      <c r="C1762" t="s">
        <v>7361</v>
      </c>
      <c r="D1762">
        <v>411.395693</v>
      </c>
    </row>
    <row r="1763" spans="1:4">
      <c r="A1763" t="s">
        <v>3380</v>
      </c>
      <c r="B1763" t="s">
        <v>359</v>
      </c>
      <c r="C1763" t="s">
        <v>7362</v>
      </c>
      <c r="D1763">
        <v>4.125829</v>
      </c>
    </row>
    <row r="1764" spans="1:4">
      <c r="A1764" t="s">
        <v>3381</v>
      </c>
      <c r="B1764" t="s">
        <v>359</v>
      </c>
      <c r="C1764" t="s">
        <v>7363</v>
      </c>
      <c r="D1764">
        <v>0.034923</v>
      </c>
    </row>
    <row r="1765" spans="1:4">
      <c r="A1765" t="s">
        <v>3382</v>
      </c>
      <c r="B1765" t="s">
        <v>359</v>
      </c>
      <c r="C1765" t="s">
        <v>7364</v>
      </c>
      <c r="D1765">
        <v>40.143485</v>
      </c>
    </row>
    <row r="1766" spans="1:4">
      <c r="A1766" t="s">
        <v>3383</v>
      </c>
      <c r="B1766" t="s">
        <v>359</v>
      </c>
      <c r="C1766" t="s">
        <v>7365</v>
      </c>
      <c r="D1766">
        <v>1.46236</v>
      </c>
    </row>
    <row r="1767" spans="1:4">
      <c r="A1767" t="s">
        <v>3384</v>
      </c>
      <c r="B1767" t="s">
        <v>359</v>
      </c>
      <c r="C1767" t="s">
        <v>7300</v>
      </c>
      <c r="D1767">
        <v>39.082241</v>
      </c>
    </row>
    <row r="1768" spans="1:4">
      <c r="A1768" t="s">
        <v>3385</v>
      </c>
      <c r="B1768" t="s">
        <v>359</v>
      </c>
      <c r="C1768" t="s">
        <v>7366</v>
      </c>
      <c r="D1768">
        <v>11.505411</v>
      </c>
    </row>
    <row r="1769" spans="1:4">
      <c r="A1769" t="s">
        <v>3386</v>
      </c>
      <c r="B1769" t="s">
        <v>359</v>
      </c>
      <c r="C1769" t="s">
        <v>7367</v>
      </c>
      <c r="D1769">
        <v>47.186532</v>
      </c>
    </row>
    <row r="1770" spans="1:4">
      <c r="A1770" t="s">
        <v>3387</v>
      </c>
      <c r="B1770" t="s">
        <v>359</v>
      </c>
      <c r="C1770" t="s">
        <v>7368</v>
      </c>
      <c r="D1770">
        <v>2.33858</v>
      </c>
    </row>
    <row r="1771" spans="1:4">
      <c r="A1771" t="s">
        <v>3388</v>
      </c>
      <c r="B1771" t="s">
        <v>359</v>
      </c>
      <c r="C1771" t="s">
        <v>7301</v>
      </c>
      <c r="D1771">
        <v>0.01704</v>
      </c>
    </row>
    <row r="1772" spans="1:4">
      <c r="A1772" t="s">
        <v>3389</v>
      </c>
      <c r="B1772" t="s">
        <v>359</v>
      </c>
      <c r="C1772" t="s">
        <v>7302</v>
      </c>
      <c r="D1772">
        <v>106.662408</v>
      </c>
    </row>
    <row r="1773" spans="1:4">
      <c r="A1773" t="s">
        <v>3390</v>
      </c>
      <c r="B1773" t="s">
        <v>359</v>
      </c>
      <c r="C1773" t="s">
        <v>7369</v>
      </c>
      <c r="D1773">
        <v>411.395693</v>
      </c>
    </row>
    <row r="1774" spans="1:4">
      <c r="A1774" t="s">
        <v>3391</v>
      </c>
      <c r="B1774" t="s">
        <v>359</v>
      </c>
      <c r="C1774" t="s">
        <v>7303</v>
      </c>
      <c r="D1774">
        <v>3.200735</v>
      </c>
    </row>
    <row r="1775" spans="1:4">
      <c r="A1775" t="s">
        <v>3392</v>
      </c>
      <c r="B1775" t="s">
        <v>359</v>
      </c>
      <c r="C1775" t="s">
        <v>7370</v>
      </c>
      <c r="D1775">
        <v>0.23326</v>
      </c>
    </row>
    <row r="1776" spans="1:4">
      <c r="A1776" t="s">
        <v>3393</v>
      </c>
      <c r="B1776" t="s">
        <v>359</v>
      </c>
      <c r="C1776" t="s">
        <v>7371</v>
      </c>
      <c r="D1776">
        <v>0.000223</v>
      </c>
    </row>
    <row r="1777" spans="1:4">
      <c r="A1777" t="s">
        <v>3394</v>
      </c>
      <c r="B1777" t="s">
        <v>359</v>
      </c>
      <c r="C1777" t="s">
        <v>7304</v>
      </c>
      <c r="D1777">
        <v>2.479383</v>
      </c>
    </row>
    <row r="1778" spans="1:4">
      <c r="A1778" t="s">
        <v>3395</v>
      </c>
      <c r="B1778" t="s">
        <v>359</v>
      </c>
      <c r="C1778" t="s">
        <v>7372</v>
      </c>
      <c r="D1778">
        <v>411.395693</v>
      </c>
    </row>
    <row r="1779" spans="1:4">
      <c r="A1779" t="s">
        <v>3396</v>
      </c>
      <c r="B1779" t="s">
        <v>359</v>
      </c>
      <c r="C1779" t="s">
        <v>7373</v>
      </c>
      <c r="D1779">
        <v>1.931388</v>
      </c>
    </row>
    <row r="1780" spans="1:4">
      <c r="A1780" t="s">
        <v>3397</v>
      </c>
      <c r="B1780" t="s">
        <v>359</v>
      </c>
      <c r="C1780" t="s">
        <v>7374</v>
      </c>
      <c r="D1780">
        <v>432.049343</v>
      </c>
    </row>
    <row r="1781" spans="1:4">
      <c r="A1781" t="s">
        <v>3398</v>
      </c>
      <c r="B1781" t="s">
        <v>359</v>
      </c>
      <c r="C1781" t="s">
        <v>7305</v>
      </c>
      <c r="D1781">
        <v>1.914881</v>
      </c>
    </row>
    <row r="1782" spans="1:4">
      <c r="A1782" t="s">
        <v>3399</v>
      </c>
      <c r="B1782" t="s">
        <v>359</v>
      </c>
      <c r="C1782" t="s">
        <v>7375</v>
      </c>
      <c r="D1782">
        <v>2.365106</v>
      </c>
    </row>
    <row r="1783" spans="1:4">
      <c r="A1783" t="s">
        <v>3400</v>
      </c>
      <c r="B1783" t="s">
        <v>359</v>
      </c>
      <c r="C1783" t="s">
        <v>7376</v>
      </c>
      <c r="D1783">
        <v>3.49846</v>
      </c>
    </row>
    <row r="1784" spans="1:4">
      <c r="A1784" t="s">
        <v>3401</v>
      </c>
      <c r="B1784" t="s">
        <v>359</v>
      </c>
      <c r="C1784" t="s">
        <v>7377</v>
      </c>
      <c r="D1784">
        <v>0.07575999999999999</v>
      </c>
    </row>
    <row r="1785" spans="1:4">
      <c r="A1785" t="s">
        <v>3402</v>
      </c>
      <c r="B1785" t="s">
        <v>359</v>
      </c>
      <c r="C1785" t="s">
        <v>7378</v>
      </c>
      <c r="D1785">
        <v>218.672224</v>
      </c>
    </row>
    <row r="1786" spans="1:4">
      <c r="A1786" t="s">
        <v>3403</v>
      </c>
      <c r="B1786" t="s">
        <v>359</v>
      </c>
      <c r="C1786" t="s">
        <v>7379</v>
      </c>
      <c r="D1786">
        <v>0.7226630000000001</v>
      </c>
    </row>
    <row r="1787" spans="1:4">
      <c r="A1787" t="s">
        <v>3404</v>
      </c>
      <c r="B1787" t="s">
        <v>359</v>
      </c>
      <c r="C1787" t="s">
        <v>7306</v>
      </c>
      <c r="D1787">
        <v>0.200252</v>
      </c>
    </row>
    <row r="1788" spans="1:4">
      <c r="A1788" t="s">
        <v>3405</v>
      </c>
      <c r="B1788" t="s">
        <v>359</v>
      </c>
      <c r="C1788" t="s">
        <v>7380</v>
      </c>
      <c r="D1788">
        <v>993.216812</v>
      </c>
    </row>
    <row r="1789" spans="1:4">
      <c r="A1789" t="s">
        <v>3406</v>
      </c>
      <c r="B1789" t="s">
        <v>359</v>
      </c>
      <c r="C1789" t="s">
        <v>7381</v>
      </c>
      <c r="D1789">
        <v>367.587469</v>
      </c>
    </row>
    <row r="1790" spans="1:4">
      <c r="A1790" t="s">
        <v>3407</v>
      </c>
      <c r="B1790" t="s">
        <v>359</v>
      </c>
      <c r="C1790" t="s">
        <v>7382</v>
      </c>
      <c r="D1790">
        <v>0.628016</v>
      </c>
    </row>
    <row r="1791" spans="1:4">
      <c r="A1791" t="s">
        <v>3408</v>
      </c>
      <c r="B1791" t="s">
        <v>359</v>
      </c>
      <c r="C1791" t="s">
        <v>7383</v>
      </c>
      <c r="D1791">
        <v>0.013954</v>
      </c>
    </row>
    <row r="1792" spans="1:4">
      <c r="A1792" t="s">
        <v>3409</v>
      </c>
      <c r="B1792" t="s">
        <v>359</v>
      </c>
      <c r="C1792" t="s">
        <v>7384</v>
      </c>
      <c r="D1792">
        <v>0.003423</v>
      </c>
    </row>
    <row r="1793" spans="1:4">
      <c r="A1793" t="s">
        <v>3410</v>
      </c>
      <c r="B1793" t="s">
        <v>359</v>
      </c>
      <c r="C1793" t="s">
        <v>7385</v>
      </c>
      <c r="D1793">
        <v>0.918567</v>
      </c>
    </row>
    <row r="1794" spans="1:4">
      <c r="A1794" t="s">
        <v>3411</v>
      </c>
      <c r="B1794" t="s">
        <v>359</v>
      </c>
      <c r="C1794" t="s">
        <v>7386</v>
      </c>
      <c r="D1794">
        <v>1.676282</v>
      </c>
    </row>
    <row r="1795" spans="1:4">
      <c r="A1795" t="s">
        <v>3412</v>
      </c>
      <c r="B1795" t="s">
        <v>359</v>
      </c>
      <c r="C1795" t="s">
        <v>7387</v>
      </c>
      <c r="D1795">
        <v>18.769087</v>
      </c>
    </row>
    <row r="1796" spans="1:4">
      <c r="A1796" t="s">
        <v>3413</v>
      </c>
      <c r="B1796" t="s">
        <v>359</v>
      </c>
      <c r="C1796" t="s">
        <v>7388</v>
      </c>
      <c r="D1796">
        <v>48.056518</v>
      </c>
    </row>
    <row r="1797" spans="1:4">
      <c r="A1797" t="s">
        <v>3414</v>
      </c>
      <c r="B1797" t="s">
        <v>359</v>
      </c>
      <c r="C1797" t="s">
        <v>7389</v>
      </c>
      <c r="D1797">
        <v>33.274936</v>
      </c>
    </row>
    <row r="1798" spans="1:4">
      <c r="A1798" t="s">
        <v>3415</v>
      </c>
      <c r="B1798" t="s">
        <v>359</v>
      </c>
      <c r="C1798" t="s">
        <v>7390</v>
      </c>
      <c r="D1798">
        <v>17.709647</v>
      </c>
    </row>
    <row r="1799" spans="1:4">
      <c r="A1799" t="s">
        <v>3416</v>
      </c>
      <c r="B1799" t="s">
        <v>359</v>
      </c>
      <c r="C1799" t="s">
        <v>7391</v>
      </c>
      <c r="D1799">
        <v>0.07330399999999999</v>
      </c>
    </row>
    <row r="1800" spans="1:4">
      <c r="A1800" t="s">
        <v>3417</v>
      </c>
      <c r="B1800" t="s">
        <v>359</v>
      </c>
      <c r="C1800" t="s">
        <v>7392</v>
      </c>
      <c r="D1800">
        <v>5.762999</v>
      </c>
    </row>
    <row r="1801" spans="1:4">
      <c r="A1801" t="s">
        <v>3418</v>
      </c>
      <c r="B1801" t="s">
        <v>359</v>
      </c>
      <c r="C1801" t="s">
        <v>7393</v>
      </c>
      <c r="D1801">
        <v>0.145749</v>
      </c>
    </row>
    <row r="1802" spans="1:4">
      <c r="A1802" t="s">
        <v>3419</v>
      </c>
      <c r="B1802" t="s">
        <v>359</v>
      </c>
      <c r="C1802" t="s">
        <v>7394</v>
      </c>
      <c r="D1802">
        <v>0.08584</v>
      </c>
    </row>
    <row r="1803" spans="1:4">
      <c r="A1803" t="s">
        <v>3420</v>
      </c>
      <c r="B1803" t="s">
        <v>359</v>
      </c>
      <c r="C1803" t="s">
        <v>7395</v>
      </c>
      <c r="D1803">
        <v>37.94393</v>
      </c>
    </row>
    <row r="1804" spans="1:4">
      <c r="A1804" t="s">
        <v>3421</v>
      </c>
      <c r="B1804" t="s">
        <v>359</v>
      </c>
      <c r="C1804" t="s">
        <v>7396</v>
      </c>
      <c r="D1804">
        <v>7.620819</v>
      </c>
    </row>
    <row r="1805" spans="1:4">
      <c r="A1805" t="s">
        <v>3422</v>
      </c>
      <c r="B1805" t="s">
        <v>359</v>
      </c>
      <c r="C1805" t="s">
        <v>7397</v>
      </c>
      <c r="D1805">
        <v>6.459038</v>
      </c>
    </row>
    <row r="1806" spans="1:4">
      <c r="A1806" t="s">
        <v>3423</v>
      </c>
      <c r="B1806" t="s">
        <v>359</v>
      </c>
      <c r="C1806" t="s">
        <v>7398</v>
      </c>
      <c r="D1806">
        <v>19.813155</v>
      </c>
    </row>
    <row r="1807" spans="1:4">
      <c r="A1807" t="s">
        <v>3424</v>
      </c>
      <c r="B1807" t="s">
        <v>359</v>
      </c>
      <c r="C1807" t="s">
        <v>7399</v>
      </c>
      <c r="D1807">
        <v>0.175617</v>
      </c>
    </row>
    <row r="1808" spans="1:4">
      <c r="A1808" t="s">
        <v>3425</v>
      </c>
      <c r="B1808" t="s">
        <v>359</v>
      </c>
      <c r="C1808" t="s">
        <v>7307</v>
      </c>
      <c r="D1808">
        <v>17.679967</v>
      </c>
    </row>
    <row r="1809" spans="1:4">
      <c r="A1809" t="s">
        <v>3426</v>
      </c>
      <c r="B1809" t="s">
        <v>359</v>
      </c>
      <c r="C1809" t="s">
        <v>7308</v>
      </c>
      <c r="D1809">
        <v>76.68419</v>
      </c>
    </row>
    <row r="1810" spans="1:4">
      <c r="A1810" t="s">
        <v>3427</v>
      </c>
      <c r="B1810" t="s">
        <v>359</v>
      </c>
      <c r="C1810" t="s">
        <v>7400</v>
      </c>
      <c r="D1810">
        <v>4.799588</v>
      </c>
    </row>
    <row r="1811" spans="1:4">
      <c r="A1811" t="s">
        <v>3428</v>
      </c>
      <c r="B1811" t="s">
        <v>359</v>
      </c>
      <c r="C1811" t="s">
        <v>7401</v>
      </c>
      <c r="D1811">
        <v>18.769087</v>
      </c>
    </row>
    <row r="1812" spans="1:4">
      <c r="A1812" t="s">
        <v>3429</v>
      </c>
      <c r="B1812" t="s">
        <v>359</v>
      </c>
      <c r="C1812" t="s">
        <v>7402</v>
      </c>
      <c r="D1812">
        <v>0.225241</v>
      </c>
    </row>
    <row r="1813" spans="1:4">
      <c r="A1813" t="s">
        <v>3430</v>
      </c>
      <c r="B1813" t="s">
        <v>359</v>
      </c>
      <c r="C1813" t="s">
        <v>7403</v>
      </c>
      <c r="D1813">
        <v>8.328635999999999</v>
      </c>
    </row>
    <row r="1814" spans="1:4">
      <c r="A1814" t="s">
        <v>3431</v>
      </c>
      <c r="B1814" t="s">
        <v>359</v>
      </c>
      <c r="C1814" t="s">
        <v>7309</v>
      </c>
      <c r="D1814">
        <v>32.885686</v>
      </c>
    </row>
    <row r="1815" spans="1:4">
      <c r="A1815" t="s">
        <v>3432</v>
      </c>
      <c r="B1815" t="s">
        <v>359</v>
      </c>
      <c r="C1815" t="s">
        <v>7404</v>
      </c>
      <c r="D1815">
        <v>2.00046</v>
      </c>
    </row>
    <row r="1816" spans="1:4">
      <c r="A1816" t="s">
        <v>3433</v>
      </c>
      <c r="B1816" t="s">
        <v>359</v>
      </c>
      <c r="C1816" t="s">
        <v>7310</v>
      </c>
      <c r="D1816">
        <v>179.940654</v>
      </c>
    </row>
    <row r="1817" spans="1:4">
      <c r="A1817" t="s">
        <v>3434</v>
      </c>
      <c r="B1817" t="s">
        <v>359</v>
      </c>
      <c r="C1817" t="s">
        <v>7405</v>
      </c>
      <c r="D1817">
        <v>796.684707</v>
      </c>
    </row>
    <row r="1818" spans="1:4">
      <c r="A1818" t="s">
        <v>3435</v>
      </c>
      <c r="B1818" t="s">
        <v>359</v>
      </c>
      <c r="C1818" t="s">
        <v>7406</v>
      </c>
      <c r="D1818">
        <v>306.322891</v>
      </c>
    </row>
    <row r="1819" spans="1:4">
      <c r="A1819" t="s">
        <v>3436</v>
      </c>
      <c r="B1819" t="s">
        <v>359</v>
      </c>
      <c r="C1819" t="s">
        <v>7407</v>
      </c>
      <c r="D1819">
        <v>89.901938</v>
      </c>
    </row>
    <row r="1820" spans="1:4">
      <c r="A1820" t="s">
        <v>3437</v>
      </c>
      <c r="B1820" t="s">
        <v>359</v>
      </c>
      <c r="C1820" t="s">
        <v>7408</v>
      </c>
      <c r="D1820">
        <v>70.13645</v>
      </c>
    </row>
    <row r="1821" spans="1:4">
      <c r="A1821" t="s">
        <v>3438</v>
      </c>
      <c r="B1821" t="s">
        <v>359</v>
      </c>
      <c r="C1821" t="s">
        <v>7311</v>
      </c>
      <c r="D1821">
        <v>4.958517</v>
      </c>
    </row>
    <row r="1822" spans="1:4">
      <c r="A1822" t="s">
        <v>3439</v>
      </c>
      <c r="B1822" t="s">
        <v>359</v>
      </c>
      <c r="C1822" t="s">
        <v>7409</v>
      </c>
      <c r="D1822">
        <v>1.098597</v>
      </c>
    </row>
    <row r="1823" spans="1:4">
      <c r="A1823" t="s">
        <v>3440</v>
      </c>
      <c r="B1823" t="s">
        <v>359</v>
      </c>
      <c r="C1823" t="s">
        <v>7312</v>
      </c>
      <c r="D1823">
        <v>83.815305</v>
      </c>
    </row>
    <row r="1824" spans="1:4">
      <c r="A1824" t="s">
        <v>3441</v>
      </c>
      <c r="B1824" t="s">
        <v>359</v>
      </c>
      <c r="C1824" t="s">
        <v>7410</v>
      </c>
      <c r="D1824">
        <v>0.050386</v>
      </c>
    </row>
    <row r="1825" spans="1:4">
      <c r="A1825" t="s">
        <v>3442</v>
      </c>
      <c r="B1825" t="s">
        <v>359</v>
      </c>
      <c r="C1825" t="s">
        <v>7411</v>
      </c>
      <c r="D1825">
        <v>84.154619</v>
      </c>
    </row>
    <row r="1826" spans="1:4">
      <c r="A1826" t="s">
        <v>3443</v>
      </c>
      <c r="B1826" t="s">
        <v>359</v>
      </c>
      <c r="C1826" t="s">
        <v>7313</v>
      </c>
      <c r="D1826">
        <v>67.617768</v>
      </c>
    </row>
    <row r="1827" spans="1:4">
      <c r="A1827" t="s">
        <v>3444</v>
      </c>
      <c r="B1827" t="s">
        <v>359</v>
      </c>
      <c r="C1827" t="s">
        <v>7412</v>
      </c>
      <c r="D1827">
        <v>3.029019</v>
      </c>
    </row>
    <row r="1828" spans="1:4">
      <c r="A1828" t="s">
        <v>3445</v>
      </c>
      <c r="B1828" t="s">
        <v>359</v>
      </c>
      <c r="C1828" t="s">
        <v>7413</v>
      </c>
      <c r="D1828">
        <v>4.156818</v>
      </c>
    </row>
    <row r="1829" spans="1:4">
      <c r="A1829" t="s">
        <v>3446</v>
      </c>
      <c r="B1829" t="s">
        <v>359</v>
      </c>
      <c r="C1829" t="s">
        <v>7414</v>
      </c>
      <c r="D1829">
        <v>0.209076</v>
      </c>
    </row>
    <row r="1830" spans="1:4">
      <c r="A1830" t="s">
        <v>3447</v>
      </c>
      <c r="B1830" t="s">
        <v>359</v>
      </c>
      <c r="C1830" t="s">
        <v>7415</v>
      </c>
      <c r="D1830">
        <v>81.68608500000001</v>
      </c>
    </row>
    <row r="1831" spans="1:4">
      <c r="A1831" t="s">
        <v>3448</v>
      </c>
      <c r="B1831" t="s">
        <v>359</v>
      </c>
      <c r="C1831" t="s">
        <v>7416</v>
      </c>
      <c r="D1831">
        <v>38.70046</v>
      </c>
    </row>
    <row r="1832" spans="1:4">
      <c r="A1832" t="s">
        <v>3449</v>
      </c>
      <c r="B1832" t="s">
        <v>359</v>
      </c>
      <c r="C1832" t="s">
        <v>7417</v>
      </c>
      <c r="D1832">
        <v>20.726788</v>
      </c>
    </row>
    <row r="1833" spans="1:4">
      <c r="A1833" t="s">
        <v>3450</v>
      </c>
      <c r="B1833" t="s">
        <v>359</v>
      </c>
      <c r="C1833" t="s">
        <v>7418</v>
      </c>
      <c r="D1833">
        <v>0.68383</v>
      </c>
    </row>
    <row r="1834" spans="1:4">
      <c r="A1834" t="s">
        <v>3451</v>
      </c>
      <c r="B1834" t="s">
        <v>359</v>
      </c>
      <c r="C1834" t="s">
        <v>7314</v>
      </c>
      <c r="D1834">
        <v>32.609454</v>
      </c>
    </row>
    <row r="1835" spans="1:4">
      <c r="A1835" t="s">
        <v>3452</v>
      </c>
      <c r="B1835" t="s">
        <v>359</v>
      </c>
      <c r="C1835" t="s">
        <v>7315</v>
      </c>
      <c r="D1835">
        <v>238.757056</v>
      </c>
    </row>
    <row r="1836" spans="1:4">
      <c r="A1836" t="s">
        <v>3453</v>
      </c>
      <c r="B1836" t="s">
        <v>359</v>
      </c>
      <c r="C1836" t="s">
        <v>7419</v>
      </c>
      <c r="D1836">
        <v>411.395693</v>
      </c>
    </row>
    <row r="1837" spans="1:4">
      <c r="A1837" t="s">
        <v>3454</v>
      </c>
      <c r="B1837" t="s">
        <v>359</v>
      </c>
      <c r="C1837" t="s">
        <v>7420</v>
      </c>
      <c r="D1837">
        <v>12.473913</v>
      </c>
    </row>
    <row r="1838" spans="1:4">
      <c r="A1838" t="s">
        <v>3455</v>
      </c>
      <c r="B1838" t="s">
        <v>359</v>
      </c>
      <c r="C1838" t="s">
        <v>7421</v>
      </c>
      <c r="D1838">
        <v>0.012475</v>
      </c>
    </row>
    <row r="1839" spans="1:4">
      <c r="A1839" t="s">
        <v>3456</v>
      </c>
      <c r="B1839" t="s">
        <v>359</v>
      </c>
      <c r="C1839" t="s">
        <v>7422</v>
      </c>
      <c r="D1839">
        <v>0.5353019999999999</v>
      </c>
    </row>
    <row r="1840" spans="1:4">
      <c r="A1840" t="s">
        <v>3457</v>
      </c>
      <c r="B1840" t="s">
        <v>359</v>
      </c>
      <c r="C1840" t="s">
        <v>7423</v>
      </c>
      <c r="D1840">
        <v>8.233874</v>
      </c>
    </row>
    <row r="1841" spans="1:4">
      <c r="A1841" t="s">
        <v>3458</v>
      </c>
      <c r="B1841" t="s">
        <v>359</v>
      </c>
      <c r="C1841" t="s">
        <v>7424</v>
      </c>
      <c r="D1841">
        <v>0.065177</v>
      </c>
    </row>
    <row r="1842" spans="1:4">
      <c r="A1842" t="s">
        <v>3459</v>
      </c>
      <c r="B1842" t="s">
        <v>359</v>
      </c>
      <c r="C1842" t="s">
        <v>7425</v>
      </c>
      <c r="D1842">
        <v>14.511303</v>
      </c>
    </row>
    <row r="1843" spans="1:4">
      <c r="A1843" t="s">
        <v>3460</v>
      </c>
      <c r="B1843" t="s">
        <v>359</v>
      </c>
      <c r="C1843" t="s">
        <v>7426</v>
      </c>
      <c r="D1843">
        <v>2.725386</v>
      </c>
    </row>
    <row r="1844" spans="1:4">
      <c r="A1844" t="s">
        <v>3461</v>
      </c>
      <c r="B1844" t="s">
        <v>359</v>
      </c>
      <c r="C1844" t="s">
        <v>7427</v>
      </c>
      <c r="D1844">
        <v>18.769087</v>
      </c>
    </row>
    <row r="1845" spans="1:4">
      <c r="A1845" t="s">
        <v>3462</v>
      </c>
      <c r="B1845" t="s">
        <v>359</v>
      </c>
      <c r="C1845" t="s">
        <v>7316</v>
      </c>
      <c r="D1845">
        <v>9.358883000000001</v>
      </c>
    </row>
    <row r="1846" spans="1:4">
      <c r="A1846" t="s">
        <v>3463</v>
      </c>
      <c r="B1846" t="s">
        <v>359</v>
      </c>
      <c r="C1846" t="s">
        <v>7428</v>
      </c>
      <c r="D1846">
        <v>33.140189</v>
      </c>
    </row>
    <row r="1847" spans="1:4">
      <c r="A1847" t="s">
        <v>3464</v>
      </c>
      <c r="B1847" t="s">
        <v>359</v>
      </c>
      <c r="C1847" t="s">
        <v>7429</v>
      </c>
      <c r="D1847">
        <v>87.459637</v>
      </c>
    </row>
    <row r="1848" spans="1:4">
      <c r="A1848" t="s">
        <v>3465</v>
      </c>
      <c r="B1848" t="s">
        <v>359</v>
      </c>
      <c r="C1848" t="s">
        <v>7430</v>
      </c>
      <c r="D1848">
        <v>105.171229</v>
      </c>
    </row>
    <row r="1849" spans="1:4">
      <c r="A1849" t="s">
        <v>3466</v>
      </c>
      <c r="B1849" t="s">
        <v>359</v>
      </c>
      <c r="C1849" t="s">
        <v>7431</v>
      </c>
      <c r="D1849">
        <v>129.636969</v>
      </c>
    </row>
    <row r="1850" spans="1:4">
      <c r="A1850" t="s">
        <v>3467</v>
      </c>
      <c r="B1850" t="s">
        <v>359</v>
      </c>
      <c r="C1850" t="s">
        <v>7317</v>
      </c>
      <c r="D1850">
        <v>6.659698</v>
      </c>
    </row>
    <row r="1851" spans="1:4">
      <c r="A1851" t="s">
        <v>3468</v>
      </c>
      <c r="B1851" t="s">
        <v>359</v>
      </c>
      <c r="C1851" t="s">
        <v>7432</v>
      </c>
      <c r="D1851">
        <v>41.913117</v>
      </c>
    </row>
    <row r="1852" spans="1:4">
      <c r="A1852" t="s">
        <v>3469</v>
      </c>
      <c r="B1852" t="s">
        <v>359</v>
      </c>
      <c r="C1852" t="s">
        <v>7433</v>
      </c>
      <c r="D1852">
        <v>218.672224</v>
      </c>
    </row>
    <row r="1853" spans="1:4">
      <c r="A1853" t="s">
        <v>3470</v>
      </c>
      <c r="B1853" t="s">
        <v>359</v>
      </c>
      <c r="C1853" t="s">
        <v>7434</v>
      </c>
      <c r="D1853">
        <v>9.734698</v>
      </c>
    </row>
    <row r="1854" spans="1:4">
      <c r="A1854" t="s">
        <v>3471</v>
      </c>
      <c r="B1854" t="s">
        <v>359</v>
      </c>
      <c r="C1854" t="s">
        <v>7435</v>
      </c>
      <c r="D1854">
        <v>0.117982</v>
      </c>
    </row>
    <row r="1855" spans="1:4">
      <c r="A1855" t="s">
        <v>3472</v>
      </c>
      <c r="B1855" t="s">
        <v>359</v>
      </c>
      <c r="C1855" t="s">
        <v>7436</v>
      </c>
      <c r="D1855">
        <v>6.90212</v>
      </c>
    </row>
    <row r="1856" spans="1:4">
      <c r="A1856" t="s">
        <v>3473</v>
      </c>
      <c r="B1856" t="s">
        <v>359</v>
      </c>
      <c r="C1856" t="s">
        <v>7437</v>
      </c>
      <c r="D1856">
        <v>0.082138</v>
      </c>
    </row>
    <row r="1857" spans="1:4">
      <c r="A1857" t="s">
        <v>3474</v>
      </c>
      <c r="B1857" t="s">
        <v>359</v>
      </c>
      <c r="C1857" t="s">
        <v>399</v>
      </c>
      <c r="D1857">
        <v>306.322627</v>
      </c>
    </row>
    <row r="1858" spans="1:4">
      <c r="A1858" t="s">
        <v>3475</v>
      </c>
      <c r="B1858" t="s">
        <v>359</v>
      </c>
      <c r="C1858" t="s">
        <v>7438</v>
      </c>
      <c r="D1858">
        <v>7.607867</v>
      </c>
    </row>
    <row r="1859" spans="1:4">
      <c r="A1859" t="s">
        <v>3476</v>
      </c>
      <c r="B1859" t="s">
        <v>359</v>
      </c>
      <c r="C1859" t="s">
        <v>7439</v>
      </c>
      <c r="D1859">
        <v>0.02567</v>
      </c>
    </row>
    <row r="1860" spans="1:4">
      <c r="A1860" t="s">
        <v>3477</v>
      </c>
      <c r="B1860" t="s">
        <v>359</v>
      </c>
      <c r="C1860" t="s">
        <v>7440</v>
      </c>
      <c r="D1860">
        <v>0.546539</v>
      </c>
    </row>
    <row r="1861" spans="1:4">
      <c r="A1861" t="s">
        <v>3478</v>
      </c>
      <c r="B1861" t="s">
        <v>359</v>
      </c>
      <c r="C1861" t="s">
        <v>7441</v>
      </c>
      <c r="D1861">
        <v>0.011711</v>
      </c>
    </row>
    <row r="1862" spans="1:4">
      <c r="A1862" t="s">
        <v>3479</v>
      </c>
      <c r="B1862" t="s">
        <v>359</v>
      </c>
      <c r="C1862" t="s">
        <v>7442</v>
      </c>
      <c r="D1862">
        <v>2.596998</v>
      </c>
    </row>
    <row r="1863" spans="1:4">
      <c r="A1863" t="s">
        <v>3480</v>
      </c>
      <c r="B1863" t="s">
        <v>359</v>
      </c>
      <c r="C1863" t="s">
        <v>7443</v>
      </c>
      <c r="D1863">
        <v>114.330206</v>
      </c>
    </row>
    <row r="1864" spans="1:4">
      <c r="A1864" t="s">
        <v>3481</v>
      </c>
      <c r="B1864" t="s">
        <v>359</v>
      </c>
      <c r="C1864" t="s">
        <v>7444</v>
      </c>
      <c r="D1864">
        <v>0.541997</v>
      </c>
    </row>
    <row r="1865" spans="1:4">
      <c r="A1865" t="s">
        <v>3482</v>
      </c>
      <c r="B1865" t="s">
        <v>359</v>
      </c>
      <c r="C1865" t="s">
        <v>7445</v>
      </c>
      <c r="D1865">
        <v>113.452908</v>
      </c>
    </row>
    <row r="1866" spans="1:4">
      <c r="A1866" t="s">
        <v>3483</v>
      </c>
      <c r="B1866" t="s">
        <v>359</v>
      </c>
      <c r="C1866" t="s">
        <v>7446</v>
      </c>
      <c r="D1866">
        <v>171.130116</v>
      </c>
    </row>
    <row r="1867" spans="1:4">
      <c r="A1867" t="s">
        <v>3484</v>
      </c>
      <c r="B1867" t="s">
        <v>359</v>
      </c>
      <c r="C1867" t="s">
        <v>7447</v>
      </c>
      <c r="D1867">
        <v>418.309785</v>
      </c>
    </row>
    <row r="1868" spans="1:4">
      <c r="A1868" t="s">
        <v>3485</v>
      </c>
      <c r="B1868" t="s">
        <v>359</v>
      </c>
      <c r="C1868" t="s">
        <v>7448</v>
      </c>
      <c r="D1868">
        <v>0.541997</v>
      </c>
    </row>
    <row r="1869" spans="1:4">
      <c r="A1869" t="s">
        <v>3486</v>
      </c>
      <c r="B1869" t="s">
        <v>359</v>
      </c>
      <c r="C1869" t="s">
        <v>7449</v>
      </c>
      <c r="D1869">
        <v>2.979309</v>
      </c>
    </row>
    <row r="1870" spans="1:4">
      <c r="A1870" t="s">
        <v>3487</v>
      </c>
      <c r="B1870" t="s">
        <v>359</v>
      </c>
      <c r="C1870" t="s">
        <v>7450</v>
      </c>
      <c r="D1870">
        <v>1.282976</v>
      </c>
    </row>
    <row r="1871" spans="1:4">
      <c r="A1871" t="s">
        <v>3488</v>
      </c>
      <c r="B1871" t="s">
        <v>359</v>
      </c>
      <c r="C1871" t="s">
        <v>7318</v>
      </c>
      <c r="D1871">
        <v>18.76904</v>
      </c>
    </row>
    <row r="1872" spans="1:4">
      <c r="A1872" t="s">
        <v>3489</v>
      </c>
      <c r="B1872" t="s">
        <v>359</v>
      </c>
      <c r="C1872" t="s">
        <v>7451</v>
      </c>
      <c r="D1872">
        <v>17.196352</v>
      </c>
    </row>
    <row r="1873" spans="1:4">
      <c r="A1873" t="s">
        <v>3490</v>
      </c>
      <c r="B1873" t="s">
        <v>359</v>
      </c>
      <c r="C1873" t="s">
        <v>7452</v>
      </c>
      <c r="D1873">
        <v>11.393085</v>
      </c>
    </row>
    <row r="1874" spans="1:4">
      <c r="A1874" t="s">
        <v>3491</v>
      </c>
      <c r="B1874" t="s">
        <v>359</v>
      </c>
      <c r="C1874" t="s">
        <v>7453</v>
      </c>
      <c r="D1874">
        <v>11.393085</v>
      </c>
    </row>
    <row r="1875" spans="1:4">
      <c r="A1875" t="s">
        <v>3492</v>
      </c>
      <c r="B1875" t="s">
        <v>360</v>
      </c>
      <c r="C1875" t="s">
        <v>397</v>
      </c>
      <c r="D1875">
        <v>355.037455</v>
      </c>
    </row>
    <row r="1876" spans="1:4">
      <c r="A1876" t="s">
        <v>3493</v>
      </c>
      <c r="B1876" t="s">
        <v>360</v>
      </c>
      <c r="C1876" t="s">
        <v>7319</v>
      </c>
      <c r="D1876">
        <v>83.656623</v>
      </c>
    </row>
    <row r="1877" spans="1:4">
      <c r="A1877" t="s">
        <v>3494</v>
      </c>
      <c r="B1877" t="s">
        <v>360</v>
      </c>
      <c r="C1877" t="s">
        <v>7320</v>
      </c>
      <c r="D1877">
        <v>4.84244</v>
      </c>
    </row>
    <row r="1878" spans="1:4">
      <c r="A1878" t="s">
        <v>3495</v>
      </c>
      <c r="B1878" t="s">
        <v>360</v>
      </c>
      <c r="C1878" t="s">
        <v>7321</v>
      </c>
      <c r="D1878">
        <v>3.722574</v>
      </c>
    </row>
    <row r="1879" spans="1:4">
      <c r="A1879" t="s">
        <v>3496</v>
      </c>
      <c r="B1879" t="s">
        <v>360</v>
      </c>
      <c r="C1879" t="s">
        <v>7322</v>
      </c>
      <c r="D1879">
        <v>0.827719</v>
      </c>
    </row>
    <row r="1880" spans="1:4">
      <c r="A1880" t="s">
        <v>3497</v>
      </c>
      <c r="B1880" t="s">
        <v>360</v>
      </c>
      <c r="C1880" t="s">
        <v>7323</v>
      </c>
      <c r="D1880">
        <v>171.636322</v>
      </c>
    </row>
    <row r="1881" spans="1:4">
      <c r="A1881" t="s">
        <v>3498</v>
      </c>
      <c r="B1881" t="s">
        <v>360</v>
      </c>
      <c r="C1881" t="s">
        <v>7324</v>
      </c>
      <c r="D1881">
        <v>0.323966</v>
      </c>
    </row>
    <row r="1882" spans="1:4">
      <c r="A1882" t="s">
        <v>3499</v>
      </c>
      <c r="B1882" t="s">
        <v>360</v>
      </c>
      <c r="C1882" t="s">
        <v>7325</v>
      </c>
      <c r="D1882">
        <v>0.212996</v>
      </c>
    </row>
    <row r="1883" spans="1:4">
      <c r="A1883" t="s">
        <v>3500</v>
      </c>
      <c r="B1883" t="s">
        <v>360</v>
      </c>
      <c r="C1883" t="s">
        <v>7292</v>
      </c>
      <c r="D1883">
        <v>217.309113</v>
      </c>
    </row>
    <row r="1884" spans="1:4">
      <c r="A1884" t="s">
        <v>3501</v>
      </c>
      <c r="B1884" t="s">
        <v>360</v>
      </c>
      <c r="C1884" t="s">
        <v>7326</v>
      </c>
      <c r="D1884">
        <v>171.636322</v>
      </c>
    </row>
    <row r="1885" spans="1:4">
      <c r="A1885" t="s">
        <v>3502</v>
      </c>
      <c r="B1885" t="s">
        <v>360</v>
      </c>
      <c r="C1885" t="s">
        <v>7327</v>
      </c>
      <c r="D1885">
        <v>179.563507</v>
      </c>
    </row>
    <row r="1886" spans="1:4">
      <c r="A1886" t="s">
        <v>3503</v>
      </c>
      <c r="B1886" t="s">
        <v>360</v>
      </c>
      <c r="C1886" t="s">
        <v>7328</v>
      </c>
      <c r="D1886">
        <v>181.527768</v>
      </c>
    </row>
    <row r="1887" spans="1:4">
      <c r="A1887" t="s">
        <v>3504</v>
      </c>
      <c r="B1887" t="s">
        <v>360</v>
      </c>
      <c r="C1887" t="s">
        <v>7329</v>
      </c>
      <c r="D1887">
        <v>153.614472</v>
      </c>
    </row>
    <row r="1888" spans="1:4">
      <c r="A1888" t="s">
        <v>3505</v>
      </c>
      <c r="B1888" t="s">
        <v>360</v>
      </c>
      <c r="C1888" t="s">
        <v>7330</v>
      </c>
      <c r="D1888">
        <v>2.504888</v>
      </c>
    </row>
    <row r="1889" spans="1:4">
      <c r="A1889" t="s">
        <v>3506</v>
      </c>
      <c r="B1889" t="s">
        <v>360</v>
      </c>
      <c r="C1889" t="s">
        <v>398</v>
      </c>
      <c r="D1889">
        <v>181.527768</v>
      </c>
    </row>
    <row r="1890" spans="1:4">
      <c r="A1890" t="s">
        <v>3507</v>
      </c>
      <c r="B1890" t="s">
        <v>360</v>
      </c>
      <c r="C1890" t="s">
        <v>7331</v>
      </c>
      <c r="D1890">
        <v>817.098467</v>
      </c>
    </row>
    <row r="1891" spans="1:4">
      <c r="A1891" t="s">
        <v>3508</v>
      </c>
      <c r="B1891" t="s">
        <v>360</v>
      </c>
      <c r="C1891" t="s">
        <v>7332</v>
      </c>
      <c r="D1891">
        <v>0.102282</v>
      </c>
    </row>
    <row r="1892" spans="1:4">
      <c r="A1892" t="s">
        <v>3509</v>
      </c>
      <c r="B1892" t="s">
        <v>360</v>
      </c>
      <c r="C1892" t="s">
        <v>7333</v>
      </c>
      <c r="D1892">
        <v>307.228944</v>
      </c>
    </row>
    <row r="1893" spans="1:4">
      <c r="A1893" t="s">
        <v>3510</v>
      </c>
      <c r="B1893" t="s">
        <v>360</v>
      </c>
      <c r="C1893" t="s">
        <v>7334</v>
      </c>
      <c r="D1893">
        <v>238.329917</v>
      </c>
    </row>
    <row r="1894" spans="1:4">
      <c r="A1894" t="s">
        <v>3511</v>
      </c>
      <c r="B1894" t="s">
        <v>360</v>
      </c>
      <c r="C1894" t="s">
        <v>7335</v>
      </c>
      <c r="D1894">
        <v>44.144853</v>
      </c>
    </row>
    <row r="1895" spans="1:4">
      <c r="A1895" t="s">
        <v>3512</v>
      </c>
      <c r="B1895" t="s">
        <v>360</v>
      </c>
      <c r="C1895" t="s">
        <v>7293</v>
      </c>
      <c r="D1895">
        <v>60.105944</v>
      </c>
    </row>
    <row r="1896" spans="1:4">
      <c r="A1896" t="s">
        <v>3513</v>
      </c>
      <c r="B1896" t="s">
        <v>360</v>
      </c>
      <c r="C1896" t="s">
        <v>7336</v>
      </c>
      <c r="D1896">
        <v>307.228944</v>
      </c>
    </row>
    <row r="1897" spans="1:4">
      <c r="A1897" t="s">
        <v>3514</v>
      </c>
      <c r="B1897" t="s">
        <v>360</v>
      </c>
      <c r="C1897" t="s">
        <v>7337</v>
      </c>
      <c r="D1897">
        <v>3.218426</v>
      </c>
    </row>
    <row r="1898" spans="1:4">
      <c r="A1898" t="s">
        <v>3515</v>
      </c>
      <c r="B1898" t="s">
        <v>360</v>
      </c>
      <c r="C1898" t="s">
        <v>7338</v>
      </c>
      <c r="D1898">
        <v>21.523239</v>
      </c>
    </row>
    <row r="1899" spans="1:4">
      <c r="A1899" t="s">
        <v>3516</v>
      </c>
      <c r="B1899" t="s">
        <v>360</v>
      </c>
      <c r="C1899" t="s">
        <v>7339</v>
      </c>
      <c r="D1899">
        <v>108.815703</v>
      </c>
    </row>
    <row r="1900" spans="1:4">
      <c r="A1900" t="s">
        <v>3517</v>
      </c>
      <c r="B1900" t="s">
        <v>360</v>
      </c>
      <c r="C1900" t="s">
        <v>7340</v>
      </c>
      <c r="D1900">
        <v>153.614472</v>
      </c>
    </row>
    <row r="1901" spans="1:4">
      <c r="A1901" t="s">
        <v>3518</v>
      </c>
      <c r="B1901" t="s">
        <v>360</v>
      </c>
      <c r="C1901" t="s">
        <v>7294</v>
      </c>
      <c r="D1901">
        <v>220.680803</v>
      </c>
    </row>
    <row r="1902" spans="1:4">
      <c r="A1902" t="s">
        <v>3519</v>
      </c>
      <c r="B1902" t="s">
        <v>360</v>
      </c>
      <c r="C1902" t="s">
        <v>7341</v>
      </c>
      <c r="D1902">
        <v>0.132549</v>
      </c>
    </row>
    <row r="1903" spans="1:4">
      <c r="A1903" t="s">
        <v>3520</v>
      </c>
      <c r="B1903" t="s">
        <v>360</v>
      </c>
      <c r="C1903" t="s">
        <v>7295</v>
      </c>
      <c r="D1903">
        <v>386.919633</v>
      </c>
    </row>
    <row r="1904" spans="1:4">
      <c r="A1904" t="s">
        <v>3521</v>
      </c>
      <c r="B1904" t="s">
        <v>360</v>
      </c>
      <c r="C1904" t="s">
        <v>7342</v>
      </c>
      <c r="D1904">
        <v>13477.487568</v>
      </c>
    </row>
    <row r="1905" spans="1:4">
      <c r="A1905" t="s">
        <v>3522</v>
      </c>
      <c r="B1905" t="s">
        <v>360</v>
      </c>
      <c r="C1905" t="s">
        <v>7343</v>
      </c>
      <c r="D1905">
        <v>0.34098</v>
      </c>
    </row>
    <row r="1906" spans="1:4">
      <c r="A1906" t="s">
        <v>3523</v>
      </c>
      <c r="B1906" t="s">
        <v>360</v>
      </c>
      <c r="C1906" t="s">
        <v>7344</v>
      </c>
      <c r="D1906">
        <v>45.306662</v>
      </c>
    </row>
    <row r="1907" spans="1:4">
      <c r="A1907" t="s">
        <v>3524</v>
      </c>
      <c r="B1907" t="s">
        <v>360</v>
      </c>
      <c r="C1907" t="s">
        <v>7296</v>
      </c>
      <c r="D1907">
        <v>45.241135</v>
      </c>
    </row>
    <row r="1908" spans="1:4">
      <c r="A1908" t="s">
        <v>3525</v>
      </c>
      <c r="B1908" t="s">
        <v>360</v>
      </c>
      <c r="C1908" t="s">
        <v>7345</v>
      </c>
      <c r="D1908">
        <v>0.085617</v>
      </c>
    </row>
    <row r="1909" spans="1:4">
      <c r="A1909" t="s">
        <v>3526</v>
      </c>
      <c r="B1909" t="s">
        <v>360</v>
      </c>
      <c r="C1909" t="s">
        <v>7346</v>
      </c>
      <c r="D1909">
        <v>0.665473</v>
      </c>
    </row>
    <row r="1910" spans="1:4">
      <c r="A1910" t="s">
        <v>3527</v>
      </c>
      <c r="B1910" t="s">
        <v>360</v>
      </c>
      <c r="C1910" t="s">
        <v>7347</v>
      </c>
      <c r="D1910">
        <v>12.801207</v>
      </c>
    </row>
    <row r="1911" spans="1:4">
      <c r="A1911" t="s">
        <v>3528</v>
      </c>
      <c r="B1911" t="s">
        <v>360</v>
      </c>
      <c r="C1911" t="s">
        <v>7348</v>
      </c>
      <c r="D1911">
        <v>3.219856</v>
      </c>
    </row>
    <row r="1912" spans="1:4">
      <c r="A1912" t="s">
        <v>3529</v>
      </c>
      <c r="B1912" t="s">
        <v>360</v>
      </c>
      <c r="C1912" t="s">
        <v>7297</v>
      </c>
      <c r="D1912">
        <v>14.677174</v>
      </c>
    </row>
    <row r="1913" spans="1:4">
      <c r="A1913" t="s">
        <v>3530</v>
      </c>
      <c r="B1913" t="s">
        <v>360</v>
      </c>
      <c r="C1913" t="s">
        <v>7349</v>
      </c>
      <c r="D1913">
        <v>1.728715</v>
      </c>
    </row>
    <row r="1914" spans="1:4">
      <c r="A1914" t="s">
        <v>3531</v>
      </c>
      <c r="B1914" t="s">
        <v>360</v>
      </c>
      <c r="C1914" t="s">
        <v>7298</v>
      </c>
      <c r="D1914">
        <v>47.581838</v>
      </c>
    </row>
    <row r="1915" spans="1:4">
      <c r="A1915" t="s">
        <v>3532</v>
      </c>
      <c r="B1915" t="s">
        <v>360</v>
      </c>
      <c r="C1915" t="s">
        <v>7350</v>
      </c>
      <c r="D1915">
        <v>5.253762</v>
      </c>
    </row>
    <row r="1916" spans="1:4">
      <c r="A1916" t="s">
        <v>3533</v>
      </c>
      <c r="B1916" t="s">
        <v>360</v>
      </c>
      <c r="C1916" t="s">
        <v>7351</v>
      </c>
      <c r="D1916">
        <v>2.291717</v>
      </c>
    </row>
    <row r="1917" spans="1:4">
      <c r="A1917" t="s">
        <v>3534</v>
      </c>
      <c r="B1917" t="s">
        <v>360</v>
      </c>
      <c r="C1917" t="s">
        <v>7352</v>
      </c>
      <c r="D1917">
        <v>5.900704</v>
      </c>
    </row>
    <row r="1918" spans="1:4">
      <c r="A1918" t="s">
        <v>3535</v>
      </c>
      <c r="B1918" t="s">
        <v>360</v>
      </c>
      <c r="C1918" t="s">
        <v>7353</v>
      </c>
      <c r="D1918">
        <v>20.481931</v>
      </c>
    </row>
    <row r="1919" spans="1:4">
      <c r="A1919" t="s">
        <v>3536</v>
      </c>
      <c r="B1919" t="s">
        <v>360</v>
      </c>
      <c r="C1919" t="s">
        <v>7354</v>
      </c>
      <c r="D1919">
        <v>1.905773</v>
      </c>
    </row>
    <row r="1920" spans="1:4">
      <c r="A1920" t="s">
        <v>3537</v>
      </c>
      <c r="B1920" t="s">
        <v>360</v>
      </c>
      <c r="C1920" t="s">
        <v>7355</v>
      </c>
      <c r="D1920">
        <v>138.728341</v>
      </c>
    </row>
    <row r="1921" spans="1:4">
      <c r="A1921" t="s">
        <v>3538</v>
      </c>
      <c r="B1921" t="s">
        <v>360</v>
      </c>
      <c r="C1921" t="s">
        <v>7356</v>
      </c>
      <c r="D1921">
        <v>410.785576</v>
      </c>
    </row>
    <row r="1922" spans="1:4">
      <c r="A1922" t="s">
        <v>3539</v>
      </c>
      <c r="B1922" t="s">
        <v>360</v>
      </c>
      <c r="C1922" t="s">
        <v>7357</v>
      </c>
      <c r="D1922">
        <v>47.581845</v>
      </c>
    </row>
    <row r="1923" spans="1:4">
      <c r="A1923" t="s">
        <v>3540</v>
      </c>
      <c r="B1923" t="s">
        <v>360</v>
      </c>
      <c r="C1923" t="s">
        <v>7299</v>
      </c>
      <c r="D1923">
        <v>410.78415</v>
      </c>
    </row>
    <row r="1924" spans="1:4">
      <c r="A1924" t="s">
        <v>3541</v>
      </c>
      <c r="B1924" t="s">
        <v>360</v>
      </c>
      <c r="C1924" t="s">
        <v>7358</v>
      </c>
      <c r="D1924">
        <v>114.586466</v>
      </c>
    </row>
    <row r="1925" spans="1:4">
      <c r="A1925" t="s">
        <v>3542</v>
      </c>
      <c r="B1925" t="s">
        <v>360</v>
      </c>
      <c r="C1925" t="s">
        <v>7359</v>
      </c>
      <c r="D1925">
        <v>410.785576</v>
      </c>
    </row>
    <row r="1926" spans="1:4">
      <c r="A1926" t="s">
        <v>3543</v>
      </c>
      <c r="B1926" t="s">
        <v>360</v>
      </c>
      <c r="C1926" t="s">
        <v>7360</v>
      </c>
      <c r="D1926">
        <v>25.995254</v>
      </c>
    </row>
    <row r="1927" spans="1:4">
      <c r="A1927" t="s">
        <v>3544</v>
      </c>
      <c r="B1927" t="s">
        <v>360</v>
      </c>
      <c r="C1927" t="s">
        <v>7361</v>
      </c>
      <c r="D1927">
        <v>410.785576</v>
      </c>
    </row>
    <row r="1928" spans="1:4">
      <c r="A1928" t="s">
        <v>3545</v>
      </c>
      <c r="B1928" t="s">
        <v>360</v>
      </c>
      <c r="C1928" t="s">
        <v>7362</v>
      </c>
      <c r="D1928">
        <v>4.130644</v>
      </c>
    </row>
    <row r="1929" spans="1:4">
      <c r="A1929" t="s">
        <v>3546</v>
      </c>
      <c r="B1929" t="s">
        <v>360</v>
      </c>
      <c r="C1929" t="s">
        <v>7363</v>
      </c>
      <c r="D1929">
        <v>0.034951</v>
      </c>
    </row>
    <row r="1930" spans="1:4">
      <c r="A1930" t="s">
        <v>3547</v>
      </c>
      <c r="B1930" t="s">
        <v>360</v>
      </c>
      <c r="C1930" t="s">
        <v>7364</v>
      </c>
      <c r="D1930">
        <v>40.089006</v>
      </c>
    </row>
    <row r="1931" spans="1:4">
      <c r="A1931" t="s">
        <v>3548</v>
      </c>
      <c r="B1931" t="s">
        <v>360</v>
      </c>
      <c r="C1931" t="s">
        <v>7365</v>
      </c>
      <c r="D1931">
        <v>1.462023</v>
      </c>
    </row>
    <row r="1932" spans="1:4">
      <c r="A1932" t="s">
        <v>3549</v>
      </c>
      <c r="B1932" t="s">
        <v>360</v>
      </c>
      <c r="C1932" t="s">
        <v>7300</v>
      </c>
      <c r="D1932">
        <v>39.186047</v>
      </c>
    </row>
    <row r="1933" spans="1:4">
      <c r="A1933" t="s">
        <v>3550</v>
      </c>
      <c r="B1933" t="s">
        <v>360</v>
      </c>
      <c r="C1933" t="s">
        <v>7366</v>
      </c>
      <c r="D1933">
        <v>11.482451</v>
      </c>
    </row>
    <row r="1934" spans="1:4">
      <c r="A1934" t="s">
        <v>3551</v>
      </c>
      <c r="B1934" t="s">
        <v>360</v>
      </c>
      <c r="C1934" t="s">
        <v>7367</v>
      </c>
      <c r="D1934">
        <v>47.121568</v>
      </c>
    </row>
    <row r="1935" spans="1:4">
      <c r="A1935" t="s">
        <v>3552</v>
      </c>
      <c r="B1935" t="s">
        <v>360</v>
      </c>
      <c r="C1935" t="s">
        <v>7368</v>
      </c>
      <c r="D1935">
        <v>2.340035</v>
      </c>
    </row>
    <row r="1936" spans="1:4">
      <c r="A1936" t="s">
        <v>3553</v>
      </c>
      <c r="B1936" t="s">
        <v>360</v>
      </c>
      <c r="C1936" t="s">
        <v>7301</v>
      </c>
      <c r="D1936">
        <v>0.016953</v>
      </c>
    </row>
    <row r="1937" spans="1:4">
      <c r="A1937" t="s">
        <v>3554</v>
      </c>
      <c r="B1937" t="s">
        <v>360</v>
      </c>
      <c r="C1937" t="s">
        <v>7302</v>
      </c>
      <c r="D1937">
        <v>104.77903</v>
      </c>
    </row>
    <row r="1938" spans="1:4">
      <c r="A1938" t="s">
        <v>3555</v>
      </c>
      <c r="B1938" t="s">
        <v>360</v>
      </c>
      <c r="C1938" t="s">
        <v>7369</v>
      </c>
      <c r="D1938">
        <v>410.785576</v>
      </c>
    </row>
    <row r="1939" spans="1:4">
      <c r="A1939" t="s">
        <v>3556</v>
      </c>
      <c r="B1939" t="s">
        <v>360</v>
      </c>
      <c r="C1939" t="s">
        <v>7303</v>
      </c>
      <c r="D1939">
        <v>3.218364</v>
      </c>
    </row>
    <row r="1940" spans="1:4">
      <c r="A1940" t="s">
        <v>3557</v>
      </c>
      <c r="B1940" t="s">
        <v>360</v>
      </c>
      <c r="C1940" t="s">
        <v>7370</v>
      </c>
      <c r="D1940">
        <v>0.233206</v>
      </c>
    </row>
    <row r="1941" spans="1:4">
      <c r="A1941" t="s">
        <v>3558</v>
      </c>
      <c r="B1941" t="s">
        <v>360</v>
      </c>
      <c r="C1941" t="s">
        <v>7371</v>
      </c>
      <c r="D1941">
        <v>0.000222</v>
      </c>
    </row>
    <row r="1942" spans="1:4">
      <c r="A1942" t="s">
        <v>3559</v>
      </c>
      <c r="B1942" t="s">
        <v>360</v>
      </c>
      <c r="C1942" t="s">
        <v>7304</v>
      </c>
      <c r="D1942">
        <v>2.47243</v>
      </c>
    </row>
    <row r="1943" spans="1:4">
      <c r="A1943" t="s">
        <v>3560</v>
      </c>
      <c r="B1943" t="s">
        <v>360</v>
      </c>
      <c r="C1943" t="s">
        <v>7372</v>
      </c>
      <c r="D1943">
        <v>410.785576</v>
      </c>
    </row>
    <row r="1944" spans="1:4">
      <c r="A1944" t="s">
        <v>3561</v>
      </c>
      <c r="B1944" t="s">
        <v>360</v>
      </c>
      <c r="C1944" t="s">
        <v>7373</v>
      </c>
      <c r="D1944">
        <v>1.925721</v>
      </c>
    </row>
    <row r="1945" spans="1:4">
      <c r="A1945" t="s">
        <v>3562</v>
      </c>
      <c r="B1945" t="s">
        <v>360</v>
      </c>
      <c r="C1945" t="s">
        <v>7374</v>
      </c>
      <c r="D1945">
        <v>433.327094</v>
      </c>
    </row>
    <row r="1946" spans="1:4">
      <c r="A1946" t="s">
        <v>3563</v>
      </c>
      <c r="B1946" t="s">
        <v>360</v>
      </c>
      <c r="C1946" t="s">
        <v>7305</v>
      </c>
      <c r="D1946">
        <v>1.917964</v>
      </c>
    </row>
    <row r="1947" spans="1:4">
      <c r="A1947" t="s">
        <v>3564</v>
      </c>
      <c r="B1947" t="s">
        <v>360</v>
      </c>
      <c r="C1947" t="s">
        <v>7375</v>
      </c>
      <c r="D1947">
        <v>2.366704</v>
      </c>
    </row>
    <row r="1948" spans="1:4">
      <c r="A1948" t="s">
        <v>3565</v>
      </c>
      <c r="B1948" t="s">
        <v>360</v>
      </c>
      <c r="C1948" t="s">
        <v>7376</v>
      </c>
      <c r="D1948">
        <v>3.488409</v>
      </c>
    </row>
    <row r="1949" spans="1:4">
      <c r="A1949" t="s">
        <v>3566</v>
      </c>
      <c r="B1949" t="s">
        <v>360</v>
      </c>
      <c r="C1949" t="s">
        <v>7377</v>
      </c>
      <c r="D1949">
        <v>0.075742</v>
      </c>
    </row>
    <row r="1950" spans="1:4">
      <c r="A1950" t="s">
        <v>3567</v>
      </c>
      <c r="B1950" t="s">
        <v>360</v>
      </c>
      <c r="C1950" t="s">
        <v>7378</v>
      </c>
      <c r="D1950">
        <v>217.289562</v>
      </c>
    </row>
    <row r="1951" spans="1:4">
      <c r="A1951" t="s">
        <v>3568</v>
      </c>
      <c r="B1951" t="s">
        <v>360</v>
      </c>
      <c r="C1951" t="s">
        <v>7379</v>
      </c>
      <c r="D1951">
        <v>0.721668</v>
      </c>
    </row>
    <row r="1952" spans="1:4">
      <c r="A1952" t="s">
        <v>3569</v>
      </c>
      <c r="B1952" t="s">
        <v>360</v>
      </c>
      <c r="C1952" t="s">
        <v>7306</v>
      </c>
      <c r="D1952">
        <v>0.197999</v>
      </c>
    </row>
    <row r="1953" spans="1:4">
      <c r="A1953" t="s">
        <v>3570</v>
      </c>
      <c r="B1953" t="s">
        <v>360</v>
      </c>
      <c r="C1953" t="s">
        <v>7380</v>
      </c>
      <c r="D1953">
        <v>995.632174</v>
      </c>
    </row>
    <row r="1954" spans="1:4">
      <c r="A1954" t="s">
        <v>3571</v>
      </c>
      <c r="B1954" t="s">
        <v>360</v>
      </c>
      <c r="C1954" t="s">
        <v>7381</v>
      </c>
      <c r="D1954">
        <v>368.674733</v>
      </c>
    </row>
    <row r="1955" spans="1:4">
      <c r="A1955" t="s">
        <v>3572</v>
      </c>
      <c r="B1955" t="s">
        <v>360</v>
      </c>
      <c r="C1955" t="s">
        <v>7382</v>
      </c>
      <c r="D1955">
        <v>0.630023</v>
      </c>
    </row>
    <row r="1956" spans="1:4">
      <c r="A1956" t="s">
        <v>3573</v>
      </c>
      <c r="B1956" t="s">
        <v>360</v>
      </c>
      <c r="C1956" t="s">
        <v>7383</v>
      </c>
      <c r="D1956">
        <v>0.013936</v>
      </c>
    </row>
    <row r="1957" spans="1:4">
      <c r="A1957" t="s">
        <v>3574</v>
      </c>
      <c r="B1957" t="s">
        <v>360</v>
      </c>
      <c r="C1957" t="s">
        <v>7384</v>
      </c>
      <c r="D1957">
        <v>0.003433</v>
      </c>
    </row>
    <row r="1958" spans="1:4">
      <c r="A1958" t="s">
        <v>3575</v>
      </c>
      <c r="B1958" t="s">
        <v>360</v>
      </c>
      <c r="C1958" t="s">
        <v>7385</v>
      </c>
      <c r="D1958">
        <v>0.911671</v>
      </c>
    </row>
    <row r="1959" spans="1:4">
      <c r="A1959" t="s">
        <v>3576</v>
      </c>
      <c r="B1959" t="s">
        <v>360</v>
      </c>
      <c r="C1959" t="s">
        <v>7386</v>
      </c>
      <c r="D1959">
        <v>1.674492</v>
      </c>
    </row>
    <row r="1960" spans="1:4">
      <c r="A1960" t="s">
        <v>3577</v>
      </c>
      <c r="B1960" t="s">
        <v>360</v>
      </c>
      <c r="C1960" t="s">
        <v>7387</v>
      </c>
      <c r="D1960">
        <v>18.658757</v>
      </c>
    </row>
    <row r="1961" spans="1:4">
      <c r="A1961" t="s">
        <v>3578</v>
      </c>
      <c r="B1961" t="s">
        <v>360</v>
      </c>
      <c r="C1961" t="s">
        <v>7388</v>
      </c>
      <c r="D1961">
        <v>48.000608</v>
      </c>
    </row>
    <row r="1962" spans="1:4">
      <c r="A1962" t="s">
        <v>3579</v>
      </c>
      <c r="B1962" t="s">
        <v>360</v>
      </c>
      <c r="C1962" t="s">
        <v>7389</v>
      </c>
      <c r="D1962">
        <v>33.260071</v>
      </c>
    </row>
    <row r="1963" spans="1:4">
      <c r="A1963" t="s">
        <v>3580</v>
      </c>
      <c r="B1963" t="s">
        <v>360</v>
      </c>
      <c r="C1963" t="s">
        <v>7390</v>
      </c>
      <c r="D1963">
        <v>17.63858</v>
      </c>
    </row>
    <row r="1964" spans="1:4">
      <c r="A1964" t="s">
        <v>3581</v>
      </c>
      <c r="B1964" t="s">
        <v>360</v>
      </c>
      <c r="C1964" t="s">
        <v>7391</v>
      </c>
      <c r="D1964">
        <v>0.073311</v>
      </c>
    </row>
    <row r="1965" spans="1:4">
      <c r="A1965" t="s">
        <v>3582</v>
      </c>
      <c r="B1965" t="s">
        <v>360</v>
      </c>
      <c r="C1965" t="s">
        <v>7392</v>
      </c>
      <c r="D1965">
        <v>5.756614</v>
      </c>
    </row>
    <row r="1966" spans="1:4">
      <c r="A1966" t="s">
        <v>3583</v>
      </c>
      <c r="B1966" t="s">
        <v>360</v>
      </c>
      <c r="C1966" t="s">
        <v>7393</v>
      </c>
      <c r="D1966">
        <v>0.145499</v>
      </c>
    </row>
    <row r="1967" spans="1:4">
      <c r="A1967" t="s">
        <v>3584</v>
      </c>
      <c r="B1967" t="s">
        <v>360</v>
      </c>
      <c r="C1967" t="s">
        <v>7394</v>
      </c>
      <c r="D1967">
        <v>0.086835</v>
      </c>
    </row>
    <row r="1968" spans="1:4">
      <c r="A1968" t="s">
        <v>3585</v>
      </c>
      <c r="B1968" t="s">
        <v>360</v>
      </c>
      <c r="C1968" t="s">
        <v>7395</v>
      </c>
      <c r="D1968">
        <v>38.02169</v>
      </c>
    </row>
    <row r="1969" spans="1:4">
      <c r="A1969" t="s">
        <v>3586</v>
      </c>
      <c r="B1969" t="s">
        <v>360</v>
      </c>
      <c r="C1969" t="s">
        <v>7396</v>
      </c>
      <c r="D1969">
        <v>7.645973</v>
      </c>
    </row>
    <row r="1970" spans="1:4">
      <c r="A1970" t="s">
        <v>3587</v>
      </c>
      <c r="B1970" t="s">
        <v>360</v>
      </c>
      <c r="C1970" t="s">
        <v>7397</v>
      </c>
      <c r="D1970">
        <v>6.427652</v>
      </c>
    </row>
    <row r="1971" spans="1:4">
      <c r="A1971" t="s">
        <v>3588</v>
      </c>
      <c r="B1971" t="s">
        <v>360</v>
      </c>
      <c r="C1971" t="s">
        <v>7398</v>
      </c>
      <c r="D1971">
        <v>19.783157</v>
      </c>
    </row>
    <row r="1972" spans="1:4">
      <c r="A1972" t="s">
        <v>3589</v>
      </c>
      <c r="B1972" t="s">
        <v>360</v>
      </c>
      <c r="C1972" t="s">
        <v>7399</v>
      </c>
      <c r="D1972">
        <v>0.175428</v>
      </c>
    </row>
    <row r="1973" spans="1:4">
      <c r="A1973" t="s">
        <v>3590</v>
      </c>
      <c r="B1973" t="s">
        <v>360</v>
      </c>
      <c r="C1973" t="s">
        <v>7307</v>
      </c>
      <c r="D1973">
        <v>17.626472</v>
      </c>
    </row>
    <row r="1974" spans="1:4">
      <c r="A1974" t="s">
        <v>3591</v>
      </c>
      <c r="B1974" t="s">
        <v>360</v>
      </c>
      <c r="C1974" t="s">
        <v>7308</v>
      </c>
      <c r="D1974">
        <v>76.159711</v>
      </c>
    </row>
    <row r="1975" spans="1:4">
      <c r="A1975" t="s">
        <v>3592</v>
      </c>
      <c r="B1975" t="s">
        <v>360</v>
      </c>
      <c r="C1975" t="s">
        <v>7400</v>
      </c>
      <c r="D1975">
        <v>4.79879</v>
      </c>
    </row>
    <row r="1976" spans="1:4">
      <c r="A1976" t="s">
        <v>3593</v>
      </c>
      <c r="B1976" t="s">
        <v>360</v>
      </c>
      <c r="C1976" t="s">
        <v>7401</v>
      </c>
      <c r="D1976">
        <v>18.658757</v>
      </c>
    </row>
    <row r="1977" spans="1:4">
      <c r="A1977" t="s">
        <v>3594</v>
      </c>
      <c r="B1977" t="s">
        <v>360</v>
      </c>
      <c r="C1977" t="s">
        <v>7402</v>
      </c>
      <c r="D1977">
        <v>0.227192</v>
      </c>
    </row>
    <row r="1978" spans="1:4">
      <c r="A1978" t="s">
        <v>3595</v>
      </c>
      <c r="B1978" t="s">
        <v>360</v>
      </c>
      <c r="C1978" t="s">
        <v>7403</v>
      </c>
      <c r="D1978">
        <v>8.305716</v>
      </c>
    </row>
    <row r="1979" spans="1:4">
      <c r="A1979" t="s">
        <v>3596</v>
      </c>
      <c r="B1979" t="s">
        <v>360</v>
      </c>
      <c r="C1979" t="s">
        <v>7309</v>
      </c>
      <c r="D1979">
        <v>32.613564</v>
      </c>
    </row>
    <row r="1980" spans="1:4">
      <c r="A1980" t="s">
        <v>3597</v>
      </c>
      <c r="B1980" t="s">
        <v>360</v>
      </c>
      <c r="C1980" t="s">
        <v>7404</v>
      </c>
      <c r="D1980">
        <v>2.011516</v>
      </c>
    </row>
    <row r="1981" spans="1:4">
      <c r="A1981" t="s">
        <v>3598</v>
      </c>
      <c r="B1981" t="s">
        <v>360</v>
      </c>
      <c r="C1981" t="s">
        <v>7310</v>
      </c>
      <c r="D1981">
        <v>178.791274</v>
      </c>
    </row>
    <row r="1982" spans="1:4">
      <c r="A1982" t="s">
        <v>3599</v>
      </c>
      <c r="B1982" t="s">
        <v>360</v>
      </c>
      <c r="C1982" t="s">
        <v>7405</v>
      </c>
      <c r="D1982">
        <v>799.041825</v>
      </c>
    </row>
    <row r="1983" spans="1:4">
      <c r="A1983" t="s">
        <v>3600</v>
      </c>
      <c r="B1983" t="s">
        <v>360</v>
      </c>
      <c r="C1983" t="s">
        <v>7406</v>
      </c>
      <c r="D1983">
        <v>307.228944</v>
      </c>
    </row>
    <row r="1984" spans="1:4">
      <c r="A1984" t="s">
        <v>3601</v>
      </c>
      <c r="B1984" t="s">
        <v>360</v>
      </c>
      <c r="C1984" t="s">
        <v>7407</v>
      </c>
      <c r="D1984">
        <v>89.320183</v>
      </c>
    </row>
    <row r="1985" spans="1:4">
      <c r="A1985" t="s">
        <v>3602</v>
      </c>
      <c r="B1985" t="s">
        <v>360</v>
      </c>
      <c r="C1985" t="s">
        <v>7408</v>
      </c>
      <c r="D1985">
        <v>69.952427</v>
      </c>
    </row>
    <row r="1986" spans="1:4">
      <c r="A1986" t="s">
        <v>3603</v>
      </c>
      <c r="B1986" t="s">
        <v>360</v>
      </c>
      <c r="C1986" t="s">
        <v>7311</v>
      </c>
      <c r="D1986">
        <v>4.980578</v>
      </c>
    </row>
    <row r="1987" spans="1:4">
      <c r="A1987" t="s">
        <v>3604</v>
      </c>
      <c r="B1987" t="s">
        <v>360</v>
      </c>
      <c r="C1987" t="s">
        <v>7409</v>
      </c>
      <c r="D1987">
        <v>1.10443</v>
      </c>
    </row>
    <row r="1988" spans="1:4">
      <c r="A1988" t="s">
        <v>3605</v>
      </c>
      <c r="B1988" t="s">
        <v>360</v>
      </c>
      <c r="C1988" t="s">
        <v>7312</v>
      </c>
      <c r="D1988">
        <v>83.741668</v>
      </c>
    </row>
    <row r="1989" spans="1:4">
      <c r="A1989" t="s">
        <v>3606</v>
      </c>
      <c r="B1989" t="s">
        <v>360</v>
      </c>
      <c r="C1989" t="s">
        <v>7410</v>
      </c>
      <c r="D1989">
        <v>0.050132</v>
      </c>
    </row>
    <row r="1990" spans="1:4">
      <c r="A1990" t="s">
        <v>3607</v>
      </c>
      <c r="B1990" t="s">
        <v>360</v>
      </c>
      <c r="C1990" t="s">
        <v>7411</v>
      </c>
      <c r="D1990">
        <v>84.40357</v>
      </c>
    </row>
    <row r="1991" spans="1:4">
      <c r="A1991" t="s">
        <v>3608</v>
      </c>
      <c r="B1991" t="s">
        <v>360</v>
      </c>
      <c r="C1991" t="s">
        <v>7313</v>
      </c>
      <c r="D1991">
        <v>67.62908</v>
      </c>
    </row>
    <row r="1992" spans="1:4">
      <c r="A1992" t="s">
        <v>3609</v>
      </c>
      <c r="B1992" t="s">
        <v>360</v>
      </c>
      <c r="C1992" t="s">
        <v>7412</v>
      </c>
      <c r="D1992">
        <v>3.02528</v>
      </c>
    </row>
    <row r="1993" spans="1:4">
      <c r="A1993" t="s">
        <v>3610</v>
      </c>
      <c r="B1993" t="s">
        <v>360</v>
      </c>
      <c r="C1993" t="s">
        <v>7413</v>
      </c>
      <c r="D1993">
        <v>4.150343</v>
      </c>
    </row>
    <row r="1994" spans="1:4">
      <c r="A1994" t="s">
        <v>3611</v>
      </c>
      <c r="B1994" t="s">
        <v>360</v>
      </c>
      <c r="C1994" t="s">
        <v>7414</v>
      </c>
      <c r="D1994">
        <v>0.209064</v>
      </c>
    </row>
    <row r="1995" spans="1:4">
      <c r="A1995" t="s">
        <v>3612</v>
      </c>
      <c r="B1995" t="s">
        <v>360</v>
      </c>
      <c r="C1995" t="s">
        <v>7415</v>
      </c>
      <c r="D1995">
        <v>81.927719</v>
      </c>
    </row>
    <row r="1996" spans="1:4">
      <c r="A1996" t="s">
        <v>3613</v>
      </c>
      <c r="B1996" t="s">
        <v>360</v>
      </c>
      <c r="C1996" t="s">
        <v>7416</v>
      </c>
      <c r="D1996">
        <v>38.636838</v>
      </c>
    </row>
    <row r="1997" spans="1:4">
      <c r="A1997" t="s">
        <v>3614</v>
      </c>
      <c r="B1997" t="s">
        <v>360</v>
      </c>
      <c r="C1997" t="s">
        <v>7417</v>
      </c>
      <c r="D1997">
        <v>20.77368</v>
      </c>
    </row>
    <row r="1998" spans="1:4">
      <c r="A1998" t="s">
        <v>3615</v>
      </c>
      <c r="B1998" t="s">
        <v>360</v>
      </c>
      <c r="C1998" t="s">
        <v>7418</v>
      </c>
      <c r="D1998">
        <v>0.684669</v>
      </c>
    </row>
    <row r="1999" spans="1:4">
      <c r="A1999" t="s">
        <v>3616</v>
      </c>
      <c r="B1999" t="s">
        <v>360</v>
      </c>
      <c r="C1999" t="s">
        <v>7314</v>
      </c>
      <c r="D1999">
        <v>32.559118</v>
      </c>
    </row>
    <row r="2000" spans="1:4">
      <c r="A2000" t="s">
        <v>3617</v>
      </c>
      <c r="B2000" t="s">
        <v>360</v>
      </c>
      <c r="C2000" t="s">
        <v>7315</v>
      </c>
      <c r="D2000">
        <v>238.329277</v>
      </c>
    </row>
    <row r="2001" spans="1:4">
      <c r="A2001" t="s">
        <v>3618</v>
      </c>
      <c r="B2001" t="s">
        <v>360</v>
      </c>
      <c r="C2001" t="s">
        <v>7419</v>
      </c>
      <c r="D2001">
        <v>410.785576</v>
      </c>
    </row>
    <row r="2002" spans="1:4">
      <c r="A2002" t="s">
        <v>3619</v>
      </c>
      <c r="B2002" t="s">
        <v>360</v>
      </c>
      <c r="C2002" t="s">
        <v>7420</v>
      </c>
      <c r="D2002">
        <v>12.507399</v>
      </c>
    </row>
    <row r="2003" spans="1:4">
      <c r="A2003" t="s">
        <v>3620</v>
      </c>
      <c r="B2003" t="s">
        <v>360</v>
      </c>
      <c r="C2003" t="s">
        <v>7421</v>
      </c>
      <c r="D2003">
        <v>0.012511</v>
      </c>
    </row>
    <row r="2004" spans="1:4">
      <c r="A2004" t="s">
        <v>3621</v>
      </c>
      <c r="B2004" t="s">
        <v>360</v>
      </c>
      <c r="C2004" t="s">
        <v>7422</v>
      </c>
      <c r="D2004">
        <v>0.535178</v>
      </c>
    </row>
    <row r="2005" spans="1:4">
      <c r="A2005" t="s">
        <v>3622</v>
      </c>
      <c r="B2005" t="s">
        <v>360</v>
      </c>
      <c r="C2005" t="s">
        <v>7423</v>
      </c>
      <c r="D2005">
        <v>8.221016000000001</v>
      </c>
    </row>
    <row r="2006" spans="1:4">
      <c r="A2006" t="s">
        <v>3623</v>
      </c>
      <c r="B2006" t="s">
        <v>360</v>
      </c>
      <c r="C2006" t="s">
        <v>7424</v>
      </c>
      <c r="D2006">
        <v>0.065085</v>
      </c>
    </row>
    <row r="2007" spans="1:4">
      <c r="A2007" t="s">
        <v>3624</v>
      </c>
      <c r="B2007" t="s">
        <v>360</v>
      </c>
      <c r="C2007" t="s">
        <v>7425</v>
      </c>
      <c r="D2007">
        <v>14.491325</v>
      </c>
    </row>
    <row r="2008" spans="1:4">
      <c r="A2008" t="s">
        <v>3625</v>
      </c>
      <c r="B2008" t="s">
        <v>360</v>
      </c>
      <c r="C2008" t="s">
        <v>7426</v>
      </c>
      <c r="D2008">
        <v>2.6967</v>
      </c>
    </row>
    <row r="2009" spans="1:4">
      <c r="A2009" t="s">
        <v>3626</v>
      </c>
      <c r="B2009" t="s">
        <v>360</v>
      </c>
      <c r="C2009" t="s">
        <v>7427</v>
      </c>
      <c r="D2009">
        <v>18.658757</v>
      </c>
    </row>
    <row r="2010" spans="1:4">
      <c r="A2010" t="s">
        <v>3627</v>
      </c>
      <c r="B2010" t="s">
        <v>360</v>
      </c>
      <c r="C2010" t="s">
        <v>7316</v>
      </c>
      <c r="D2010">
        <v>9.369911999999999</v>
      </c>
    </row>
    <row r="2011" spans="1:4">
      <c r="A2011" t="s">
        <v>3628</v>
      </c>
      <c r="B2011" t="s">
        <v>360</v>
      </c>
      <c r="C2011" t="s">
        <v>7428</v>
      </c>
      <c r="D2011">
        <v>32.882954</v>
      </c>
    </row>
    <row r="2012" spans="1:4">
      <c r="A2012" t="s">
        <v>3629</v>
      </c>
      <c r="B2012" t="s">
        <v>360</v>
      </c>
      <c r="C2012" t="s">
        <v>7429</v>
      </c>
      <c r="D2012">
        <v>87.13839400000001</v>
      </c>
    </row>
    <row r="2013" spans="1:4">
      <c r="A2013" t="s">
        <v>3630</v>
      </c>
      <c r="B2013" t="s">
        <v>360</v>
      </c>
      <c r="C2013" t="s">
        <v>7430</v>
      </c>
      <c r="D2013">
        <v>105.125016</v>
      </c>
    </row>
    <row r="2014" spans="1:4">
      <c r="A2014" t="s">
        <v>3631</v>
      </c>
      <c r="B2014" t="s">
        <v>360</v>
      </c>
      <c r="C2014" t="s">
        <v>7431</v>
      </c>
      <c r="D2014">
        <v>129.399513</v>
      </c>
    </row>
    <row r="2015" spans="1:4">
      <c r="A2015" t="s">
        <v>3632</v>
      </c>
      <c r="B2015" t="s">
        <v>360</v>
      </c>
      <c r="C2015" t="s">
        <v>7317</v>
      </c>
      <c r="D2015">
        <v>6.667693</v>
      </c>
    </row>
    <row r="2016" spans="1:4">
      <c r="A2016" t="s">
        <v>3633</v>
      </c>
      <c r="B2016" t="s">
        <v>360</v>
      </c>
      <c r="C2016" t="s">
        <v>7432</v>
      </c>
      <c r="D2016">
        <v>41.549433</v>
      </c>
    </row>
    <row r="2017" spans="1:4">
      <c r="A2017" t="s">
        <v>3634</v>
      </c>
      <c r="B2017" t="s">
        <v>360</v>
      </c>
      <c r="C2017" t="s">
        <v>7433</v>
      </c>
      <c r="D2017">
        <v>217.289562</v>
      </c>
    </row>
    <row r="2018" spans="1:4">
      <c r="A2018" t="s">
        <v>3635</v>
      </c>
      <c r="B2018" t="s">
        <v>360</v>
      </c>
      <c r="C2018" t="s">
        <v>7434</v>
      </c>
      <c r="D2018">
        <v>9.743004000000001</v>
      </c>
    </row>
    <row r="2019" spans="1:4">
      <c r="A2019" t="s">
        <v>3636</v>
      </c>
      <c r="B2019" t="s">
        <v>360</v>
      </c>
      <c r="C2019" t="s">
        <v>7435</v>
      </c>
      <c r="D2019">
        <v>0.11823</v>
      </c>
    </row>
    <row r="2020" spans="1:4">
      <c r="A2020" t="s">
        <v>3637</v>
      </c>
      <c r="B2020" t="s">
        <v>360</v>
      </c>
      <c r="C2020" t="s">
        <v>7436</v>
      </c>
      <c r="D2020">
        <v>6.876821</v>
      </c>
    </row>
    <row r="2021" spans="1:4">
      <c r="A2021" t="s">
        <v>3638</v>
      </c>
      <c r="B2021" t="s">
        <v>360</v>
      </c>
      <c r="C2021" t="s">
        <v>7437</v>
      </c>
      <c r="D2021">
        <v>0.082194</v>
      </c>
    </row>
    <row r="2022" spans="1:4">
      <c r="A2022" t="s">
        <v>3639</v>
      </c>
      <c r="B2022" t="s">
        <v>360</v>
      </c>
      <c r="C2022" t="s">
        <v>399</v>
      </c>
      <c r="D2022">
        <v>307.144956</v>
      </c>
    </row>
    <row r="2023" spans="1:4">
      <c r="A2023" t="s">
        <v>3640</v>
      </c>
      <c r="B2023" t="s">
        <v>360</v>
      </c>
      <c r="C2023" t="s">
        <v>7438</v>
      </c>
      <c r="D2023">
        <v>7.585301</v>
      </c>
    </row>
    <row r="2024" spans="1:4">
      <c r="A2024" t="s">
        <v>3641</v>
      </c>
      <c r="B2024" t="s">
        <v>360</v>
      </c>
      <c r="C2024" t="s">
        <v>7439</v>
      </c>
      <c r="D2024">
        <v>0.025408</v>
      </c>
    </row>
    <row r="2025" spans="1:4">
      <c r="A2025" t="s">
        <v>3642</v>
      </c>
      <c r="B2025" t="s">
        <v>360</v>
      </c>
      <c r="C2025" t="s">
        <v>7440</v>
      </c>
      <c r="D2025">
        <v>0.541724</v>
      </c>
    </row>
    <row r="2026" spans="1:4">
      <c r="A2026" t="s">
        <v>3643</v>
      </c>
      <c r="B2026" t="s">
        <v>360</v>
      </c>
      <c r="C2026" t="s">
        <v>7441</v>
      </c>
      <c r="D2026">
        <v>0.011695</v>
      </c>
    </row>
    <row r="2027" spans="1:4">
      <c r="A2027" t="s">
        <v>3644</v>
      </c>
      <c r="B2027" t="s">
        <v>360</v>
      </c>
      <c r="C2027" t="s">
        <v>7442</v>
      </c>
      <c r="D2027">
        <v>2.589083</v>
      </c>
    </row>
    <row r="2028" spans="1:4">
      <c r="A2028" t="s">
        <v>3645</v>
      </c>
      <c r="B2028" t="s">
        <v>360</v>
      </c>
      <c r="C2028" t="s">
        <v>7443</v>
      </c>
      <c r="D2028">
        <v>113.834153</v>
      </c>
    </row>
    <row r="2029" spans="1:4">
      <c r="A2029" t="s">
        <v>3646</v>
      </c>
      <c r="B2029" t="s">
        <v>360</v>
      </c>
      <c r="C2029" t="s">
        <v>7444</v>
      </c>
      <c r="D2029">
        <v>0.541251</v>
      </c>
    </row>
    <row r="2030" spans="1:4">
      <c r="A2030" t="s">
        <v>3647</v>
      </c>
      <c r="B2030" t="s">
        <v>360</v>
      </c>
      <c r="C2030" t="s">
        <v>7445</v>
      </c>
      <c r="D2030">
        <v>113.788513</v>
      </c>
    </row>
    <row r="2031" spans="1:4">
      <c r="A2031" t="s">
        <v>3648</v>
      </c>
      <c r="B2031" t="s">
        <v>360</v>
      </c>
      <c r="C2031" t="s">
        <v>7446</v>
      </c>
      <c r="D2031">
        <v>171.636322</v>
      </c>
    </row>
    <row r="2032" spans="1:4">
      <c r="A2032" t="s">
        <v>3649</v>
      </c>
      <c r="B2032" t="s">
        <v>360</v>
      </c>
      <c r="C2032" t="s">
        <v>7447</v>
      </c>
      <c r="D2032">
        <v>417.264042</v>
      </c>
    </row>
    <row r="2033" spans="1:4">
      <c r="A2033" t="s">
        <v>3650</v>
      </c>
      <c r="B2033" t="s">
        <v>360</v>
      </c>
      <c r="C2033" t="s">
        <v>7448</v>
      </c>
      <c r="D2033">
        <v>0.541251</v>
      </c>
    </row>
    <row r="2034" spans="1:4">
      <c r="A2034" t="s">
        <v>3651</v>
      </c>
      <c r="B2034" t="s">
        <v>360</v>
      </c>
      <c r="C2034" t="s">
        <v>7449</v>
      </c>
      <c r="D2034">
        <v>2.975207</v>
      </c>
    </row>
    <row r="2035" spans="1:4">
      <c r="A2035" t="s">
        <v>3652</v>
      </c>
      <c r="B2035" t="s">
        <v>360</v>
      </c>
      <c r="C2035" t="s">
        <v>7450</v>
      </c>
      <c r="D2035">
        <v>1.281568</v>
      </c>
    </row>
    <row r="2036" spans="1:4">
      <c r="A2036" t="s">
        <v>3653</v>
      </c>
      <c r="B2036" t="s">
        <v>360</v>
      </c>
      <c r="C2036" t="s">
        <v>7318</v>
      </c>
      <c r="D2036">
        <v>18.658597</v>
      </c>
    </row>
    <row r="2037" spans="1:4">
      <c r="A2037" t="s">
        <v>3654</v>
      </c>
      <c r="B2037" t="s">
        <v>360</v>
      </c>
      <c r="C2037" t="s">
        <v>7451</v>
      </c>
      <c r="D2037">
        <v>17.322344</v>
      </c>
    </row>
    <row r="2038" spans="1:4">
      <c r="A2038" t="s">
        <v>3655</v>
      </c>
      <c r="B2038" t="s">
        <v>360</v>
      </c>
      <c r="C2038" t="s">
        <v>7452</v>
      </c>
      <c r="D2038">
        <v>11.411005</v>
      </c>
    </row>
    <row r="2039" spans="1:4">
      <c r="A2039" t="s">
        <v>3656</v>
      </c>
      <c r="B2039" t="s">
        <v>360</v>
      </c>
      <c r="C2039" t="s">
        <v>7453</v>
      </c>
      <c r="D2039">
        <v>11.411005</v>
      </c>
    </row>
    <row r="2040" spans="1:4">
      <c r="A2040" t="s">
        <v>3657</v>
      </c>
      <c r="B2040" t="s">
        <v>361</v>
      </c>
      <c r="C2040" t="s">
        <v>397</v>
      </c>
      <c r="D2040">
        <v>354.930361</v>
      </c>
    </row>
    <row r="2041" spans="1:4">
      <c r="A2041" t="s">
        <v>3658</v>
      </c>
      <c r="B2041" t="s">
        <v>361</v>
      </c>
      <c r="C2041" t="s">
        <v>7319</v>
      </c>
      <c r="D2041">
        <v>83.56770899999999</v>
      </c>
    </row>
    <row r="2042" spans="1:4">
      <c r="A2042" t="s">
        <v>3659</v>
      </c>
      <c r="B2042" t="s">
        <v>361</v>
      </c>
      <c r="C2042" t="s">
        <v>7320</v>
      </c>
      <c r="D2042">
        <v>4.841522</v>
      </c>
    </row>
    <row r="2043" spans="1:4">
      <c r="A2043" t="s">
        <v>3660</v>
      </c>
      <c r="B2043" t="s">
        <v>361</v>
      </c>
      <c r="C2043" t="s">
        <v>7321</v>
      </c>
      <c r="D2043">
        <v>3.72147</v>
      </c>
    </row>
    <row r="2044" spans="1:4">
      <c r="A2044" t="s">
        <v>3661</v>
      </c>
      <c r="B2044" t="s">
        <v>361</v>
      </c>
      <c r="C2044" t="s">
        <v>7322</v>
      </c>
      <c r="D2044">
        <v>0.827534</v>
      </c>
    </row>
    <row r="2045" spans="1:4">
      <c r="A2045" t="s">
        <v>3662</v>
      </c>
      <c r="B2045" t="s">
        <v>361</v>
      </c>
      <c r="C2045" t="s">
        <v>7323</v>
      </c>
      <c r="D2045">
        <v>171.453838</v>
      </c>
    </row>
    <row r="2046" spans="1:4">
      <c r="A2046" t="s">
        <v>3663</v>
      </c>
      <c r="B2046" t="s">
        <v>361</v>
      </c>
      <c r="C2046" t="s">
        <v>7324</v>
      </c>
      <c r="D2046">
        <v>0.324092</v>
      </c>
    </row>
    <row r="2047" spans="1:4">
      <c r="A2047" t="s">
        <v>3664</v>
      </c>
      <c r="B2047" t="s">
        <v>361</v>
      </c>
      <c r="C2047" t="s">
        <v>7325</v>
      </c>
      <c r="D2047">
        <v>0.21277</v>
      </c>
    </row>
    <row r="2048" spans="1:4">
      <c r="A2048" t="s">
        <v>3665</v>
      </c>
      <c r="B2048" t="s">
        <v>361</v>
      </c>
      <c r="C2048" t="s">
        <v>7292</v>
      </c>
      <c r="D2048">
        <v>217.347462</v>
      </c>
    </row>
    <row r="2049" spans="1:4">
      <c r="A2049" t="s">
        <v>3666</v>
      </c>
      <c r="B2049" t="s">
        <v>361</v>
      </c>
      <c r="C2049" t="s">
        <v>7326</v>
      </c>
      <c r="D2049">
        <v>171.453838</v>
      </c>
    </row>
    <row r="2050" spans="1:4">
      <c r="A2050" t="s">
        <v>3667</v>
      </c>
      <c r="B2050" t="s">
        <v>361</v>
      </c>
      <c r="C2050" t="s">
        <v>7327</v>
      </c>
      <c r="D2050">
        <v>179.526504</v>
      </c>
    </row>
    <row r="2051" spans="1:4">
      <c r="A2051" t="s">
        <v>3668</v>
      </c>
      <c r="B2051" t="s">
        <v>361</v>
      </c>
      <c r="C2051" t="s">
        <v>7328</v>
      </c>
      <c r="D2051">
        <v>181.473012</v>
      </c>
    </row>
    <row r="2052" spans="1:4">
      <c r="A2052" t="s">
        <v>3669</v>
      </c>
      <c r="B2052" t="s">
        <v>361</v>
      </c>
      <c r="C2052" t="s">
        <v>7329</v>
      </c>
      <c r="D2052">
        <v>153.451216</v>
      </c>
    </row>
    <row r="2053" spans="1:4">
      <c r="A2053" t="s">
        <v>3670</v>
      </c>
      <c r="B2053" t="s">
        <v>361</v>
      </c>
      <c r="C2053" t="s">
        <v>7330</v>
      </c>
      <c r="D2053">
        <v>2.502238</v>
      </c>
    </row>
    <row r="2054" spans="1:4">
      <c r="A2054" t="s">
        <v>3671</v>
      </c>
      <c r="B2054" t="s">
        <v>361</v>
      </c>
      <c r="C2054" t="s">
        <v>398</v>
      </c>
      <c r="D2054">
        <v>181.473012</v>
      </c>
    </row>
    <row r="2055" spans="1:4">
      <c r="A2055" t="s">
        <v>3672</v>
      </c>
      <c r="B2055" t="s">
        <v>361</v>
      </c>
      <c r="C2055" t="s">
        <v>7331</v>
      </c>
      <c r="D2055">
        <v>816.2302110000001</v>
      </c>
    </row>
    <row r="2056" spans="1:4">
      <c r="A2056" t="s">
        <v>3673</v>
      </c>
      <c r="B2056" t="s">
        <v>361</v>
      </c>
      <c r="C2056" t="s">
        <v>7332</v>
      </c>
      <c r="D2056">
        <v>0.102246</v>
      </c>
    </row>
    <row r="2057" spans="1:4">
      <c r="A2057" t="s">
        <v>3674</v>
      </c>
      <c r="B2057" t="s">
        <v>361</v>
      </c>
      <c r="C2057" t="s">
        <v>7333</v>
      </c>
      <c r="D2057">
        <v>306.902299</v>
      </c>
    </row>
    <row r="2058" spans="1:4">
      <c r="A2058" t="s">
        <v>3675</v>
      </c>
      <c r="B2058" t="s">
        <v>361</v>
      </c>
      <c r="C2058" t="s">
        <v>7334</v>
      </c>
      <c r="D2058">
        <v>238.205738</v>
      </c>
    </row>
    <row r="2059" spans="1:4">
      <c r="A2059" t="s">
        <v>3676</v>
      </c>
      <c r="B2059" t="s">
        <v>361</v>
      </c>
      <c r="C2059" t="s">
        <v>7335</v>
      </c>
      <c r="D2059">
        <v>44.131098</v>
      </c>
    </row>
    <row r="2060" spans="1:4">
      <c r="A2060" t="s">
        <v>3677</v>
      </c>
      <c r="B2060" t="s">
        <v>361</v>
      </c>
      <c r="C2060" t="s">
        <v>7293</v>
      </c>
      <c r="D2060">
        <v>60.135316</v>
      </c>
    </row>
    <row r="2061" spans="1:4">
      <c r="A2061" t="s">
        <v>3678</v>
      </c>
      <c r="B2061" t="s">
        <v>361</v>
      </c>
      <c r="C2061" t="s">
        <v>7336</v>
      </c>
      <c r="D2061">
        <v>306.902299</v>
      </c>
    </row>
    <row r="2062" spans="1:4">
      <c r="A2062" t="s">
        <v>3679</v>
      </c>
      <c r="B2062" t="s">
        <v>361</v>
      </c>
      <c r="C2062" t="s">
        <v>7337</v>
      </c>
      <c r="D2062">
        <v>3.213983</v>
      </c>
    </row>
    <row r="2063" spans="1:4">
      <c r="A2063" t="s">
        <v>3680</v>
      </c>
      <c r="B2063" t="s">
        <v>361</v>
      </c>
      <c r="C2063" t="s">
        <v>7338</v>
      </c>
      <c r="D2063">
        <v>21.428878</v>
      </c>
    </row>
    <row r="2064" spans="1:4">
      <c r="A2064" t="s">
        <v>3681</v>
      </c>
      <c r="B2064" t="s">
        <v>361</v>
      </c>
      <c r="C2064" t="s">
        <v>7339</v>
      </c>
      <c r="D2064">
        <v>108.740919</v>
      </c>
    </row>
    <row r="2065" spans="1:4">
      <c r="A2065" t="s">
        <v>3682</v>
      </c>
      <c r="B2065" t="s">
        <v>361</v>
      </c>
      <c r="C2065" t="s">
        <v>7340</v>
      </c>
      <c r="D2065">
        <v>153.451216</v>
      </c>
    </row>
    <row r="2066" spans="1:4">
      <c r="A2066" t="s">
        <v>3683</v>
      </c>
      <c r="B2066" t="s">
        <v>361</v>
      </c>
      <c r="C2066" t="s">
        <v>7294</v>
      </c>
      <c r="D2066">
        <v>220.562552</v>
      </c>
    </row>
    <row r="2067" spans="1:4">
      <c r="A2067" t="s">
        <v>3684</v>
      </c>
      <c r="B2067" t="s">
        <v>361</v>
      </c>
      <c r="C2067" t="s">
        <v>7341</v>
      </c>
      <c r="D2067">
        <v>0.132509</v>
      </c>
    </row>
    <row r="2068" spans="1:4">
      <c r="A2068" t="s">
        <v>3685</v>
      </c>
      <c r="B2068" t="s">
        <v>361</v>
      </c>
      <c r="C2068" t="s">
        <v>7295</v>
      </c>
      <c r="D2068">
        <v>386.807559</v>
      </c>
    </row>
    <row r="2069" spans="1:4">
      <c r="A2069" t="s">
        <v>3686</v>
      </c>
      <c r="B2069" t="s">
        <v>361</v>
      </c>
      <c r="C2069" t="s">
        <v>7342</v>
      </c>
      <c r="D2069">
        <v>13473.422199</v>
      </c>
    </row>
    <row r="2070" spans="1:4">
      <c r="A2070" t="s">
        <v>3687</v>
      </c>
      <c r="B2070" t="s">
        <v>361</v>
      </c>
      <c r="C2070" t="s">
        <v>7343</v>
      </c>
      <c r="D2070">
        <v>0.340872</v>
      </c>
    </row>
    <row r="2071" spans="1:4">
      <c r="A2071" t="s">
        <v>3688</v>
      </c>
      <c r="B2071" t="s">
        <v>361</v>
      </c>
      <c r="C2071" t="s">
        <v>7344</v>
      </c>
      <c r="D2071">
        <v>45.26931</v>
      </c>
    </row>
    <row r="2072" spans="1:4">
      <c r="A2072" t="s">
        <v>3689</v>
      </c>
      <c r="B2072" t="s">
        <v>361</v>
      </c>
      <c r="C2072" t="s">
        <v>7296</v>
      </c>
      <c r="D2072">
        <v>45.181137</v>
      </c>
    </row>
    <row r="2073" spans="1:4">
      <c r="A2073" t="s">
        <v>3690</v>
      </c>
      <c r="B2073" t="s">
        <v>361</v>
      </c>
      <c r="C2073" t="s">
        <v>7345</v>
      </c>
      <c r="D2073">
        <v>0.08559</v>
      </c>
    </row>
    <row r="2074" spans="1:4">
      <c r="A2074" t="s">
        <v>3691</v>
      </c>
      <c r="B2074" t="s">
        <v>361</v>
      </c>
      <c r="C2074" t="s">
        <v>7346</v>
      </c>
      <c r="D2074">
        <v>0.665283</v>
      </c>
    </row>
    <row r="2075" spans="1:4">
      <c r="A2075" t="s">
        <v>3692</v>
      </c>
      <c r="B2075" t="s">
        <v>361</v>
      </c>
      <c r="C2075" t="s">
        <v>7347</v>
      </c>
      <c r="D2075">
        <v>12.787599</v>
      </c>
    </row>
    <row r="2076" spans="1:4">
      <c r="A2076" t="s">
        <v>3693</v>
      </c>
      <c r="B2076" t="s">
        <v>361</v>
      </c>
      <c r="C2076" t="s">
        <v>7348</v>
      </c>
      <c r="D2076">
        <v>3.218885</v>
      </c>
    </row>
    <row r="2077" spans="1:4">
      <c r="A2077" t="s">
        <v>3694</v>
      </c>
      <c r="B2077" t="s">
        <v>361</v>
      </c>
      <c r="C2077" t="s">
        <v>7297</v>
      </c>
      <c r="D2077">
        <v>14.672847</v>
      </c>
    </row>
    <row r="2078" spans="1:4">
      <c r="A2078" t="s">
        <v>3695</v>
      </c>
      <c r="B2078" t="s">
        <v>361</v>
      </c>
      <c r="C2078" t="s">
        <v>7349</v>
      </c>
      <c r="D2078">
        <v>1.726877</v>
      </c>
    </row>
    <row r="2079" spans="1:4">
      <c r="A2079" t="s">
        <v>3696</v>
      </c>
      <c r="B2079" t="s">
        <v>361</v>
      </c>
      <c r="C2079" t="s">
        <v>7298</v>
      </c>
      <c r="D2079">
        <v>47.571955</v>
      </c>
    </row>
    <row r="2080" spans="1:4">
      <c r="A2080" t="s">
        <v>3697</v>
      </c>
      <c r="B2080" t="s">
        <v>361</v>
      </c>
      <c r="C2080" t="s">
        <v>7350</v>
      </c>
      <c r="D2080">
        <v>5.252129</v>
      </c>
    </row>
    <row r="2081" spans="1:4">
      <c r="A2081" t="s">
        <v>3698</v>
      </c>
      <c r="B2081" t="s">
        <v>361</v>
      </c>
      <c r="C2081" t="s">
        <v>7351</v>
      </c>
      <c r="D2081">
        <v>2.291004</v>
      </c>
    </row>
    <row r="2082" spans="1:4">
      <c r="A2082" t="s">
        <v>3699</v>
      </c>
      <c r="B2082" t="s">
        <v>361</v>
      </c>
      <c r="C2082" t="s">
        <v>7352</v>
      </c>
      <c r="D2082">
        <v>5.911149</v>
      </c>
    </row>
    <row r="2083" spans="1:4">
      <c r="A2083" t="s">
        <v>3700</v>
      </c>
      <c r="B2083" t="s">
        <v>361</v>
      </c>
      <c r="C2083" t="s">
        <v>7353</v>
      </c>
      <c r="D2083">
        <v>20.460159</v>
      </c>
    </row>
    <row r="2084" spans="1:4">
      <c r="A2084" t="s">
        <v>3701</v>
      </c>
      <c r="B2084" t="s">
        <v>361</v>
      </c>
      <c r="C2084" t="s">
        <v>7354</v>
      </c>
      <c r="D2084">
        <v>1.88689</v>
      </c>
    </row>
    <row r="2085" spans="1:4">
      <c r="A2085" t="s">
        <v>3702</v>
      </c>
      <c r="B2085" t="s">
        <v>361</v>
      </c>
      <c r="C2085" t="s">
        <v>7355</v>
      </c>
      <c r="D2085">
        <v>138.719505</v>
      </c>
    </row>
    <row r="2086" spans="1:4">
      <c r="A2086" t="s">
        <v>3703</v>
      </c>
      <c r="B2086" t="s">
        <v>361</v>
      </c>
      <c r="C2086" t="s">
        <v>7356</v>
      </c>
      <c r="D2086">
        <v>410.726771</v>
      </c>
    </row>
    <row r="2087" spans="1:4">
      <c r="A2087" t="s">
        <v>3704</v>
      </c>
      <c r="B2087" t="s">
        <v>361</v>
      </c>
      <c r="C2087" t="s">
        <v>7357</v>
      </c>
      <c r="D2087">
        <v>47.571955</v>
      </c>
    </row>
    <row r="2088" spans="1:4">
      <c r="A2088" t="s">
        <v>3705</v>
      </c>
      <c r="B2088" t="s">
        <v>361</v>
      </c>
      <c r="C2088" t="s">
        <v>7299</v>
      </c>
      <c r="D2088">
        <v>410.725821</v>
      </c>
    </row>
    <row r="2089" spans="1:4">
      <c r="A2089" t="s">
        <v>3706</v>
      </c>
      <c r="B2089" t="s">
        <v>361</v>
      </c>
      <c r="C2089" t="s">
        <v>7358</v>
      </c>
      <c r="D2089">
        <v>114.565102</v>
      </c>
    </row>
    <row r="2090" spans="1:4">
      <c r="A2090" t="s">
        <v>3707</v>
      </c>
      <c r="B2090" t="s">
        <v>361</v>
      </c>
      <c r="C2090" t="s">
        <v>7359</v>
      </c>
      <c r="D2090">
        <v>410.726771</v>
      </c>
    </row>
    <row r="2091" spans="1:4">
      <c r="A2091" t="s">
        <v>3708</v>
      </c>
      <c r="B2091" t="s">
        <v>361</v>
      </c>
      <c r="C2091" t="s">
        <v>7360</v>
      </c>
      <c r="D2091">
        <v>25.987201</v>
      </c>
    </row>
    <row r="2092" spans="1:4">
      <c r="A2092" t="s">
        <v>3709</v>
      </c>
      <c r="B2092" t="s">
        <v>361</v>
      </c>
      <c r="C2092" t="s">
        <v>7361</v>
      </c>
      <c r="D2092">
        <v>410.726771</v>
      </c>
    </row>
    <row r="2093" spans="1:4">
      <c r="A2093" t="s">
        <v>3710</v>
      </c>
      <c r="B2093" t="s">
        <v>361</v>
      </c>
      <c r="C2093" t="s">
        <v>7362</v>
      </c>
      <c r="D2093">
        <v>4.129055</v>
      </c>
    </row>
    <row r="2094" spans="1:4">
      <c r="A2094" t="s">
        <v>3711</v>
      </c>
      <c r="B2094" t="s">
        <v>361</v>
      </c>
      <c r="C2094" t="s">
        <v>7363</v>
      </c>
      <c r="D2094">
        <v>0.034938</v>
      </c>
    </row>
    <row r="2095" spans="1:4">
      <c r="A2095" t="s">
        <v>3712</v>
      </c>
      <c r="B2095" t="s">
        <v>361</v>
      </c>
      <c r="C2095" t="s">
        <v>7364</v>
      </c>
      <c r="D2095">
        <v>40.07647</v>
      </c>
    </row>
    <row r="2096" spans="1:4">
      <c r="A2096" t="s">
        <v>3713</v>
      </c>
      <c r="B2096" t="s">
        <v>361</v>
      </c>
      <c r="C2096" t="s">
        <v>7365</v>
      </c>
      <c r="D2096">
        <v>1.461582</v>
      </c>
    </row>
    <row r="2097" spans="1:4">
      <c r="A2097" t="s">
        <v>3714</v>
      </c>
      <c r="B2097" t="s">
        <v>361</v>
      </c>
      <c r="C2097" t="s">
        <v>7300</v>
      </c>
      <c r="D2097">
        <v>39.135528</v>
      </c>
    </row>
    <row r="2098" spans="1:4">
      <c r="A2098" t="s">
        <v>3715</v>
      </c>
      <c r="B2098" t="s">
        <v>361</v>
      </c>
      <c r="C2098" t="s">
        <v>7366</v>
      </c>
      <c r="D2098">
        <v>11.478835</v>
      </c>
    </row>
    <row r="2099" spans="1:4">
      <c r="A2099" t="s">
        <v>3716</v>
      </c>
      <c r="B2099" t="s">
        <v>361</v>
      </c>
      <c r="C2099" t="s">
        <v>7367</v>
      </c>
      <c r="D2099">
        <v>47.107354</v>
      </c>
    </row>
    <row r="2100" spans="1:4">
      <c r="A2100" t="s">
        <v>3717</v>
      </c>
      <c r="B2100" t="s">
        <v>361</v>
      </c>
      <c r="C2100" t="s">
        <v>7368</v>
      </c>
      <c r="D2100">
        <v>2.339329</v>
      </c>
    </row>
    <row r="2101" spans="1:4">
      <c r="A2101" t="s">
        <v>3718</v>
      </c>
      <c r="B2101" t="s">
        <v>361</v>
      </c>
      <c r="C2101" t="s">
        <v>7301</v>
      </c>
      <c r="D2101">
        <v>0.016933</v>
      </c>
    </row>
    <row r="2102" spans="1:4">
      <c r="A2102" t="s">
        <v>3719</v>
      </c>
      <c r="B2102" t="s">
        <v>361</v>
      </c>
      <c r="C2102" t="s">
        <v>7302</v>
      </c>
      <c r="D2102">
        <v>104.775995</v>
      </c>
    </row>
    <row r="2103" spans="1:4">
      <c r="A2103" t="s">
        <v>3720</v>
      </c>
      <c r="B2103" t="s">
        <v>361</v>
      </c>
      <c r="C2103" t="s">
        <v>7369</v>
      </c>
      <c r="D2103">
        <v>410.726771</v>
      </c>
    </row>
    <row r="2104" spans="1:4">
      <c r="A2104" t="s">
        <v>3721</v>
      </c>
      <c r="B2104" t="s">
        <v>361</v>
      </c>
      <c r="C2104" t="s">
        <v>7303</v>
      </c>
      <c r="D2104">
        <v>3.213921</v>
      </c>
    </row>
    <row r="2105" spans="1:4">
      <c r="A2105" t="s">
        <v>3722</v>
      </c>
      <c r="B2105" t="s">
        <v>361</v>
      </c>
      <c r="C2105" t="s">
        <v>7370</v>
      </c>
      <c r="D2105">
        <v>0.233136</v>
      </c>
    </row>
    <row r="2106" spans="1:4">
      <c r="A2106" t="s">
        <v>3723</v>
      </c>
      <c r="B2106" t="s">
        <v>361</v>
      </c>
      <c r="C2106" t="s">
        <v>7371</v>
      </c>
      <c r="D2106">
        <v>0.000222</v>
      </c>
    </row>
    <row r="2107" spans="1:4">
      <c r="A2107" t="s">
        <v>3724</v>
      </c>
      <c r="B2107" t="s">
        <v>361</v>
      </c>
      <c r="C2107" t="s">
        <v>7304</v>
      </c>
      <c r="D2107">
        <v>2.471685</v>
      </c>
    </row>
    <row r="2108" spans="1:4">
      <c r="A2108" t="s">
        <v>3725</v>
      </c>
      <c r="B2108" t="s">
        <v>361</v>
      </c>
      <c r="C2108" t="s">
        <v>7372</v>
      </c>
      <c r="D2108">
        <v>410.726771</v>
      </c>
    </row>
    <row r="2109" spans="1:4">
      <c r="A2109" t="s">
        <v>3726</v>
      </c>
      <c r="B2109" t="s">
        <v>361</v>
      </c>
      <c r="C2109" t="s">
        <v>7373</v>
      </c>
      <c r="D2109">
        <v>1.927214</v>
      </c>
    </row>
    <row r="2110" spans="1:4">
      <c r="A2110" t="s">
        <v>3727</v>
      </c>
      <c r="B2110" t="s">
        <v>361</v>
      </c>
      <c r="C2110" t="s">
        <v>7374</v>
      </c>
      <c r="D2110">
        <v>432.866714</v>
      </c>
    </row>
    <row r="2111" spans="1:4">
      <c r="A2111" t="s">
        <v>3728</v>
      </c>
      <c r="B2111" t="s">
        <v>361</v>
      </c>
      <c r="C2111" t="s">
        <v>7305</v>
      </c>
      <c r="D2111">
        <v>1.916125</v>
      </c>
    </row>
    <row r="2112" spans="1:4">
      <c r="A2112" t="s">
        <v>3729</v>
      </c>
      <c r="B2112" t="s">
        <v>361</v>
      </c>
      <c r="C2112" t="s">
        <v>7375</v>
      </c>
      <c r="D2112">
        <v>2.365622</v>
      </c>
    </row>
    <row r="2113" spans="1:4">
      <c r="A2113" t="s">
        <v>3730</v>
      </c>
      <c r="B2113" t="s">
        <v>361</v>
      </c>
      <c r="C2113" t="s">
        <v>7376</v>
      </c>
      <c r="D2113">
        <v>3.487586</v>
      </c>
    </row>
    <row r="2114" spans="1:4">
      <c r="A2114" t="s">
        <v>3731</v>
      </c>
      <c r="B2114" t="s">
        <v>361</v>
      </c>
      <c r="C2114" t="s">
        <v>7377</v>
      </c>
      <c r="D2114">
        <v>0.07571899999999999</v>
      </c>
    </row>
    <row r="2115" spans="1:4">
      <c r="A2115" t="s">
        <v>3732</v>
      </c>
      <c r="B2115" t="s">
        <v>361</v>
      </c>
      <c r="C2115" t="s">
        <v>7378</v>
      </c>
      <c r="D2115">
        <v>217.31539</v>
      </c>
    </row>
    <row r="2116" spans="1:4">
      <c r="A2116" t="s">
        <v>3733</v>
      </c>
      <c r="B2116" t="s">
        <v>361</v>
      </c>
      <c r="C2116" t="s">
        <v>7379</v>
      </c>
      <c r="D2116">
        <v>0.72145</v>
      </c>
    </row>
    <row r="2117" spans="1:4">
      <c r="A2117" t="s">
        <v>3734</v>
      </c>
      <c r="B2117" t="s">
        <v>361</v>
      </c>
      <c r="C2117" t="s">
        <v>7306</v>
      </c>
      <c r="D2117">
        <v>0.198083</v>
      </c>
    </row>
    <row r="2118" spans="1:4">
      <c r="A2118" t="s">
        <v>3735</v>
      </c>
      <c r="B2118" t="s">
        <v>361</v>
      </c>
      <c r="C2118" t="s">
        <v>7380</v>
      </c>
      <c r="D2118">
        <v>995.530065</v>
      </c>
    </row>
    <row r="2119" spans="1:4">
      <c r="A2119" t="s">
        <v>3736</v>
      </c>
      <c r="B2119" t="s">
        <v>361</v>
      </c>
      <c r="C2119" t="s">
        <v>7381</v>
      </c>
      <c r="D2119">
        <v>368.282823</v>
      </c>
    </row>
    <row r="2120" spans="1:4">
      <c r="A2120" t="s">
        <v>3737</v>
      </c>
      <c r="B2120" t="s">
        <v>361</v>
      </c>
      <c r="C2120" t="s">
        <v>7382</v>
      </c>
      <c r="D2120">
        <v>0.629425</v>
      </c>
    </row>
    <row r="2121" spans="1:4">
      <c r="A2121" t="s">
        <v>3738</v>
      </c>
      <c r="B2121" t="s">
        <v>361</v>
      </c>
      <c r="C2121" t="s">
        <v>7383</v>
      </c>
      <c r="D2121">
        <v>0.013932</v>
      </c>
    </row>
    <row r="2122" spans="1:4">
      <c r="A2122" t="s">
        <v>3739</v>
      </c>
      <c r="B2122" t="s">
        <v>361</v>
      </c>
      <c r="C2122" t="s">
        <v>7384</v>
      </c>
      <c r="D2122">
        <v>0.003429</v>
      </c>
    </row>
    <row r="2123" spans="1:4">
      <c r="A2123" t="s">
        <v>3740</v>
      </c>
      <c r="B2123" t="s">
        <v>361</v>
      </c>
      <c r="C2123" t="s">
        <v>7385</v>
      </c>
      <c r="D2123">
        <v>0.9113289999999999</v>
      </c>
    </row>
    <row r="2124" spans="1:4">
      <c r="A2124" t="s">
        <v>3741</v>
      </c>
      <c r="B2124" t="s">
        <v>361</v>
      </c>
      <c r="C2124" t="s">
        <v>7386</v>
      </c>
      <c r="D2124">
        <v>1.67396</v>
      </c>
    </row>
    <row r="2125" spans="1:4">
      <c r="A2125" t="s">
        <v>3742</v>
      </c>
      <c r="B2125" t="s">
        <v>361</v>
      </c>
      <c r="C2125" t="s">
        <v>7387</v>
      </c>
      <c r="D2125">
        <v>18.660926</v>
      </c>
    </row>
    <row r="2126" spans="1:4">
      <c r="A2126" t="s">
        <v>3743</v>
      </c>
      <c r="B2126" t="s">
        <v>361</v>
      </c>
      <c r="C2126" t="s">
        <v>7388</v>
      </c>
      <c r="D2126">
        <v>47.986129</v>
      </c>
    </row>
    <row r="2127" spans="1:4">
      <c r="A2127" t="s">
        <v>3744</v>
      </c>
      <c r="B2127" t="s">
        <v>361</v>
      </c>
      <c r="C2127" t="s">
        <v>7389</v>
      </c>
      <c r="D2127">
        <v>33.244202</v>
      </c>
    </row>
    <row r="2128" spans="1:4">
      <c r="A2128" t="s">
        <v>3745</v>
      </c>
      <c r="B2128" t="s">
        <v>361</v>
      </c>
      <c r="C2128" t="s">
        <v>7390</v>
      </c>
      <c r="D2128">
        <v>17.636803</v>
      </c>
    </row>
    <row r="2129" spans="1:4">
      <c r="A2129" t="s">
        <v>3746</v>
      </c>
      <c r="B2129" t="s">
        <v>361</v>
      </c>
      <c r="C2129" t="s">
        <v>7391</v>
      </c>
      <c r="D2129">
        <v>0.073292</v>
      </c>
    </row>
    <row r="2130" spans="1:4">
      <c r="A2130" t="s">
        <v>3747</v>
      </c>
      <c r="B2130" t="s">
        <v>361</v>
      </c>
      <c r="C2130" t="s">
        <v>7392</v>
      </c>
      <c r="D2130">
        <v>5.755204</v>
      </c>
    </row>
    <row r="2131" spans="1:4">
      <c r="A2131" t="s">
        <v>3748</v>
      </c>
      <c r="B2131" t="s">
        <v>361</v>
      </c>
      <c r="C2131" t="s">
        <v>7393</v>
      </c>
      <c r="D2131">
        <v>0.145455</v>
      </c>
    </row>
    <row r="2132" spans="1:4">
      <c r="A2132" t="s">
        <v>3749</v>
      </c>
      <c r="B2132" t="s">
        <v>361</v>
      </c>
      <c r="C2132" t="s">
        <v>7394</v>
      </c>
      <c r="D2132">
        <v>0.086728</v>
      </c>
    </row>
    <row r="2133" spans="1:4">
      <c r="A2133" t="s">
        <v>3750</v>
      </c>
      <c r="B2133" t="s">
        <v>361</v>
      </c>
      <c r="C2133" t="s">
        <v>7395</v>
      </c>
      <c r="D2133">
        <v>37.971862</v>
      </c>
    </row>
    <row r="2134" spans="1:4">
      <c r="A2134" t="s">
        <v>3751</v>
      </c>
      <c r="B2134" t="s">
        <v>361</v>
      </c>
      <c r="C2134" t="s">
        <v>7396</v>
      </c>
      <c r="D2134">
        <v>7.643667</v>
      </c>
    </row>
    <row r="2135" spans="1:4">
      <c r="A2135" t="s">
        <v>3752</v>
      </c>
      <c r="B2135" t="s">
        <v>361</v>
      </c>
      <c r="C2135" t="s">
        <v>7397</v>
      </c>
      <c r="D2135">
        <v>6.426047</v>
      </c>
    </row>
    <row r="2136" spans="1:4">
      <c r="A2136" t="s">
        <v>3753</v>
      </c>
      <c r="B2136" t="s">
        <v>361</v>
      </c>
      <c r="C2136" t="s">
        <v>7398</v>
      </c>
      <c r="D2136">
        <v>19.777123</v>
      </c>
    </row>
    <row r="2137" spans="1:4">
      <c r="A2137" t="s">
        <v>3754</v>
      </c>
      <c r="B2137" t="s">
        <v>361</v>
      </c>
      <c r="C2137" t="s">
        <v>7399</v>
      </c>
      <c r="D2137">
        <v>0.175418</v>
      </c>
    </row>
    <row r="2138" spans="1:4">
      <c r="A2138" t="s">
        <v>3755</v>
      </c>
      <c r="B2138" t="s">
        <v>361</v>
      </c>
      <c r="C2138" t="s">
        <v>7307</v>
      </c>
      <c r="D2138">
        <v>17.626852</v>
      </c>
    </row>
    <row r="2139" spans="1:4">
      <c r="A2139" t="s">
        <v>3756</v>
      </c>
      <c r="B2139" t="s">
        <v>361</v>
      </c>
      <c r="C2139" t="s">
        <v>7308</v>
      </c>
      <c r="D2139">
        <v>76.051188</v>
      </c>
    </row>
    <row r="2140" spans="1:4">
      <c r="A2140" t="s">
        <v>3757</v>
      </c>
      <c r="B2140" t="s">
        <v>361</v>
      </c>
      <c r="C2140" t="s">
        <v>7400</v>
      </c>
      <c r="D2140">
        <v>4.797825</v>
      </c>
    </row>
    <row r="2141" spans="1:4">
      <c r="A2141" t="s">
        <v>3758</v>
      </c>
      <c r="B2141" t="s">
        <v>361</v>
      </c>
      <c r="C2141" t="s">
        <v>7401</v>
      </c>
      <c r="D2141">
        <v>18.660926</v>
      </c>
    </row>
    <row r="2142" spans="1:4">
      <c r="A2142" t="s">
        <v>3759</v>
      </c>
      <c r="B2142" t="s">
        <v>361</v>
      </c>
      <c r="C2142" t="s">
        <v>7402</v>
      </c>
      <c r="D2142">
        <v>0.227276</v>
      </c>
    </row>
    <row r="2143" spans="1:4">
      <c r="A2143" t="s">
        <v>3760</v>
      </c>
      <c r="B2143" t="s">
        <v>361</v>
      </c>
      <c r="C2143" t="s">
        <v>7403</v>
      </c>
      <c r="D2143">
        <v>8.303108</v>
      </c>
    </row>
    <row r="2144" spans="1:4">
      <c r="A2144" t="s">
        <v>3761</v>
      </c>
      <c r="B2144" t="s">
        <v>361</v>
      </c>
      <c r="C2144" t="s">
        <v>7309</v>
      </c>
      <c r="D2144">
        <v>32.613978</v>
      </c>
    </row>
    <row r="2145" spans="1:4">
      <c r="A2145" t="s">
        <v>3762</v>
      </c>
      <c r="B2145" t="s">
        <v>361</v>
      </c>
      <c r="C2145" t="s">
        <v>7404</v>
      </c>
      <c r="D2145">
        <v>2.008739</v>
      </c>
    </row>
    <row r="2146" spans="1:4">
      <c r="A2146" t="s">
        <v>3763</v>
      </c>
      <c r="B2146" t="s">
        <v>361</v>
      </c>
      <c r="C2146" t="s">
        <v>7310</v>
      </c>
      <c r="D2146">
        <v>178.824695</v>
      </c>
    </row>
    <row r="2147" spans="1:4">
      <c r="A2147" t="s">
        <v>3764</v>
      </c>
      <c r="B2147" t="s">
        <v>361</v>
      </c>
      <c r="C2147" t="s">
        <v>7405</v>
      </c>
      <c r="D2147">
        <v>798.191822</v>
      </c>
    </row>
    <row r="2148" spans="1:4">
      <c r="A2148" t="s">
        <v>3765</v>
      </c>
      <c r="B2148" t="s">
        <v>361</v>
      </c>
      <c r="C2148" t="s">
        <v>7406</v>
      </c>
      <c r="D2148">
        <v>306.902299</v>
      </c>
    </row>
    <row r="2149" spans="1:4">
      <c r="A2149" t="s">
        <v>3766</v>
      </c>
      <c r="B2149" t="s">
        <v>361</v>
      </c>
      <c r="C2149" t="s">
        <v>7407</v>
      </c>
      <c r="D2149">
        <v>89.358097</v>
      </c>
    </row>
    <row r="2150" spans="1:4">
      <c r="A2150" t="s">
        <v>3767</v>
      </c>
      <c r="B2150" t="s">
        <v>361</v>
      </c>
      <c r="C2150" t="s">
        <v>7408</v>
      </c>
      <c r="D2150">
        <v>69.929852</v>
      </c>
    </row>
    <row r="2151" spans="1:4">
      <c r="A2151" t="s">
        <v>3768</v>
      </c>
      <c r="B2151" t="s">
        <v>361</v>
      </c>
      <c r="C2151" t="s">
        <v>7311</v>
      </c>
      <c r="D2151">
        <v>4.974115</v>
      </c>
    </row>
    <row r="2152" spans="1:4">
      <c r="A2152" t="s">
        <v>3769</v>
      </c>
      <c r="B2152" t="s">
        <v>361</v>
      </c>
      <c r="C2152" t="s">
        <v>7409</v>
      </c>
      <c r="D2152">
        <v>1.102678</v>
      </c>
    </row>
    <row r="2153" spans="1:4">
      <c r="A2153" t="s">
        <v>3770</v>
      </c>
      <c r="B2153" t="s">
        <v>361</v>
      </c>
      <c r="C2153" t="s">
        <v>7312</v>
      </c>
      <c r="D2153">
        <v>83.713031</v>
      </c>
    </row>
    <row r="2154" spans="1:4">
      <c r="A2154" t="s">
        <v>3771</v>
      </c>
      <c r="B2154" t="s">
        <v>361</v>
      </c>
      <c r="C2154" t="s">
        <v>7410</v>
      </c>
      <c r="D2154">
        <v>0.050122</v>
      </c>
    </row>
    <row r="2155" spans="1:4">
      <c r="A2155" t="s">
        <v>3772</v>
      </c>
      <c r="B2155" t="s">
        <v>361</v>
      </c>
      <c r="C2155" t="s">
        <v>7411</v>
      </c>
      <c r="D2155">
        <v>84.313849</v>
      </c>
    </row>
    <row r="2156" spans="1:4">
      <c r="A2156" t="s">
        <v>3773</v>
      </c>
      <c r="B2156" t="s">
        <v>361</v>
      </c>
      <c r="C2156" t="s">
        <v>7313</v>
      </c>
      <c r="D2156">
        <v>67.60334899999999</v>
      </c>
    </row>
    <row r="2157" spans="1:4">
      <c r="A2157" t="s">
        <v>3774</v>
      </c>
      <c r="B2157" t="s">
        <v>361</v>
      </c>
      <c r="C2157" t="s">
        <v>7412</v>
      </c>
      <c r="D2157">
        <v>3.024259</v>
      </c>
    </row>
    <row r="2158" spans="1:4">
      <c r="A2158" t="s">
        <v>3775</v>
      </c>
      <c r="B2158" t="s">
        <v>361</v>
      </c>
      <c r="C2158" t="s">
        <v>7413</v>
      </c>
      <c r="D2158">
        <v>4.14875</v>
      </c>
    </row>
    <row r="2159" spans="1:4">
      <c r="A2159" t="s">
        <v>3776</v>
      </c>
      <c r="B2159" t="s">
        <v>361</v>
      </c>
      <c r="C2159" t="s">
        <v>7414</v>
      </c>
      <c r="D2159">
        <v>0.209047</v>
      </c>
    </row>
    <row r="2160" spans="1:4">
      <c r="A2160" t="s">
        <v>3777</v>
      </c>
      <c r="B2160" t="s">
        <v>361</v>
      </c>
      <c r="C2160" t="s">
        <v>7415</v>
      </c>
      <c r="D2160">
        <v>81.840627</v>
      </c>
    </row>
    <row r="2161" spans="1:4">
      <c r="A2161" t="s">
        <v>3778</v>
      </c>
      <c r="B2161" t="s">
        <v>361</v>
      </c>
      <c r="C2161" t="s">
        <v>7416</v>
      </c>
      <c r="D2161">
        <v>38.62594</v>
      </c>
    </row>
    <row r="2162" spans="1:4">
      <c r="A2162" t="s">
        <v>3779</v>
      </c>
      <c r="B2162" t="s">
        <v>361</v>
      </c>
      <c r="C2162" t="s">
        <v>7417</v>
      </c>
      <c r="D2162">
        <v>20.781465</v>
      </c>
    </row>
    <row r="2163" spans="1:4">
      <c r="A2163" t="s">
        <v>3780</v>
      </c>
      <c r="B2163" t="s">
        <v>361</v>
      </c>
      <c r="C2163" t="s">
        <v>7418</v>
      </c>
      <c r="D2163">
        <v>0.684463</v>
      </c>
    </row>
    <row r="2164" spans="1:4">
      <c r="A2164" t="s">
        <v>3781</v>
      </c>
      <c r="B2164" t="s">
        <v>361</v>
      </c>
      <c r="C2164" t="s">
        <v>7314</v>
      </c>
      <c r="D2164">
        <v>32.543099</v>
      </c>
    </row>
    <row r="2165" spans="1:4">
      <c r="A2165" t="s">
        <v>3782</v>
      </c>
      <c r="B2165" t="s">
        <v>361</v>
      </c>
      <c r="C2165" t="s">
        <v>7315</v>
      </c>
      <c r="D2165">
        <v>238.204939</v>
      </c>
    </row>
    <row r="2166" spans="1:4">
      <c r="A2166" t="s">
        <v>3783</v>
      </c>
      <c r="B2166" t="s">
        <v>361</v>
      </c>
      <c r="C2166" t="s">
        <v>7419</v>
      </c>
      <c r="D2166">
        <v>410.726771</v>
      </c>
    </row>
    <row r="2167" spans="1:4">
      <c r="A2167" t="s">
        <v>3784</v>
      </c>
      <c r="B2167" t="s">
        <v>361</v>
      </c>
      <c r="C2167" t="s">
        <v>7420</v>
      </c>
      <c r="D2167">
        <v>12.493825</v>
      </c>
    </row>
    <row r="2168" spans="1:4">
      <c r="A2168" t="s">
        <v>3785</v>
      </c>
      <c r="B2168" t="s">
        <v>361</v>
      </c>
      <c r="C2168" t="s">
        <v>7421</v>
      </c>
      <c r="D2168">
        <v>0.012498</v>
      </c>
    </row>
    <row r="2169" spans="1:4">
      <c r="A2169" t="s">
        <v>3786</v>
      </c>
      <c r="B2169" t="s">
        <v>361</v>
      </c>
      <c r="C2169" t="s">
        <v>7422</v>
      </c>
      <c r="D2169">
        <v>0.535017</v>
      </c>
    </row>
    <row r="2170" spans="1:4">
      <c r="A2170" t="s">
        <v>3787</v>
      </c>
      <c r="B2170" t="s">
        <v>361</v>
      </c>
      <c r="C2170" t="s">
        <v>7423</v>
      </c>
      <c r="D2170">
        <v>8.218536</v>
      </c>
    </row>
    <row r="2171" spans="1:4">
      <c r="A2171" t="s">
        <v>3788</v>
      </c>
      <c r="B2171" t="s">
        <v>361</v>
      </c>
      <c r="C2171" t="s">
        <v>7424</v>
      </c>
      <c r="D2171">
        <v>0.065065</v>
      </c>
    </row>
    <row r="2172" spans="1:4">
      <c r="A2172" t="s">
        <v>3789</v>
      </c>
      <c r="B2172" t="s">
        <v>361</v>
      </c>
      <c r="C2172" t="s">
        <v>7425</v>
      </c>
      <c r="D2172">
        <v>14.486954</v>
      </c>
    </row>
    <row r="2173" spans="1:4">
      <c r="A2173" t="s">
        <v>3790</v>
      </c>
      <c r="B2173" t="s">
        <v>361</v>
      </c>
      <c r="C2173" t="s">
        <v>7426</v>
      </c>
      <c r="D2173">
        <v>2.696598</v>
      </c>
    </row>
    <row r="2174" spans="1:4">
      <c r="A2174" t="s">
        <v>3791</v>
      </c>
      <c r="B2174" t="s">
        <v>361</v>
      </c>
      <c r="C2174" t="s">
        <v>7427</v>
      </c>
      <c r="D2174">
        <v>18.660926</v>
      </c>
    </row>
    <row r="2175" spans="1:4">
      <c r="A2175" t="s">
        <v>3792</v>
      </c>
      <c r="B2175" t="s">
        <v>361</v>
      </c>
      <c r="C2175" t="s">
        <v>7316</v>
      </c>
      <c r="D2175">
        <v>9.362726</v>
      </c>
    </row>
    <row r="2176" spans="1:4">
      <c r="A2176" t="s">
        <v>3793</v>
      </c>
      <c r="B2176" t="s">
        <v>361</v>
      </c>
      <c r="C2176" t="s">
        <v>7428</v>
      </c>
      <c r="D2176">
        <v>32.873045</v>
      </c>
    </row>
    <row r="2177" spans="1:4">
      <c r="A2177" t="s">
        <v>3794</v>
      </c>
      <c r="B2177" t="s">
        <v>361</v>
      </c>
      <c r="C2177" t="s">
        <v>7429</v>
      </c>
      <c r="D2177">
        <v>87.719691</v>
      </c>
    </row>
    <row r="2178" spans="1:4">
      <c r="A2178" t="s">
        <v>3795</v>
      </c>
      <c r="B2178" t="s">
        <v>361</v>
      </c>
      <c r="C2178" t="s">
        <v>7430</v>
      </c>
      <c r="D2178">
        <v>105.088887</v>
      </c>
    </row>
    <row r="2179" spans="1:4">
      <c r="A2179" t="s">
        <v>3796</v>
      </c>
      <c r="B2179" t="s">
        <v>361</v>
      </c>
      <c r="C2179" t="s">
        <v>7431</v>
      </c>
      <c r="D2179">
        <v>129.358736</v>
      </c>
    </row>
    <row r="2180" spans="1:4">
      <c r="A2180" t="s">
        <v>3797</v>
      </c>
      <c r="B2180" t="s">
        <v>361</v>
      </c>
      <c r="C2180" t="s">
        <v>7317</v>
      </c>
      <c r="D2180">
        <v>6.664373</v>
      </c>
    </row>
    <row r="2181" spans="1:4">
      <c r="A2181" t="s">
        <v>3798</v>
      </c>
      <c r="B2181" t="s">
        <v>361</v>
      </c>
      <c r="C2181" t="s">
        <v>7432</v>
      </c>
      <c r="D2181">
        <v>41.873201</v>
      </c>
    </row>
    <row r="2182" spans="1:4">
      <c r="A2182" t="s">
        <v>3799</v>
      </c>
      <c r="B2182" t="s">
        <v>361</v>
      </c>
      <c r="C2182" t="s">
        <v>7433</v>
      </c>
      <c r="D2182">
        <v>217.31539</v>
      </c>
    </row>
    <row r="2183" spans="1:4">
      <c r="A2183" t="s">
        <v>3800</v>
      </c>
      <c r="B2183" t="s">
        <v>361</v>
      </c>
      <c r="C2183" t="s">
        <v>7434</v>
      </c>
      <c r="D2183">
        <v>9.73447</v>
      </c>
    </row>
    <row r="2184" spans="1:4">
      <c r="A2184" t="s">
        <v>3801</v>
      </c>
      <c r="B2184" t="s">
        <v>361</v>
      </c>
      <c r="C2184" t="s">
        <v>7435</v>
      </c>
      <c r="D2184">
        <v>0.118348</v>
      </c>
    </row>
    <row r="2185" spans="1:4">
      <c r="A2185" t="s">
        <v>3802</v>
      </c>
      <c r="B2185" t="s">
        <v>361</v>
      </c>
      <c r="C2185" t="s">
        <v>7436</v>
      </c>
      <c r="D2185">
        <v>6.874868</v>
      </c>
    </row>
    <row r="2186" spans="1:4">
      <c r="A2186" t="s">
        <v>3803</v>
      </c>
      <c r="B2186" t="s">
        <v>361</v>
      </c>
      <c r="C2186" t="s">
        <v>7437</v>
      </c>
      <c r="D2186">
        <v>0.082244</v>
      </c>
    </row>
    <row r="2187" spans="1:4">
      <c r="A2187" t="s">
        <v>3804</v>
      </c>
      <c r="B2187" t="s">
        <v>361</v>
      </c>
      <c r="C2187" t="s">
        <v>399</v>
      </c>
      <c r="D2187">
        <v>306.811569</v>
      </c>
    </row>
    <row r="2188" spans="1:4">
      <c r="A2188" t="s">
        <v>3805</v>
      </c>
      <c r="B2188" t="s">
        <v>361</v>
      </c>
      <c r="C2188" t="s">
        <v>7438</v>
      </c>
      <c r="D2188">
        <v>7.582883</v>
      </c>
    </row>
    <row r="2189" spans="1:4">
      <c r="A2189" t="s">
        <v>3806</v>
      </c>
      <c r="B2189" t="s">
        <v>361</v>
      </c>
      <c r="C2189" t="s">
        <v>7439</v>
      </c>
      <c r="D2189">
        <v>0.025413</v>
      </c>
    </row>
    <row r="2190" spans="1:4">
      <c r="A2190" t="s">
        <v>3807</v>
      </c>
      <c r="B2190" t="s">
        <v>361</v>
      </c>
      <c r="C2190" t="s">
        <v>7440</v>
      </c>
      <c r="D2190">
        <v>0.541561</v>
      </c>
    </row>
    <row r="2191" spans="1:4">
      <c r="A2191" t="s">
        <v>3808</v>
      </c>
      <c r="B2191" t="s">
        <v>361</v>
      </c>
      <c r="C2191" t="s">
        <v>7441</v>
      </c>
      <c r="D2191">
        <v>0.011688</v>
      </c>
    </row>
    <row r="2192" spans="1:4">
      <c r="A2192" t="s">
        <v>3809</v>
      </c>
      <c r="B2192" t="s">
        <v>361</v>
      </c>
      <c r="C2192" t="s">
        <v>7442</v>
      </c>
      <c r="D2192">
        <v>2.58829</v>
      </c>
    </row>
    <row r="2193" spans="1:4">
      <c r="A2193" t="s">
        <v>3810</v>
      </c>
      <c r="B2193" t="s">
        <v>361</v>
      </c>
      <c r="C2193" t="s">
        <v>7443</v>
      </c>
      <c r="D2193">
        <v>113.803502</v>
      </c>
    </row>
    <row r="2194" spans="1:4">
      <c r="A2194" t="s">
        <v>3811</v>
      </c>
      <c r="B2194" t="s">
        <v>361</v>
      </c>
      <c r="C2194" t="s">
        <v>7444</v>
      </c>
      <c r="D2194">
        <v>0.541088</v>
      </c>
    </row>
    <row r="2195" spans="1:4">
      <c r="A2195" t="s">
        <v>3812</v>
      </c>
      <c r="B2195" t="s">
        <v>361</v>
      </c>
      <c r="C2195" t="s">
        <v>7445</v>
      </c>
      <c r="D2195">
        <v>113.667558</v>
      </c>
    </row>
    <row r="2196" spans="1:4">
      <c r="A2196" t="s">
        <v>3813</v>
      </c>
      <c r="B2196" t="s">
        <v>361</v>
      </c>
      <c r="C2196" t="s">
        <v>7446</v>
      </c>
      <c r="D2196">
        <v>171.453838</v>
      </c>
    </row>
    <row r="2197" spans="1:4">
      <c r="A2197" t="s">
        <v>3814</v>
      </c>
      <c r="B2197" t="s">
        <v>361</v>
      </c>
      <c r="C2197" t="s">
        <v>7447</v>
      </c>
      <c r="D2197">
        <v>417.137687</v>
      </c>
    </row>
    <row r="2198" spans="1:4">
      <c r="A2198" t="s">
        <v>3815</v>
      </c>
      <c r="B2198" t="s">
        <v>361</v>
      </c>
      <c r="C2198" t="s">
        <v>7448</v>
      </c>
      <c r="D2198">
        <v>0.541088</v>
      </c>
    </row>
    <row r="2199" spans="1:4">
      <c r="A2199" t="s">
        <v>3816</v>
      </c>
      <c r="B2199" t="s">
        <v>361</v>
      </c>
      <c r="C2199" t="s">
        <v>7449</v>
      </c>
      <c r="D2199">
        <v>2.97431</v>
      </c>
    </row>
    <row r="2200" spans="1:4">
      <c r="A2200" t="s">
        <v>3817</v>
      </c>
      <c r="B2200" t="s">
        <v>361</v>
      </c>
      <c r="C2200" t="s">
        <v>7450</v>
      </c>
      <c r="D2200">
        <v>1.281166</v>
      </c>
    </row>
    <row r="2201" spans="1:4">
      <c r="A2201" t="s">
        <v>3818</v>
      </c>
      <c r="B2201" t="s">
        <v>361</v>
      </c>
      <c r="C2201" t="s">
        <v>7318</v>
      </c>
      <c r="D2201">
        <v>18.660743</v>
      </c>
    </row>
    <row r="2202" spans="1:4">
      <c r="A2202" t="s">
        <v>3819</v>
      </c>
      <c r="B2202" t="s">
        <v>361</v>
      </c>
      <c r="C2202" t="s">
        <v>7451</v>
      </c>
      <c r="D2202">
        <v>17.306295</v>
      </c>
    </row>
    <row r="2203" spans="1:4">
      <c r="A2203" t="s">
        <v>3820</v>
      </c>
      <c r="B2203" t="s">
        <v>361</v>
      </c>
      <c r="C2203" t="s">
        <v>7452</v>
      </c>
      <c r="D2203">
        <v>11.407563</v>
      </c>
    </row>
    <row r="2204" spans="1:4">
      <c r="A2204" t="s">
        <v>3821</v>
      </c>
      <c r="B2204" t="s">
        <v>361</v>
      </c>
      <c r="C2204" t="s">
        <v>7453</v>
      </c>
      <c r="D2204">
        <v>11.407563</v>
      </c>
    </row>
    <row r="2205" spans="1:4">
      <c r="A2205" t="s">
        <v>3822</v>
      </c>
      <c r="B2205" t="s">
        <v>7290</v>
      </c>
      <c r="C2205" t="s">
        <v>397</v>
      </c>
      <c r="D2205">
        <v>355.795207</v>
      </c>
    </row>
    <row r="2206" spans="1:4">
      <c r="A2206" t="s">
        <v>3823</v>
      </c>
      <c r="B2206" t="s">
        <v>7290</v>
      </c>
      <c r="C2206" t="s">
        <v>7319</v>
      </c>
      <c r="D2206">
        <v>84.019464</v>
      </c>
    </row>
    <row r="2207" spans="1:4">
      <c r="A2207" t="s">
        <v>3824</v>
      </c>
      <c r="B2207" t="s">
        <v>7290</v>
      </c>
      <c r="C2207" t="s">
        <v>7320</v>
      </c>
      <c r="D2207">
        <v>4.899928</v>
      </c>
    </row>
    <row r="2208" spans="1:4">
      <c r="A2208" t="s">
        <v>3825</v>
      </c>
      <c r="B2208" t="s">
        <v>7290</v>
      </c>
      <c r="C2208" t="s">
        <v>7321</v>
      </c>
      <c r="D2208">
        <v>3.735362</v>
      </c>
    </row>
    <row r="2209" spans="1:4">
      <c r="A2209" t="s">
        <v>3826</v>
      </c>
      <c r="B2209" t="s">
        <v>7290</v>
      </c>
      <c r="C2209" t="s">
        <v>7322</v>
      </c>
      <c r="D2209">
        <v>0.837535</v>
      </c>
    </row>
    <row r="2210" spans="1:4">
      <c r="A2210" t="s">
        <v>3827</v>
      </c>
      <c r="B2210" t="s">
        <v>7290</v>
      </c>
      <c r="C2210" t="s">
        <v>7323</v>
      </c>
      <c r="D2210">
        <v>172.380731</v>
      </c>
    </row>
    <row r="2211" spans="1:4">
      <c r="A2211" t="s">
        <v>3828</v>
      </c>
      <c r="B2211" t="s">
        <v>7290</v>
      </c>
      <c r="C2211" t="s">
        <v>7324</v>
      </c>
      <c r="D2211">
        <v>0.323223</v>
      </c>
    </row>
    <row r="2212" spans="1:4">
      <c r="A2212" t="s">
        <v>3829</v>
      </c>
      <c r="B2212" t="s">
        <v>7290</v>
      </c>
      <c r="C2212" t="s">
        <v>7325</v>
      </c>
      <c r="D2212">
        <v>0.213479</v>
      </c>
    </row>
    <row r="2213" spans="1:4">
      <c r="A2213" t="s">
        <v>3830</v>
      </c>
      <c r="B2213" t="s">
        <v>7290</v>
      </c>
      <c r="C2213" t="s">
        <v>7292</v>
      </c>
      <c r="D2213">
        <v>217.534047</v>
      </c>
    </row>
    <row r="2214" spans="1:4">
      <c r="A2214" t="s">
        <v>3831</v>
      </c>
      <c r="B2214" t="s">
        <v>7290</v>
      </c>
      <c r="C2214" t="s">
        <v>7326</v>
      </c>
      <c r="D2214">
        <v>172.380731</v>
      </c>
    </row>
    <row r="2215" spans="1:4">
      <c r="A2215" t="s">
        <v>3832</v>
      </c>
      <c r="B2215" t="s">
        <v>7290</v>
      </c>
      <c r="C2215" t="s">
        <v>7327</v>
      </c>
      <c r="D2215">
        <v>181.673598</v>
      </c>
    </row>
    <row r="2216" spans="1:4">
      <c r="A2216" t="s">
        <v>3833</v>
      </c>
      <c r="B2216" t="s">
        <v>7290</v>
      </c>
      <c r="C2216" t="s">
        <v>7328</v>
      </c>
      <c r="D2216">
        <v>181.915201</v>
      </c>
    </row>
    <row r="2217" spans="1:4">
      <c r="A2217" t="s">
        <v>3834</v>
      </c>
      <c r="B2217" t="s">
        <v>7290</v>
      </c>
      <c r="C2217" t="s">
        <v>7329</v>
      </c>
      <c r="D2217">
        <v>154.280767</v>
      </c>
    </row>
    <row r="2218" spans="1:4">
      <c r="A2218" t="s">
        <v>3835</v>
      </c>
      <c r="B2218" t="s">
        <v>7290</v>
      </c>
      <c r="C2218" t="s">
        <v>7330</v>
      </c>
      <c r="D2218">
        <v>2.51307</v>
      </c>
    </row>
    <row r="2219" spans="1:4">
      <c r="A2219" t="s">
        <v>3836</v>
      </c>
      <c r="B2219" t="s">
        <v>7290</v>
      </c>
      <c r="C2219" t="s">
        <v>398</v>
      </c>
      <c r="D2219">
        <v>181.915201</v>
      </c>
    </row>
    <row r="2220" spans="1:4">
      <c r="A2220" t="s">
        <v>3837</v>
      </c>
      <c r="B2220" t="s">
        <v>7290</v>
      </c>
      <c r="C2220" t="s">
        <v>7331</v>
      </c>
      <c r="D2220">
        <v>820.642285</v>
      </c>
    </row>
    <row r="2221" spans="1:4">
      <c r="A2221" t="s">
        <v>3838</v>
      </c>
      <c r="B2221" t="s">
        <v>7290</v>
      </c>
      <c r="C2221" t="s">
        <v>7332</v>
      </c>
      <c r="D2221">
        <v>0.103344</v>
      </c>
    </row>
    <row r="2222" spans="1:4">
      <c r="A2222" t="s">
        <v>3839</v>
      </c>
      <c r="B2222" t="s">
        <v>7290</v>
      </c>
      <c r="C2222" t="s">
        <v>7333</v>
      </c>
      <c r="D2222">
        <v>308.561533</v>
      </c>
    </row>
    <row r="2223" spans="1:4">
      <c r="A2223" t="s">
        <v>3840</v>
      </c>
      <c r="B2223" t="s">
        <v>7290</v>
      </c>
      <c r="C2223" t="s">
        <v>7334</v>
      </c>
      <c r="D2223">
        <v>239.404272</v>
      </c>
    </row>
    <row r="2224" spans="1:4">
      <c r="A2224" t="s">
        <v>3841</v>
      </c>
      <c r="B2224" t="s">
        <v>7290</v>
      </c>
      <c r="C2224" t="s">
        <v>7335</v>
      </c>
      <c r="D2224">
        <v>44.605206</v>
      </c>
    </row>
    <row r="2225" spans="1:4">
      <c r="A2225" t="s">
        <v>3842</v>
      </c>
      <c r="B2225" t="s">
        <v>7290</v>
      </c>
      <c r="C2225" t="s">
        <v>7293</v>
      </c>
      <c r="D2225">
        <v>59.736402</v>
      </c>
    </row>
    <row r="2226" spans="1:4">
      <c r="A2226" t="s">
        <v>3843</v>
      </c>
      <c r="B2226" t="s">
        <v>7290</v>
      </c>
      <c r="C2226" t="s">
        <v>7336</v>
      </c>
      <c r="D2226">
        <v>308.561533</v>
      </c>
    </row>
    <row r="2227" spans="1:4">
      <c r="A2227" t="s">
        <v>3844</v>
      </c>
      <c r="B2227" t="s">
        <v>7290</v>
      </c>
      <c r="C2227" t="s">
        <v>7337</v>
      </c>
      <c r="D2227">
        <v>3.224163</v>
      </c>
    </row>
    <row r="2228" spans="1:4">
      <c r="A2228" t="s">
        <v>3845</v>
      </c>
      <c r="B2228" t="s">
        <v>7290</v>
      </c>
      <c r="C2228" t="s">
        <v>7338</v>
      </c>
      <c r="D2228">
        <v>21.905047</v>
      </c>
    </row>
    <row r="2229" spans="1:4">
      <c r="A2229" t="s">
        <v>3846</v>
      </c>
      <c r="B2229" t="s">
        <v>7290</v>
      </c>
      <c r="C2229" t="s">
        <v>7339</v>
      </c>
      <c r="D2229">
        <v>110.243558</v>
      </c>
    </row>
    <row r="2230" spans="1:4">
      <c r="A2230" t="s">
        <v>3847</v>
      </c>
      <c r="B2230" t="s">
        <v>7290</v>
      </c>
      <c r="C2230" t="s">
        <v>7340</v>
      </c>
      <c r="D2230">
        <v>154.280767</v>
      </c>
    </row>
    <row r="2231" spans="1:4">
      <c r="A2231" t="s">
        <v>3848</v>
      </c>
      <c r="B2231" t="s">
        <v>7290</v>
      </c>
      <c r="C2231" t="s">
        <v>7294</v>
      </c>
      <c r="D2231">
        <v>221.152762</v>
      </c>
    </row>
    <row r="2232" spans="1:4">
      <c r="A2232" t="s">
        <v>3849</v>
      </c>
      <c r="B2232" t="s">
        <v>7290</v>
      </c>
      <c r="C2232" t="s">
        <v>7341</v>
      </c>
      <c r="D2232">
        <v>0.13353</v>
      </c>
    </row>
    <row r="2233" spans="1:4">
      <c r="A2233" t="s">
        <v>3850</v>
      </c>
      <c r="B2233" t="s">
        <v>7290</v>
      </c>
      <c r="C2233" t="s">
        <v>7295</v>
      </c>
      <c r="D2233">
        <v>386.761246</v>
      </c>
    </row>
    <row r="2234" spans="1:4">
      <c r="A2234" t="s">
        <v>3851</v>
      </c>
      <c r="B2234" t="s">
        <v>7290</v>
      </c>
      <c r="C2234" t="s">
        <v>7342</v>
      </c>
      <c r="D2234">
        <v>13344.655577</v>
      </c>
    </row>
    <row r="2235" spans="1:4">
      <c r="A2235" t="s">
        <v>3852</v>
      </c>
      <c r="B2235" t="s">
        <v>7290</v>
      </c>
      <c r="C2235" t="s">
        <v>7343</v>
      </c>
      <c r="D2235">
        <v>0.337617</v>
      </c>
    </row>
    <row r="2236" spans="1:4">
      <c r="A2236" t="s">
        <v>3853</v>
      </c>
      <c r="B2236" t="s">
        <v>7290</v>
      </c>
      <c r="C2236" t="s">
        <v>7344</v>
      </c>
      <c r="D2236">
        <v>45.47218</v>
      </c>
    </row>
    <row r="2237" spans="1:4">
      <c r="A2237" t="s">
        <v>3854</v>
      </c>
      <c r="B2237" t="s">
        <v>7290</v>
      </c>
      <c r="C2237" t="s">
        <v>7296</v>
      </c>
      <c r="D2237">
        <v>45.439954</v>
      </c>
    </row>
    <row r="2238" spans="1:4">
      <c r="A2238" t="s">
        <v>3855</v>
      </c>
      <c r="B2238" t="s">
        <v>7290</v>
      </c>
      <c r="C2238" t="s">
        <v>7345</v>
      </c>
      <c r="D2238">
        <v>0.085578</v>
      </c>
    </row>
    <row r="2239" spans="1:4">
      <c r="A2239" t="s">
        <v>3856</v>
      </c>
      <c r="B2239" t="s">
        <v>7290</v>
      </c>
      <c r="C2239" t="s">
        <v>7346</v>
      </c>
      <c r="D2239">
        <v>0.6706839999999999</v>
      </c>
    </row>
    <row r="2240" spans="1:4">
      <c r="A2240" t="s">
        <v>3857</v>
      </c>
      <c r="B2240" t="s">
        <v>7290</v>
      </c>
      <c r="C2240" t="s">
        <v>7347</v>
      </c>
      <c r="D2240">
        <v>12.856729</v>
      </c>
    </row>
    <row r="2241" spans="1:4">
      <c r="A2241" t="s">
        <v>3858</v>
      </c>
      <c r="B2241" t="s">
        <v>7290</v>
      </c>
      <c r="C2241" t="s">
        <v>7348</v>
      </c>
      <c r="D2241">
        <v>3.226728</v>
      </c>
    </row>
    <row r="2242" spans="1:4">
      <c r="A2242" t="s">
        <v>3859</v>
      </c>
      <c r="B2242" t="s">
        <v>7290</v>
      </c>
      <c r="C2242" t="s">
        <v>7297</v>
      </c>
      <c r="D2242">
        <v>14.696465</v>
      </c>
    </row>
    <row r="2243" spans="1:4">
      <c r="A2243" t="s">
        <v>3860</v>
      </c>
      <c r="B2243" t="s">
        <v>7290</v>
      </c>
      <c r="C2243" t="s">
        <v>7349</v>
      </c>
      <c r="D2243">
        <v>1.736213</v>
      </c>
    </row>
    <row r="2244" spans="1:4">
      <c r="A2244" t="s">
        <v>3861</v>
      </c>
      <c r="B2244" t="s">
        <v>7290</v>
      </c>
      <c r="C2244" t="s">
        <v>7298</v>
      </c>
      <c r="D2244">
        <v>47.671751</v>
      </c>
    </row>
    <row r="2245" spans="1:4">
      <c r="A2245" t="s">
        <v>3862</v>
      </c>
      <c r="B2245" t="s">
        <v>7290</v>
      </c>
      <c r="C2245" t="s">
        <v>7350</v>
      </c>
      <c r="D2245">
        <v>5.30195</v>
      </c>
    </row>
    <row r="2246" spans="1:4">
      <c r="A2246" t="s">
        <v>3863</v>
      </c>
      <c r="B2246" t="s">
        <v>7290</v>
      </c>
      <c r="C2246" t="s">
        <v>7351</v>
      </c>
      <c r="D2246">
        <v>2.307964</v>
      </c>
    </row>
    <row r="2247" spans="1:4">
      <c r="A2247" t="s">
        <v>3864</v>
      </c>
      <c r="B2247" t="s">
        <v>7290</v>
      </c>
      <c r="C2247" t="s">
        <v>7352</v>
      </c>
      <c r="D2247">
        <v>5.925014</v>
      </c>
    </row>
    <row r="2248" spans="1:4">
      <c r="A2248" t="s">
        <v>3865</v>
      </c>
      <c r="B2248" t="s">
        <v>7290</v>
      </c>
      <c r="C2248" t="s">
        <v>7353</v>
      </c>
      <c r="D2248">
        <v>20.570767</v>
      </c>
    </row>
    <row r="2249" spans="1:4">
      <c r="A2249" t="s">
        <v>3866</v>
      </c>
      <c r="B2249" t="s">
        <v>7290</v>
      </c>
      <c r="C2249" t="s">
        <v>7354</v>
      </c>
      <c r="D2249">
        <v>1.927808</v>
      </c>
    </row>
    <row r="2250" spans="1:4">
      <c r="A2250" t="s">
        <v>3867</v>
      </c>
      <c r="B2250" t="s">
        <v>7290</v>
      </c>
      <c r="C2250" t="s">
        <v>7355</v>
      </c>
      <c r="D2250">
        <v>139.446107</v>
      </c>
    </row>
    <row r="2251" spans="1:4">
      <c r="A2251" t="s">
        <v>3868</v>
      </c>
      <c r="B2251" t="s">
        <v>7290</v>
      </c>
      <c r="C2251" t="s">
        <v>7356</v>
      </c>
      <c r="D2251">
        <v>411.604686</v>
      </c>
    </row>
    <row r="2252" spans="1:4">
      <c r="A2252" t="s">
        <v>3869</v>
      </c>
      <c r="B2252" t="s">
        <v>7290</v>
      </c>
      <c r="C2252" t="s">
        <v>7357</v>
      </c>
      <c r="D2252">
        <v>47.671764</v>
      </c>
    </row>
    <row r="2253" spans="1:4">
      <c r="A2253" t="s">
        <v>3870</v>
      </c>
      <c r="B2253" t="s">
        <v>7290</v>
      </c>
      <c r="C2253" t="s">
        <v>7299</v>
      </c>
      <c r="D2253">
        <v>411.604686</v>
      </c>
    </row>
    <row r="2254" spans="1:4">
      <c r="A2254" t="s">
        <v>3871</v>
      </c>
      <c r="B2254" t="s">
        <v>7290</v>
      </c>
      <c r="C2254" t="s">
        <v>7358</v>
      </c>
      <c r="D2254">
        <v>115.962611</v>
      </c>
    </row>
    <row r="2255" spans="1:4">
      <c r="A2255" t="s">
        <v>3872</v>
      </c>
      <c r="B2255" t="s">
        <v>7290</v>
      </c>
      <c r="C2255" t="s">
        <v>7359</v>
      </c>
      <c r="D2255">
        <v>411.604686</v>
      </c>
    </row>
    <row r="2256" spans="1:4">
      <c r="A2256" t="s">
        <v>3873</v>
      </c>
      <c r="B2256" t="s">
        <v>7290</v>
      </c>
      <c r="C2256" t="s">
        <v>7360</v>
      </c>
      <c r="D2256">
        <v>26.101749</v>
      </c>
    </row>
    <row r="2257" spans="1:4">
      <c r="A2257" t="s">
        <v>3874</v>
      </c>
      <c r="B2257" t="s">
        <v>7290</v>
      </c>
      <c r="C2257" t="s">
        <v>7361</v>
      </c>
      <c r="D2257">
        <v>411.604686</v>
      </c>
    </row>
    <row r="2258" spans="1:4">
      <c r="A2258" t="s">
        <v>3875</v>
      </c>
      <c r="B2258" t="s">
        <v>7290</v>
      </c>
      <c r="C2258" t="s">
        <v>7362</v>
      </c>
      <c r="D2258">
        <v>4.155993</v>
      </c>
    </row>
    <row r="2259" spans="1:4">
      <c r="A2259" t="s">
        <v>3876</v>
      </c>
      <c r="B2259" t="s">
        <v>7290</v>
      </c>
      <c r="C2259" t="s">
        <v>7363</v>
      </c>
      <c r="D2259">
        <v>0.035146</v>
      </c>
    </row>
    <row r="2260" spans="1:4">
      <c r="A2260" t="s">
        <v>3877</v>
      </c>
      <c r="B2260" t="s">
        <v>7290</v>
      </c>
      <c r="C2260" t="s">
        <v>7364</v>
      </c>
      <c r="D2260">
        <v>40.513788</v>
      </c>
    </row>
    <row r="2261" spans="1:4">
      <c r="A2261" t="s">
        <v>3878</v>
      </c>
      <c r="B2261" t="s">
        <v>7290</v>
      </c>
      <c r="C2261" t="s">
        <v>7365</v>
      </c>
      <c r="D2261">
        <v>1.474858</v>
      </c>
    </row>
    <row r="2262" spans="1:4">
      <c r="A2262" t="s">
        <v>3879</v>
      </c>
      <c r="B2262" t="s">
        <v>7290</v>
      </c>
      <c r="C2262" t="s">
        <v>7300</v>
      </c>
      <c r="D2262">
        <v>39.368838</v>
      </c>
    </row>
    <row r="2263" spans="1:4">
      <c r="A2263" t="s">
        <v>3880</v>
      </c>
      <c r="B2263" t="s">
        <v>7290</v>
      </c>
      <c r="C2263" t="s">
        <v>7366</v>
      </c>
      <c r="D2263">
        <v>11.595306</v>
      </c>
    </row>
    <row r="2264" spans="1:4">
      <c r="A2264" t="s">
        <v>3881</v>
      </c>
      <c r="B2264" t="s">
        <v>7290</v>
      </c>
      <c r="C2264" t="s">
        <v>7367</v>
      </c>
      <c r="D2264">
        <v>47.222139</v>
      </c>
    </row>
    <row r="2265" spans="1:4">
      <c r="A2265" t="s">
        <v>3882</v>
      </c>
      <c r="B2265" t="s">
        <v>7290</v>
      </c>
      <c r="C2265" t="s">
        <v>7368</v>
      </c>
      <c r="D2265">
        <v>2.359371</v>
      </c>
    </row>
    <row r="2266" spans="1:4">
      <c r="A2266" t="s">
        <v>3883</v>
      </c>
      <c r="B2266" t="s">
        <v>7290</v>
      </c>
      <c r="C2266" t="s">
        <v>7301</v>
      </c>
      <c r="D2266">
        <v>0.017002</v>
      </c>
    </row>
    <row r="2267" spans="1:4">
      <c r="A2267" t="s">
        <v>3884</v>
      </c>
      <c r="B2267" t="s">
        <v>7290</v>
      </c>
      <c r="C2267" t="s">
        <v>7302</v>
      </c>
      <c r="D2267">
        <v>105.061569</v>
      </c>
    </row>
    <row r="2268" spans="1:4">
      <c r="A2268" t="s">
        <v>3885</v>
      </c>
      <c r="B2268" t="s">
        <v>7290</v>
      </c>
      <c r="C2268" t="s">
        <v>7369</v>
      </c>
      <c r="D2268">
        <v>411.604686</v>
      </c>
    </row>
    <row r="2269" spans="1:4">
      <c r="A2269" t="s">
        <v>3886</v>
      </c>
      <c r="B2269" t="s">
        <v>7290</v>
      </c>
      <c r="C2269" t="s">
        <v>7303</v>
      </c>
      <c r="D2269">
        <v>3.224155</v>
      </c>
    </row>
    <row r="2270" spans="1:4">
      <c r="A2270" t="s">
        <v>3887</v>
      </c>
      <c r="B2270" t="s">
        <v>7290</v>
      </c>
      <c r="C2270" t="s">
        <v>7370</v>
      </c>
      <c r="D2270">
        <v>0.234933</v>
      </c>
    </row>
    <row r="2271" spans="1:4">
      <c r="A2271" t="s">
        <v>3888</v>
      </c>
      <c r="B2271" t="s">
        <v>7290</v>
      </c>
      <c r="C2271" t="s">
        <v>7371</v>
      </c>
      <c r="D2271">
        <v>0.000225</v>
      </c>
    </row>
    <row r="2272" spans="1:4">
      <c r="A2272" t="s">
        <v>3889</v>
      </c>
      <c r="B2272" t="s">
        <v>7290</v>
      </c>
      <c r="C2272" t="s">
        <v>7304</v>
      </c>
      <c r="D2272">
        <v>2.477757</v>
      </c>
    </row>
    <row r="2273" spans="1:4">
      <c r="A2273" t="s">
        <v>3890</v>
      </c>
      <c r="B2273" t="s">
        <v>7290</v>
      </c>
      <c r="C2273" t="s">
        <v>7372</v>
      </c>
      <c r="D2273">
        <v>411.604686</v>
      </c>
    </row>
    <row r="2274" spans="1:4">
      <c r="A2274" t="s">
        <v>3891</v>
      </c>
      <c r="B2274" t="s">
        <v>7290</v>
      </c>
      <c r="C2274" t="s">
        <v>7373</v>
      </c>
      <c r="D2274">
        <v>1.95653</v>
      </c>
    </row>
    <row r="2275" spans="1:4">
      <c r="A2275" t="s">
        <v>3892</v>
      </c>
      <c r="B2275" t="s">
        <v>7290</v>
      </c>
      <c r="C2275" t="s">
        <v>7374</v>
      </c>
      <c r="D2275">
        <v>435.206459</v>
      </c>
    </row>
    <row r="2276" spans="1:4">
      <c r="A2276" t="s">
        <v>3893</v>
      </c>
      <c r="B2276" t="s">
        <v>7290</v>
      </c>
      <c r="C2276" t="s">
        <v>7305</v>
      </c>
      <c r="D2276">
        <v>1.926168</v>
      </c>
    </row>
    <row r="2277" spans="1:4">
      <c r="A2277" t="s">
        <v>3894</v>
      </c>
      <c r="B2277" t="s">
        <v>7290</v>
      </c>
      <c r="C2277" t="s">
        <v>7375</v>
      </c>
      <c r="D2277">
        <v>2.383574</v>
      </c>
    </row>
    <row r="2278" spans="1:4">
      <c r="A2278" t="s">
        <v>3895</v>
      </c>
      <c r="B2278" t="s">
        <v>7290</v>
      </c>
      <c r="C2278" t="s">
        <v>7376</v>
      </c>
      <c r="D2278">
        <v>3.528968</v>
      </c>
    </row>
    <row r="2279" spans="1:4">
      <c r="A2279" t="s">
        <v>3896</v>
      </c>
      <c r="B2279" t="s">
        <v>7290</v>
      </c>
      <c r="C2279" t="s">
        <v>7377</v>
      </c>
      <c r="D2279">
        <v>0.076303</v>
      </c>
    </row>
    <row r="2280" spans="1:4">
      <c r="A2280" t="s">
        <v>3897</v>
      </c>
      <c r="B2280" t="s">
        <v>7290</v>
      </c>
      <c r="C2280" t="s">
        <v>7378</v>
      </c>
      <c r="D2280">
        <v>217.469162</v>
      </c>
    </row>
    <row r="2281" spans="1:4">
      <c r="A2281" t="s">
        <v>3898</v>
      </c>
      <c r="B2281" t="s">
        <v>7290</v>
      </c>
      <c r="C2281" t="s">
        <v>7379</v>
      </c>
      <c r="D2281">
        <v>0.723208</v>
      </c>
    </row>
    <row r="2282" spans="1:4">
      <c r="A2282" t="s">
        <v>3899</v>
      </c>
      <c r="B2282" t="s">
        <v>7290</v>
      </c>
      <c r="C2282" t="s">
        <v>7306</v>
      </c>
      <c r="D2282">
        <v>0.20188</v>
      </c>
    </row>
    <row r="2283" spans="1:4">
      <c r="A2283" t="s">
        <v>3900</v>
      </c>
      <c r="B2283" t="s">
        <v>7290</v>
      </c>
      <c r="C2283" t="s">
        <v>7380</v>
      </c>
      <c r="D2283">
        <v>1000.059608</v>
      </c>
    </row>
    <row r="2284" spans="1:4">
      <c r="A2284" t="s">
        <v>3901</v>
      </c>
      <c r="B2284" t="s">
        <v>7290</v>
      </c>
      <c r="C2284" t="s">
        <v>7381</v>
      </c>
      <c r="D2284">
        <v>370.274032</v>
      </c>
    </row>
    <row r="2285" spans="1:4">
      <c r="A2285" t="s">
        <v>3902</v>
      </c>
      <c r="B2285" t="s">
        <v>7290</v>
      </c>
      <c r="C2285" t="s">
        <v>7382</v>
      </c>
      <c r="D2285">
        <v>0.63419</v>
      </c>
    </row>
    <row r="2286" spans="1:4">
      <c r="A2286" t="s">
        <v>3903</v>
      </c>
      <c r="B2286" t="s">
        <v>7290</v>
      </c>
      <c r="C2286" t="s">
        <v>7383</v>
      </c>
      <c r="D2286">
        <v>0.014068</v>
      </c>
    </row>
    <row r="2287" spans="1:4">
      <c r="A2287" t="s">
        <v>3904</v>
      </c>
      <c r="B2287" t="s">
        <v>7290</v>
      </c>
      <c r="C2287" t="s">
        <v>7384</v>
      </c>
      <c r="D2287">
        <v>0.003448</v>
      </c>
    </row>
    <row r="2288" spans="1:4">
      <c r="A2288" t="s">
        <v>3905</v>
      </c>
      <c r="B2288" t="s">
        <v>7290</v>
      </c>
      <c r="C2288" t="s">
        <v>7385</v>
      </c>
      <c r="D2288">
        <v>0.916859</v>
      </c>
    </row>
    <row r="2289" spans="1:4">
      <c r="A2289" t="s">
        <v>3906</v>
      </c>
      <c r="B2289" t="s">
        <v>7290</v>
      </c>
      <c r="C2289" t="s">
        <v>7386</v>
      </c>
      <c r="D2289">
        <v>1.692352</v>
      </c>
    </row>
    <row r="2290" spans="1:4">
      <c r="A2290" t="s">
        <v>3907</v>
      </c>
      <c r="B2290" t="s">
        <v>7290</v>
      </c>
      <c r="C2290" t="s">
        <v>7387</v>
      </c>
      <c r="D2290">
        <v>18.681602</v>
      </c>
    </row>
    <row r="2291" spans="1:4">
      <c r="A2291" t="s">
        <v>3908</v>
      </c>
      <c r="B2291" t="s">
        <v>7290</v>
      </c>
      <c r="C2291" t="s">
        <v>7388</v>
      </c>
      <c r="D2291">
        <v>48.511689</v>
      </c>
    </row>
    <row r="2292" spans="1:4">
      <c r="A2292" t="s">
        <v>3909</v>
      </c>
      <c r="B2292" t="s">
        <v>7290</v>
      </c>
      <c r="C2292" t="s">
        <v>7389</v>
      </c>
      <c r="D2292">
        <v>33.351191</v>
      </c>
    </row>
    <row r="2293" spans="1:4">
      <c r="A2293" t="s">
        <v>3910</v>
      </c>
      <c r="B2293" t="s">
        <v>7290</v>
      </c>
      <c r="C2293" t="s">
        <v>7390</v>
      </c>
      <c r="D2293">
        <v>17.818865</v>
      </c>
    </row>
    <row r="2294" spans="1:4">
      <c r="A2294" t="s">
        <v>3911</v>
      </c>
      <c r="B2294" t="s">
        <v>7290</v>
      </c>
      <c r="C2294" t="s">
        <v>7391</v>
      </c>
      <c r="D2294">
        <v>0.07333099999999999</v>
      </c>
    </row>
    <row r="2295" spans="1:4">
      <c r="A2295" t="s">
        <v>3912</v>
      </c>
      <c r="B2295" t="s">
        <v>7290</v>
      </c>
      <c r="C2295" t="s">
        <v>7392</v>
      </c>
      <c r="D2295">
        <v>5.769228</v>
      </c>
    </row>
    <row r="2296" spans="1:4">
      <c r="A2296" t="s">
        <v>3913</v>
      </c>
      <c r="B2296" t="s">
        <v>7290</v>
      </c>
      <c r="C2296" t="s">
        <v>7393</v>
      </c>
      <c r="D2296">
        <v>0.146972</v>
      </c>
    </row>
    <row r="2297" spans="1:4">
      <c r="A2297" t="s">
        <v>3914</v>
      </c>
      <c r="B2297" t="s">
        <v>7290</v>
      </c>
      <c r="C2297" t="s">
        <v>7394</v>
      </c>
      <c r="D2297">
        <v>0.086786</v>
      </c>
    </row>
    <row r="2298" spans="1:4">
      <c r="A2298" t="s">
        <v>3915</v>
      </c>
      <c r="B2298" t="s">
        <v>7290</v>
      </c>
      <c r="C2298" t="s">
        <v>7395</v>
      </c>
      <c r="D2298">
        <v>38.222187</v>
      </c>
    </row>
    <row r="2299" spans="1:4">
      <c r="A2299" t="s">
        <v>3916</v>
      </c>
      <c r="B2299" t="s">
        <v>7290</v>
      </c>
      <c r="C2299" t="s">
        <v>7396</v>
      </c>
      <c r="D2299">
        <v>7.713638</v>
      </c>
    </row>
    <row r="2300" spans="1:4">
      <c r="A2300" t="s">
        <v>3917</v>
      </c>
      <c r="B2300" t="s">
        <v>7290</v>
      </c>
      <c r="C2300" t="s">
        <v>7397</v>
      </c>
      <c r="D2300">
        <v>6.452017</v>
      </c>
    </row>
    <row r="2301" spans="1:4">
      <c r="A2301" t="s">
        <v>3918</v>
      </c>
      <c r="B2301" t="s">
        <v>7290</v>
      </c>
      <c r="C2301" t="s">
        <v>7398</v>
      </c>
      <c r="D2301">
        <v>19.983503</v>
      </c>
    </row>
    <row r="2302" spans="1:4">
      <c r="A2302" t="s">
        <v>3919</v>
      </c>
      <c r="B2302" t="s">
        <v>7290</v>
      </c>
      <c r="C2302" t="s">
        <v>7399</v>
      </c>
      <c r="D2302">
        <v>0.176738</v>
      </c>
    </row>
    <row r="2303" spans="1:4">
      <c r="A2303" t="s">
        <v>3920</v>
      </c>
      <c r="B2303" t="s">
        <v>7290</v>
      </c>
      <c r="C2303" t="s">
        <v>7307</v>
      </c>
      <c r="D2303">
        <v>17.673605</v>
      </c>
    </row>
    <row r="2304" spans="1:4">
      <c r="A2304" t="s">
        <v>3921</v>
      </c>
      <c r="B2304" t="s">
        <v>7290</v>
      </c>
      <c r="C2304" t="s">
        <v>7308</v>
      </c>
      <c r="D2304">
        <v>75.73507600000001</v>
      </c>
    </row>
    <row r="2305" spans="1:4">
      <c r="A2305" t="s">
        <v>3922</v>
      </c>
      <c r="B2305" t="s">
        <v>7290</v>
      </c>
      <c r="C2305" t="s">
        <v>7400</v>
      </c>
      <c r="D2305">
        <v>4.833266</v>
      </c>
    </row>
    <row r="2306" spans="1:4">
      <c r="A2306" t="s">
        <v>3923</v>
      </c>
      <c r="B2306" t="s">
        <v>7290</v>
      </c>
      <c r="C2306" t="s">
        <v>7401</v>
      </c>
      <c r="D2306">
        <v>18.681602</v>
      </c>
    </row>
    <row r="2307" spans="1:4">
      <c r="A2307" t="s">
        <v>3924</v>
      </c>
      <c r="B2307" t="s">
        <v>7290</v>
      </c>
      <c r="C2307" t="s">
        <v>7402</v>
      </c>
      <c r="D2307">
        <v>0.228299</v>
      </c>
    </row>
    <row r="2308" spans="1:4">
      <c r="A2308" t="s">
        <v>3925</v>
      </c>
      <c r="B2308" t="s">
        <v>7290</v>
      </c>
      <c r="C2308" t="s">
        <v>7403</v>
      </c>
      <c r="D2308">
        <v>8.402578999999999</v>
      </c>
    </row>
    <row r="2309" spans="1:4">
      <c r="A2309" t="s">
        <v>3926</v>
      </c>
      <c r="B2309" t="s">
        <v>7290</v>
      </c>
      <c r="C2309" t="s">
        <v>7309</v>
      </c>
      <c r="D2309">
        <v>32.582984</v>
      </c>
    </row>
    <row r="2310" spans="1:4">
      <c r="A2310" t="s">
        <v>3927</v>
      </c>
      <c r="B2310" t="s">
        <v>7290</v>
      </c>
      <c r="C2310" t="s">
        <v>7404</v>
      </c>
      <c r="D2310">
        <v>2.015102</v>
      </c>
    </row>
    <row r="2311" spans="1:4">
      <c r="A2311" t="s">
        <v>3928</v>
      </c>
      <c r="B2311" t="s">
        <v>7290</v>
      </c>
      <c r="C2311" t="s">
        <v>7310</v>
      </c>
      <c r="D2311">
        <v>179.236229</v>
      </c>
    </row>
    <row r="2312" spans="1:4">
      <c r="A2312" t="s">
        <v>3929</v>
      </c>
      <c r="B2312" t="s">
        <v>7290</v>
      </c>
      <c r="C2312" t="s">
        <v>7405</v>
      </c>
      <c r="D2312">
        <v>802.506359</v>
      </c>
    </row>
    <row r="2313" spans="1:4">
      <c r="A2313" t="s">
        <v>3930</v>
      </c>
      <c r="B2313" t="s">
        <v>7290</v>
      </c>
      <c r="C2313" t="s">
        <v>7406</v>
      </c>
      <c r="D2313">
        <v>308.561533</v>
      </c>
    </row>
    <row r="2314" spans="1:4">
      <c r="A2314" t="s">
        <v>3931</v>
      </c>
      <c r="B2314" t="s">
        <v>7290</v>
      </c>
      <c r="C2314" t="s">
        <v>7407</v>
      </c>
      <c r="D2314">
        <v>88.733003</v>
      </c>
    </row>
    <row r="2315" spans="1:4">
      <c r="A2315" t="s">
        <v>3932</v>
      </c>
      <c r="B2315" t="s">
        <v>7290</v>
      </c>
      <c r="C2315" t="s">
        <v>7408</v>
      </c>
      <c r="D2315">
        <v>70.059596</v>
      </c>
    </row>
    <row r="2316" spans="1:4">
      <c r="A2316" t="s">
        <v>3933</v>
      </c>
      <c r="B2316" t="s">
        <v>7290</v>
      </c>
      <c r="C2316" t="s">
        <v>7311</v>
      </c>
      <c r="D2316">
        <v>5.002126</v>
      </c>
    </row>
    <row r="2317" spans="1:4">
      <c r="A2317" t="s">
        <v>3934</v>
      </c>
      <c r="B2317" t="s">
        <v>7290</v>
      </c>
      <c r="C2317" t="s">
        <v>7409</v>
      </c>
      <c r="D2317">
        <v>1.109059</v>
      </c>
    </row>
    <row r="2318" spans="1:4">
      <c r="A2318" t="s">
        <v>3935</v>
      </c>
      <c r="B2318" t="s">
        <v>7290</v>
      </c>
      <c r="C2318" t="s">
        <v>7312</v>
      </c>
      <c r="D2318">
        <v>83.887551</v>
      </c>
    </row>
    <row r="2319" spans="1:4">
      <c r="A2319" t="s">
        <v>3936</v>
      </c>
      <c r="B2319" t="s">
        <v>7290</v>
      </c>
      <c r="C2319" t="s">
        <v>7410</v>
      </c>
      <c r="D2319">
        <v>0.050512</v>
      </c>
    </row>
    <row r="2320" spans="1:4">
      <c r="A2320" t="s">
        <v>3937</v>
      </c>
      <c r="B2320" t="s">
        <v>7290</v>
      </c>
      <c r="C2320" t="s">
        <v>7411</v>
      </c>
      <c r="D2320">
        <v>84.769637</v>
      </c>
    </row>
    <row r="2321" spans="1:4">
      <c r="A2321" t="s">
        <v>3938</v>
      </c>
      <c r="B2321" t="s">
        <v>7290</v>
      </c>
      <c r="C2321" t="s">
        <v>7313</v>
      </c>
      <c r="D2321">
        <v>67.84504200000001</v>
      </c>
    </row>
    <row r="2322" spans="1:4">
      <c r="A2322" t="s">
        <v>3939</v>
      </c>
      <c r="B2322" t="s">
        <v>7290</v>
      </c>
      <c r="C2322" t="s">
        <v>7412</v>
      </c>
      <c r="D2322">
        <v>3.030463</v>
      </c>
    </row>
    <row r="2323" spans="1:4">
      <c r="A2323" t="s">
        <v>3940</v>
      </c>
      <c r="B2323" t="s">
        <v>7290</v>
      </c>
      <c r="C2323" t="s">
        <v>7413</v>
      </c>
      <c r="D2323">
        <v>4.21742</v>
      </c>
    </row>
    <row r="2324" spans="1:4">
      <c r="A2324" t="s">
        <v>3941</v>
      </c>
      <c r="B2324" t="s">
        <v>7290</v>
      </c>
      <c r="C2324" t="s">
        <v>7414</v>
      </c>
      <c r="D2324">
        <v>0.210648</v>
      </c>
    </row>
    <row r="2325" spans="1:4">
      <c r="A2325" t="s">
        <v>3942</v>
      </c>
      <c r="B2325" t="s">
        <v>7290</v>
      </c>
      <c r="C2325" t="s">
        <v>7415</v>
      </c>
      <c r="D2325">
        <v>82.28307100000001</v>
      </c>
    </row>
    <row r="2326" spans="1:4">
      <c r="A2326" t="s">
        <v>3943</v>
      </c>
      <c r="B2326" t="s">
        <v>7290</v>
      </c>
      <c r="C2326" t="s">
        <v>7416</v>
      </c>
      <c r="D2326">
        <v>38.643368</v>
      </c>
    </row>
    <row r="2327" spans="1:4">
      <c r="A2327" t="s">
        <v>3944</v>
      </c>
      <c r="B2327" t="s">
        <v>7290</v>
      </c>
      <c r="C2327" t="s">
        <v>7417</v>
      </c>
      <c r="D2327">
        <v>21.558816</v>
      </c>
    </row>
    <row r="2328" spans="1:4">
      <c r="A2328" t="s">
        <v>3945</v>
      </c>
      <c r="B2328" t="s">
        <v>7290</v>
      </c>
      <c r="C2328" t="s">
        <v>7418</v>
      </c>
      <c r="D2328">
        <v>0.68974</v>
      </c>
    </row>
    <row r="2329" spans="1:4">
      <c r="A2329" t="s">
        <v>3946</v>
      </c>
      <c r="B2329" t="s">
        <v>7290</v>
      </c>
      <c r="C2329" t="s">
        <v>7314</v>
      </c>
      <c r="D2329">
        <v>32.696001</v>
      </c>
    </row>
    <row r="2330" spans="1:4">
      <c r="A2330" t="s">
        <v>3947</v>
      </c>
      <c r="B2330" t="s">
        <v>7290</v>
      </c>
      <c r="C2330" t="s">
        <v>7315</v>
      </c>
      <c r="D2330">
        <v>239.404272</v>
      </c>
    </row>
    <row r="2331" spans="1:4">
      <c r="A2331" t="s">
        <v>3948</v>
      </c>
      <c r="B2331" t="s">
        <v>7290</v>
      </c>
      <c r="C2331" t="s">
        <v>7419</v>
      </c>
      <c r="D2331">
        <v>411.604686</v>
      </c>
    </row>
    <row r="2332" spans="1:4">
      <c r="A2332" t="s">
        <v>3949</v>
      </c>
      <c r="B2332" t="s">
        <v>7290</v>
      </c>
      <c r="C2332" t="s">
        <v>7420</v>
      </c>
      <c r="D2332">
        <v>12.565067</v>
      </c>
    </row>
    <row r="2333" spans="1:4">
      <c r="A2333" t="s">
        <v>3950</v>
      </c>
      <c r="B2333" t="s">
        <v>7290</v>
      </c>
      <c r="C2333" t="s">
        <v>7421</v>
      </c>
      <c r="D2333">
        <v>0.012565</v>
      </c>
    </row>
    <row r="2334" spans="1:4">
      <c r="A2334" t="s">
        <v>3951</v>
      </c>
      <c r="B2334" t="s">
        <v>7290</v>
      </c>
      <c r="C2334" t="s">
        <v>7422</v>
      </c>
      <c r="D2334">
        <v>0.540145</v>
      </c>
    </row>
    <row r="2335" spans="1:4">
      <c r="A2335" t="s">
        <v>3952</v>
      </c>
      <c r="B2335" t="s">
        <v>7290</v>
      </c>
      <c r="C2335" t="s">
        <v>7423</v>
      </c>
      <c r="D2335">
        <v>8.26282</v>
      </c>
    </row>
    <row r="2336" spans="1:4">
      <c r="A2336" t="s">
        <v>3953</v>
      </c>
      <c r="B2336" t="s">
        <v>7290</v>
      </c>
      <c r="C2336" t="s">
        <v>7424</v>
      </c>
      <c r="D2336">
        <v>0.065415</v>
      </c>
    </row>
    <row r="2337" spans="1:4">
      <c r="A2337" t="s">
        <v>3954</v>
      </c>
      <c r="B2337" t="s">
        <v>7290</v>
      </c>
      <c r="C2337" t="s">
        <v>7425</v>
      </c>
      <c r="D2337">
        <v>14.522253</v>
      </c>
    </row>
    <row r="2338" spans="1:4">
      <c r="A2338" t="s">
        <v>3955</v>
      </c>
      <c r="B2338" t="s">
        <v>7290</v>
      </c>
      <c r="C2338" t="s">
        <v>7426</v>
      </c>
      <c r="D2338">
        <v>2.750096</v>
      </c>
    </row>
    <row r="2339" spans="1:4">
      <c r="A2339" t="s">
        <v>3956</v>
      </c>
      <c r="B2339" t="s">
        <v>7290</v>
      </c>
      <c r="C2339" t="s">
        <v>7427</v>
      </c>
      <c r="D2339">
        <v>18.681602</v>
      </c>
    </row>
    <row r="2340" spans="1:4">
      <c r="A2340" t="s">
        <v>3957</v>
      </c>
      <c r="B2340" t="s">
        <v>7290</v>
      </c>
      <c r="C2340" t="s">
        <v>7316</v>
      </c>
      <c r="D2340">
        <v>9.396311000000001</v>
      </c>
    </row>
    <row r="2341" spans="1:4">
      <c r="A2341" t="s">
        <v>3958</v>
      </c>
      <c r="B2341" t="s">
        <v>7290</v>
      </c>
      <c r="C2341" t="s">
        <v>7428</v>
      </c>
      <c r="D2341">
        <v>33.137758</v>
      </c>
    </row>
    <row r="2342" spans="1:4">
      <c r="A2342" t="s">
        <v>3959</v>
      </c>
      <c r="B2342" t="s">
        <v>7290</v>
      </c>
      <c r="C2342" t="s">
        <v>7429</v>
      </c>
      <c r="D2342">
        <v>88.281351</v>
      </c>
    </row>
    <row r="2343" spans="1:4">
      <c r="A2343" t="s">
        <v>3960</v>
      </c>
      <c r="B2343" t="s">
        <v>7290</v>
      </c>
      <c r="C2343" t="s">
        <v>7430</v>
      </c>
      <c r="D2343">
        <v>105.454673</v>
      </c>
    </row>
    <row r="2344" spans="1:4">
      <c r="A2344" t="s">
        <v>3961</v>
      </c>
      <c r="B2344" t="s">
        <v>7290</v>
      </c>
      <c r="C2344" t="s">
        <v>7431</v>
      </c>
      <c r="D2344">
        <v>130.574859</v>
      </c>
    </row>
    <row r="2345" spans="1:4">
      <c r="A2345" t="s">
        <v>3962</v>
      </c>
      <c r="B2345" t="s">
        <v>7290</v>
      </c>
      <c r="C2345" t="s">
        <v>7317</v>
      </c>
      <c r="D2345">
        <v>6.692504</v>
      </c>
    </row>
    <row r="2346" spans="1:4">
      <c r="A2346" t="s">
        <v>3963</v>
      </c>
      <c r="B2346" t="s">
        <v>7290</v>
      </c>
      <c r="C2346" t="s">
        <v>7432</v>
      </c>
      <c r="D2346">
        <v>41.341577</v>
      </c>
    </row>
    <row r="2347" spans="1:4">
      <c r="A2347" t="s">
        <v>3964</v>
      </c>
      <c r="B2347" t="s">
        <v>7290</v>
      </c>
      <c r="C2347" t="s">
        <v>7433</v>
      </c>
      <c r="D2347">
        <v>217.469162</v>
      </c>
    </row>
    <row r="2348" spans="1:4">
      <c r="A2348" t="s">
        <v>3965</v>
      </c>
      <c r="B2348" t="s">
        <v>7290</v>
      </c>
      <c r="C2348" t="s">
        <v>7434</v>
      </c>
      <c r="D2348">
        <v>9.769534999999999</v>
      </c>
    </row>
    <row r="2349" spans="1:4">
      <c r="A2349" t="s">
        <v>3966</v>
      </c>
      <c r="B2349" t="s">
        <v>7290</v>
      </c>
      <c r="C2349" t="s">
        <v>7435</v>
      </c>
      <c r="D2349">
        <v>0.118524</v>
      </c>
    </row>
    <row r="2350" spans="1:4">
      <c r="A2350" t="s">
        <v>3967</v>
      </c>
      <c r="B2350" t="s">
        <v>7290</v>
      </c>
      <c r="C2350" t="s">
        <v>7436</v>
      </c>
      <c r="D2350">
        <v>6.937813</v>
      </c>
    </row>
    <row r="2351" spans="1:4">
      <c r="A2351" t="s">
        <v>3968</v>
      </c>
      <c r="B2351" t="s">
        <v>7290</v>
      </c>
      <c r="C2351" t="s">
        <v>7437</v>
      </c>
      <c r="D2351">
        <v>0.082708</v>
      </c>
    </row>
    <row r="2352" spans="1:4">
      <c r="A2352" t="s">
        <v>3969</v>
      </c>
      <c r="B2352" t="s">
        <v>7290</v>
      </c>
      <c r="C2352" t="s">
        <v>399</v>
      </c>
      <c r="D2352">
        <v>308.560998</v>
      </c>
    </row>
    <row r="2353" spans="1:4">
      <c r="A2353" t="s">
        <v>3970</v>
      </c>
      <c r="B2353" t="s">
        <v>7290</v>
      </c>
      <c r="C2353" t="s">
        <v>7438</v>
      </c>
      <c r="D2353">
        <v>7.654891</v>
      </c>
    </row>
    <row r="2354" spans="1:4">
      <c r="A2354" t="s">
        <v>3971</v>
      </c>
      <c r="B2354" t="s">
        <v>7290</v>
      </c>
      <c r="C2354" t="s">
        <v>7439</v>
      </c>
      <c r="D2354">
        <v>0.025809</v>
      </c>
    </row>
    <row r="2355" spans="1:4">
      <c r="A2355" t="s">
        <v>3972</v>
      </c>
      <c r="B2355" t="s">
        <v>7290</v>
      </c>
      <c r="C2355" t="s">
        <v>7440</v>
      </c>
      <c r="D2355">
        <v>0.54288</v>
      </c>
    </row>
    <row r="2356" spans="1:4">
      <c r="A2356" t="s">
        <v>3973</v>
      </c>
      <c r="B2356" t="s">
        <v>7290</v>
      </c>
      <c r="C2356" t="s">
        <v>7441</v>
      </c>
      <c r="D2356">
        <v>0.011762</v>
      </c>
    </row>
    <row r="2357" spans="1:4">
      <c r="A2357" t="s">
        <v>3974</v>
      </c>
      <c r="B2357" t="s">
        <v>7290</v>
      </c>
      <c r="C2357" t="s">
        <v>7442</v>
      </c>
      <c r="D2357">
        <v>2.597712</v>
      </c>
    </row>
    <row r="2358" spans="1:4">
      <c r="A2358" t="s">
        <v>3975</v>
      </c>
      <c r="B2358" t="s">
        <v>7290</v>
      </c>
      <c r="C2358" t="s">
        <v>7443</v>
      </c>
      <c r="D2358">
        <v>114.084461</v>
      </c>
    </row>
    <row r="2359" spans="1:4">
      <c r="A2359" t="s">
        <v>3976</v>
      </c>
      <c r="B2359" t="s">
        <v>7290</v>
      </c>
      <c r="C2359" t="s">
        <v>7444</v>
      </c>
      <c r="D2359">
        <v>0.5424060000000001</v>
      </c>
    </row>
    <row r="2360" spans="1:4">
      <c r="A2360" t="s">
        <v>3977</v>
      </c>
      <c r="B2360" t="s">
        <v>7290</v>
      </c>
      <c r="C2360" t="s">
        <v>7445</v>
      </c>
      <c r="D2360">
        <v>114.282046</v>
      </c>
    </row>
    <row r="2361" spans="1:4">
      <c r="A2361" t="s">
        <v>3978</v>
      </c>
      <c r="B2361" t="s">
        <v>7290</v>
      </c>
      <c r="C2361" t="s">
        <v>7446</v>
      </c>
      <c r="D2361">
        <v>172.380731</v>
      </c>
    </row>
    <row r="2362" spans="1:4">
      <c r="A2362" t="s">
        <v>3979</v>
      </c>
      <c r="B2362" t="s">
        <v>7290</v>
      </c>
      <c r="C2362" t="s">
        <v>7447</v>
      </c>
      <c r="D2362">
        <v>419.98386</v>
      </c>
    </row>
    <row r="2363" spans="1:4">
      <c r="A2363" t="s">
        <v>3980</v>
      </c>
      <c r="B2363" t="s">
        <v>7290</v>
      </c>
      <c r="C2363" t="s">
        <v>7448</v>
      </c>
      <c r="D2363">
        <v>0.5424060000000001</v>
      </c>
    </row>
    <row r="2364" spans="1:4">
      <c r="A2364" t="s">
        <v>3981</v>
      </c>
      <c r="B2364" t="s">
        <v>7290</v>
      </c>
      <c r="C2364" t="s">
        <v>7449</v>
      </c>
      <c r="D2364">
        <v>2.981557</v>
      </c>
    </row>
    <row r="2365" spans="1:4">
      <c r="A2365" t="s">
        <v>3982</v>
      </c>
      <c r="B2365" t="s">
        <v>7290</v>
      </c>
      <c r="C2365" t="s">
        <v>7450</v>
      </c>
      <c r="D2365">
        <v>1.294481</v>
      </c>
    </row>
    <row r="2366" spans="1:4">
      <c r="A2366" t="s">
        <v>3983</v>
      </c>
      <c r="B2366" t="s">
        <v>7290</v>
      </c>
      <c r="C2366" t="s">
        <v>7318</v>
      </c>
      <c r="D2366">
        <v>18.681592</v>
      </c>
    </row>
    <row r="2367" spans="1:4">
      <c r="A2367" t="s">
        <v>3984</v>
      </c>
      <c r="B2367" t="s">
        <v>7290</v>
      </c>
      <c r="C2367" t="s">
        <v>7451</v>
      </c>
      <c r="D2367">
        <v>17.470396</v>
      </c>
    </row>
    <row r="2368" spans="1:4">
      <c r="A2368" t="s">
        <v>3985</v>
      </c>
      <c r="B2368" t="s">
        <v>7290</v>
      </c>
      <c r="C2368" t="s">
        <v>7452</v>
      </c>
      <c r="D2368">
        <v>11.509268</v>
      </c>
    </row>
    <row r="2369" spans="1:4">
      <c r="A2369" t="s">
        <v>3986</v>
      </c>
      <c r="B2369" t="s">
        <v>7290</v>
      </c>
      <c r="C2369" t="s">
        <v>7453</v>
      </c>
      <c r="D2369">
        <v>11.509268</v>
      </c>
    </row>
    <row r="2370" spans="1:4">
      <c r="A2370" t="s">
        <v>3987</v>
      </c>
      <c r="B2370" t="s">
        <v>362</v>
      </c>
      <c r="C2370" t="s">
        <v>397</v>
      </c>
      <c r="D2370">
        <v>355.628718</v>
      </c>
    </row>
    <row r="2371" spans="1:4">
      <c r="A2371" t="s">
        <v>3988</v>
      </c>
      <c r="B2371" t="s">
        <v>362</v>
      </c>
      <c r="C2371" t="s">
        <v>7319</v>
      </c>
      <c r="D2371">
        <v>83.846498</v>
      </c>
    </row>
    <row r="2372" spans="1:4">
      <c r="A2372" t="s">
        <v>3989</v>
      </c>
      <c r="B2372" t="s">
        <v>362</v>
      </c>
      <c r="C2372" t="s">
        <v>7320</v>
      </c>
      <c r="D2372">
        <v>4.793115</v>
      </c>
    </row>
    <row r="2373" spans="1:4">
      <c r="A2373" t="s">
        <v>3990</v>
      </c>
      <c r="B2373" t="s">
        <v>362</v>
      </c>
      <c r="C2373" t="s">
        <v>7321</v>
      </c>
      <c r="D2373">
        <v>3.73374</v>
      </c>
    </row>
    <row r="2374" spans="1:4">
      <c r="A2374" t="s">
        <v>3991</v>
      </c>
      <c r="B2374" t="s">
        <v>362</v>
      </c>
      <c r="C2374" t="s">
        <v>7322</v>
      </c>
      <c r="D2374">
        <v>0.834674</v>
      </c>
    </row>
    <row r="2375" spans="1:4">
      <c r="A2375" t="s">
        <v>3992</v>
      </c>
      <c r="B2375" t="s">
        <v>362</v>
      </c>
      <c r="C2375" t="s">
        <v>7323</v>
      </c>
      <c r="D2375">
        <v>172.025861</v>
      </c>
    </row>
    <row r="2376" spans="1:4">
      <c r="A2376" t="s">
        <v>3993</v>
      </c>
      <c r="B2376" t="s">
        <v>362</v>
      </c>
      <c r="C2376" t="s">
        <v>7324</v>
      </c>
      <c r="D2376">
        <v>0.3257</v>
      </c>
    </row>
    <row r="2377" spans="1:4">
      <c r="A2377" t="s">
        <v>3994</v>
      </c>
      <c r="B2377" t="s">
        <v>362</v>
      </c>
      <c r="C2377" t="s">
        <v>7325</v>
      </c>
      <c r="D2377">
        <v>0.212926</v>
      </c>
    </row>
    <row r="2378" spans="1:4">
      <c r="A2378" t="s">
        <v>3995</v>
      </c>
      <c r="B2378" t="s">
        <v>362</v>
      </c>
      <c r="C2378" t="s">
        <v>7292</v>
      </c>
      <c r="D2378">
        <v>216.593339</v>
      </c>
    </row>
    <row r="2379" spans="1:4">
      <c r="A2379" t="s">
        <v>3996</v>
      </c>
      <c r="B2379" t="s">
        <v>362</v>
      </c>
      <c r="C2379" t="s">
        <v>7326</v>
      </c>
      <c r="D2379">
        <v>172.025861</v>
      </c>
    </row>
    <row r="2380" spans="1:4">
      <c r="A2380" t="s">
        <v>3997</v>
      </c>
      <c r="B2380" t="s">
        <v>362</v>
      </c>
      <c r="C2380" t="s">
        <v>7327</v>
      </c>
      <c r="D2380">
        <v>180.991207</v>
      </c>
    </row>
    <row r="2381" spans="1:4">
      <c r="A2381" t="s">
        <v>3998</v>
      </c>
      <c r="B2381" t="s">
        <v>362</v>
      </c>
      <c r="C2381" t="s">
        <v>7328</v>
      </c>
      <c r="D2381">
        <v>181.830076</v>
      </c>
    </row>
    <row r="2382" spans="1:4">
      <c r="A2382" t="s">
        <v>3999</v>
      </c>
      <c r="B2382" t="s">
        <v>362</v>
      </c>
      <c r="C2382" t="s">
        <v>7329</v>
      </c>
      <c r="D2382">
        <v>153.963157</v>
      </c>
    </row>
    <row r="2383" spans="1:4">
      <c r="A2383" t="s">
        <v>4000</v>
      </c>
      <c r="B2383" t="s">
        <v>362</v>
      </c>
      <c r="C2383" t="s">
        <v>7330</v>
      </c>
      <c r="D2383">
        <v>2.506932</v>
      </c>
    </row>
    <row r="2384" spans="1:4">
      <c r="A2384" t="s">
        <v>4001</v>
      </c>
      <c r="B2384" t="s">
        <v>362</v>
      </c>
      <c r="C2384" t="s">
        <v>398</v>
      </c>
      <c r="D2384">
        <v>181.830076</v>
      </c>
    </row>
    <row r="2385" spans="1:4">
      <c r="A2385" t="s">
        <v>4002</v>
      </c>
      <c r="B2385" t="s">
        <v>362</v>
      </c>
      <c r="C2385" t="s">
        <v>7331</v>
      </c>
      <c r="D2385">
        <v>818.953036</v>
      </c>
    </row>
    <row r="2386" spans="1:4">
      <c r="A2386" t="s">
        <v>4003</v>
      </c>
      <c r="B2386" t="s">
        <v>362</v>
      </c>
      <c r="C2386" t="s">
        <v>7332</v>
      </c>
      <c r="D2386">
        <v>0.103104</v>
      </c>
    </row>
    <row r="2387" spans="1:4">
      <c r="A2387" t="s">
        <v>4004</v>
      </c>
      <c r="B2387" t="s">
        <v>362</v>
      </c>
      <c r="C2387" t="s">
        <v>7333</v>
      </c>
      <c r="D2387">
        <v>307.926313</v>
      </c>
    </row>
    <row r="2388" spans="1:4">
      <c r="A2388" t="s">
        <v>4005</v>
      </c>
      <c r="B2388" t="s">
        <v>362</v>
      </c>
      <c r="C2388" t="s">
        <v>7334</v>
      </c>
      <c r="D2388">
        <v>239.304806</v>
      </c>
    </row>
    <row r="2389" spans="1:4">
      <c r="A2389" t="s">
        <v>4006</v>
      </c>
      <c r="B2389" t="s">
        <v>362</v>
      </c>
      <c r="C2389" t="s">
        <v>7335</v>
      </c>
      <c r="D2389">
        <v>44.455396</v>
      </c>
    </row>
    <row r="2390" spans="1:4">
      <c r="A2390" t="s">
        <v>4007</v>
      </c>
      <c r="B2390" t="s">
        <v>362</v>
      </c>
      <c r="C2390" t="s">
        <v>7293</v>
      </c>
      <c r="D2390">
        <v>59.492448</v>
      </c>
    </row>
    <row r="2391" spans="1:4">
      <c r="A2391" t="s">
        <v>4008</v>
      </c>
      <c r="B2391" t="s">
        <v>362</v>
      </c>
      <c r="C2391" t="s">
        <v>7336</v>
      </c>
      <c r="D2391">
        <v>307.926313</v>
      </c>
    </row>
    <row r="2392" spans="1:4">
      <c r="A2392" t="s">
        <v>4009</v>
      </c>
      <c r="B2392" t="s">
        <v>362</v>
      </c>
      <c r="C2392" t="s">
        <v>7337</v>
      </c>
      <c r="D2392">
        <v>3.227039</v>
      </c>
    </row>
    <row r="2393" spans="1:4">
      <c r="A2393" t="s">
        <v>4010</v>
      </c>
      <c r="B2393" t="s">
        <v>362</v>
      </c>
      <c r="C2393" t="s">
        <v>7338</v>
      </c>
      <c r="D2393">
        <v>21.848016</v>
      </c>
    </row>
    <row r="2394" spans="1:4">
      <c r="A2394" t="s">
        <v>4011</v>
      </c>
      <c r="B2394" t="s">
        <v>362</v>
      </c>
      <c r="C2394" t="s">
        <v>7339</v>
      </c>
      <c r="D2394">
        <v>111.628559</v>
      </c>
    </row>
    <row r="2395" spans="1:4">
      <c r="A2395" t="s">
        <v>4012</v>
      </c>
      <c r="B2395" t="s">
        <v>362</v>
      </c>
      <c r="C2395" t="s">
        <v>7340</v>
      </c>
      <c r="D2395">
        <v>153.963157</v>
      </c>
    </row>
    <row r="2396" spans="1:4">
      <c r="A2396" t="s">
        <v>4013</v>
      </c>
      <c r="B2396" t="s">
        <v>362</v>
      </c>
      <c r="C2396" t="s">
        <v>7294</v>
      </c>
      <c r="D2396">
        <v>220.827326</v>
      </c>
    </row>
    <row r="2397" spans="1:4">
      <c r="A2397" t="s">
        <v>4014</v>
      </c>
      <c r="B2397" t="s">
        <v>362</v>
      </c>
      <c r="C2397" t="s">
        <v>7341</v>
      </c>
      <c r="D2397">
        <v>0.133375</v>
      </c>
    </row>
    <row r="2398" spans="1:4">
      <c r="A2398" t="s">
        <v>4015</v>
      </c>
      <c r="B2398" t="s">
        <v>362</v>
      </c>
      <c r="C2398" t="s">
        <v>7295</v>
      </c>
      <c r="D2398">
        <v>385.937552</v>
      </c>
    </row>
    <row r="2399" spans="1:4">
      <c r="A2399" t="s">
        <v>4016</v>
      </c>
      <c r="B2399" t="s">
        <v>362</v>
      </c>
      <c r="C2399" t="s">
        <v>7342</v>
      </c>
      <c r="D2399">
        <v>13180.709314</v>
      </c>
    </row>
    <row r="2400" spans="1:4">
      <c r="A2400" t="s">
        <v>4017</v>
      </c>
      <c r="B2400" t="s">
        <v>362</v>
      </c>
      <c r="C2400" t="s">
        <v>7343</v>
      </c>
      <c r="D2400">
        <v>0.333468</v>
      </c>
    </row>
    <row r="2401" spans="1:4">
      <c r="A2401" t="s">
        <v>4018</v>
      </c>
      <c r="B2401" t="s">
        <v>362</v>
      </c>
      <c r="C2401" t="s">
        <v>7344</v>
      </c>
      <c r="D2401">
        <v>45.446702</v>
      </c>
    </row>
    <row r="2402" spans="1:4">
      <c r="A2402" t="s">
        <v>4019</v>
      </c>
      <c r="B2402" t="s">
        <v>362</v>
      </c>
      <c r="C2402" t="s">
        <v>7296</v>
      </c>
      <c r="D2402">
        <v>45.424342</v>
      </c>
    </row>
    <row r="2403" spans="1:4">
      <c r="A2403" t="s">
        <v>4020</v>
      </c>
      <c r="B2403" t="s">
        <v>362</v>
      </c>
      <c r="C2403" t="s">
        <v>7345</v>
      </c>
      <c r="D2403">
        <v>0.085617</v>
      </c>
    </row>
    <row r="2404" spans="1:4">
      <c r="A2404" t="s">
        <v>4021</v>
      </c>
      <c r="B2404" t="s">
        <v>362</v>
      </c>
      <c r="C2404" t="s">
        <v>7346</v>
      </c>
      <c r="D2404">
        <v>0.6672</v>
      </c>
    </row>
    <row r="2405" spans="1:4">
      <c r="A2405" t="s">
        <v>4022</v>
      </c>
      <c r="B2405" t="s">
        <v>362</v>
      </c>
      <c r="C2405" t="s">
        <v>7347</v>
      </c>
      <c r="D2405">
        <v>12.830261</v>
      </c>
    </row>
    <row r="2406" spans="1:4">
      <c r="A2406" t="s">
        <v>4023</v>
      </c>
      <c r="B2406" t="s">
        <v>362</v>
      </c>
      <c r="C2406" t="s">
        <v>7348</v>
      </c>
      <c r="D2406">
        <v>3.225219</v>
      </c>
    </row>
    <row r="2407" spans="1:4">
      <c r="A2407" t="s">
        <v>4024</v>
      </c>
      <c r="B2407" t="s">
        <v>362</v>
      </c>
      <c r="C2407" t="s">
        <v>7297</v>
      </c>
      <c r="D2407">
        <v>14.715838</v>
      </c>
    </row>
    <row r="2408" spans="1:4">
      <c r="A2408" t="s">
        <v>4025</v>
      </c>
      <c r="B2408" t="s">
        <v>362</v>
      </c>
      <c r="C2408" t="s">
        <v>7349</v>
      </c>
      <c r="D2408">
        <v>1.732639</v>
      </c>
    </row>
    <row r="2409" spans="1:4">
      <c r="A2409" t="s">
        <v>4026</v>
      </c>
      <c r="B2409" t="s">
        <v>362</v>
      </c>
      <c r="C2409" t="s">
        <v>7298</v>
      </c>
      <c r="D2409">
        <v>47.649157</v>
      </c>
    </row>
    <row r="2410" spans="1:4">
      <c r="A2410" t="s">
        <v>4027</v>
      </c>
      <c r="B2410" t="s">
        <v>362</v>
      </c>
      <c r="C2410" t="s">
        <v>7350</v>
      </c>
      <c r="D2410">
        <v>5.287014</v>
      </c>
    </row>
    <row r="2411" spans="1:4">
      <c r="A2411" t="s">
        <v>4028</v>
      </c>
      <c r="B2411" t="s">
        <v>362</v>
      </c>
      <c r="C2411" t="s">
        <v>7351</v>
      </c>
      <c r="D2411">
        <v>2.30264</v>
      </c>
    </row>
    <row r="2412" spans="1:4">
      <c r="A2412" t="s">
        <v>4029</v>
      </c>
      <c r="B2412" t="s">
        <v>362</v>
      </c>
      <c r="C2412" t="s">
        <v>7352</v>
      </c>
      <c r="D2412">
        <v>5.95468</v>
      </c>
    </row>
    <row r="2413" spans="1:4">
      <c r="A2413" t="s">
        <v>4030</v>
      </c>
      <c r="B2413" t="s">
        <v>362</v>
      </c>
      <c r="C2413" t="s">
        <v>7353</v>
      </c>
      <c r="D2413">
        <v>20.528419</v>
      </c>
    </row>
    <row r="2414" spans="1:4">
      <c r="A2414" t="s">
        <v>4031</v>
      </c>
      <c r="B2414" t="s">
        <v>362</v>
      </c>
      <c r="C2414" t="s">
        <v>7354</v>
      </c>
      <c r="D2414">
        <v>1.918655</v>
      </c>
    </row>
    <row r="2415" spans="1:4">
      <c r="A2415" t="s">
        <v>4032</v>
      </c>
      <c r="B2415" t="s">
        <v>362</v>
      </c>
      <c r="C2415" t="s">
        <v>7355</v>
      </c>
      <c r="D2415">
        <v>138.920778</v>
      </c>
    </row>
    <row r="2416" spans="1:4">
      <c r="A2416" t="s">
        <v>4033</v>
      </c>
      <c r="B2416" t="s">
        <v>362</v>
      </c>
      <c r="C2416" t="s">
        <v>7356</v>
      </c>
      <c r="D2416">
        <v>411.962535</v>
      </c>
    </row>
    <row r="2417" spans="1:4">
      <c r="A2417" t="s">
        <v>4034</v>
      </c>
      <c r="B2417" t="s">
        <v>362</v>
      </c>
      <c r="C2417" t="s">
        <v>7357</v>
      </c>
      <c r="D2417">
        <v>47.649169</v>
      </c>
    </row>
    <row r="2418" spans="1:4">
      <c r="A2418" t="s">
        <v>4035</v>
      </c>
      <c r="B2418" t="s">
        <v>362</v>
      </c>
      <c r="C2418" t="s">
        <v>7299</v>
      </c>
      <c r="D2418">
        <v>411.962535</v>
      </c>
    </row>
    <row r="2419" spans="1:4">
      <c r="A2419" t="s">
        <v>4036</v>
      </c>
      <c r="B2419" t="s">
        <v>362</v>
      </c>
      <c r="C2419" t="s">
        <v>7358</v>
      </c>
      <c r="D2419">
        <v>115.750578</v>
      </c>
    </row>
    <row r="2420" spans="1:4">
      <c r="A2420" t="s">
        <v>4037</v>
      </c>
      <c r="B2420" t="s">
        <v>362</v>
      </c>
      <c r="C2420" t="s">
        <v>7359</v>
      </c>
      <c r="D2420">
        <v>411.962535</v>
      </c>
    </row>
    <row r="2421" spans="1:4">
      <c r="A2421" t="s">
        <v>4038</v>
      </c>
      <c r="B2421" t="s">
        <v>362</v>
      </c>
      <c r="C2421" t="s">
        <v>7360</v>
      </c>
      <c r="D2421">
        <v>26.405312</v>
      </c>
    </row>
    <row r="2422" spans="1:4">
      <c r="A2422" t="s">
        <v>4039</v>
      </c>
      <c r="B2422" t="s">
        <v>362</v>
      </c>
      <c r="C2422" t="s">
        <v>7361</v>
      </c>
      <c r="D2422">
        <v>411.962535</v>
      </c>
    </row>
    <row r="2423" spans="1:4">
      <c r="A2423" t="s">
        <v>4040</v>
      </c>
      <c r="B2423" t="s">
        <v>362</v>
      </c>
      <c r="C2423" t="s">
        <v>7362</v>
      </c>
      <c r="D2423">
        <v>4.148256</v>
      </c>
    </row>
    <row r="2424" spans="1:4">
      <c r="A2424" t="s">
        <v>4041</v>
      </c>
      <c r="B2424" t="s">
        <v>362</v>
      </c>
      <c r="C2424" t="s">
        <v>7363</v>
      </c>
      <c r="D2424">
        <v>0.035094</v>
      </c>
    </row>
    <row r="2425" spans="1:4">
      <c r="A2425" t="s">
        <v>4042</v>
      </c>
      <c r="B2425" t="s">
        <v>362</v>
      </c>
      <c r="C2425" t="s">
        <v>7364</v>
      </c>
      <c r="D2425">
        <v>40.373238</v>
      </c>
    </row>
    <row r="2426" spans="1:4">
      <c r="A2426" t="s">
        <v>4043</v>
      </c>
      <c r="B2426" t="s">
        <v>362</v>
      </c>
      <c r="C2426" t="s">
        <v>7365</v>
      </c>
      <c r="D2426">
        <v>1.473145</v>
      </c>
    </row>
    <row r="2427" spans="1:4">
      <c r="A2427" t="s">
        <v>4044</v>
      </c>
      <c r="B2427" t="s">
        <v>362</v>
      </c>
      <c r="C2427" t="s">
        <v>7300</v>
      </c>
      <c r="D2427">
        <v>39.308969</v>
      </c>
    </row>
    <row r="2428" spans="1:4">
      <c r="A2428" t="s">
        <v>4045</v>
      </c>
      <c r="B2428" t="s">
        <v>362</v>
      </c>
      <c r="C2428" t="s">
        <v>7366</v>
      </c>
      <c r="D2428">
        <v>11.511225</v>
      </c>
    </row>
    <row r="2429" spans="1:4">
      <c r="A2429" t="s">
        <v>4046</v>
      </c>
      <c r="B2429" t="s">
        <v>362</v>
      </c>
      <c r="C2429" t="s">
        <v>7367</v>
      </c>
      <c r="D2429">
        <v>47.200042</v>
      </c>
    </row>
    <row r="2430" spans="1:4">
      <c r="A2430" t="s">
        <v>4047</v>
      </c>
      <c r="B2430" t="s">
        <v>362</v>
      </c>
      <c r="C2430" t="s">
        <v>7368</v>
      </c>
      <c r="D2430">
        <v>2.356631</v>
      </c>
    </row>
    <row r="2431" spans="1:4">
      <c r="A2431" t="s">
        <v>4048</v>
      </c>
      <c r="B2431" t="s">
        <v>362</v>
      </c>
      <c r="C2431" t="s">
        <v>7301</v>
      </c>
      <c r="D2431">
        <v>0.017089</v>
      </c>
    </row>
    <row r="2432" spans="1:4">
      <c r="A2432" t="s">
        <v>4049</v>
      </c>
      <c r="B2432" t="s">
        <v>362</v>
      </c>
      <c r="C2432" t="s">
        <v>7302</v>
      </c>
      <c r="D2432">
        <v>104.281659</v>
      </c>
    </row>
    <row r="2433" spans="1:4">
      <c r="A2433" t="s">
        <v>4050</v>
      </c>
      <c r="B2433" t="s">
        <v>362</v>
      </c>
      <c r="C2433" t="s">
        <v>7369</v>
      </c>
      <c r="D2433">
        <v>411.962535</v>
      </c>
    </row>
    <row r="2434" spans="1:4">
      <c r="A2434" t="s">
        <v>4051</v>
      </c>
      <c r="B2434" t="s">
        <v>362</v>
      </c>
      <c r="C2434" t="s">
        <v>7303</v>
      </c>
      <c r="D2434">
        <v>3.227034</v>
      </c>
    </row>
    <row r="2435" spans="1:4">
      <c r="A2435" t="s">
        <v>4052</v>
      </c>
      <c r="B2435" t="s">
        <v>362</v>
      </c>
      <c r="C2435" t="s">
        <v>7370</v>
      </c>
      <c r="D2435">
        <v>0.23466</v>
      </c>
    </row>
    <row r="2436" spans="1:4">
      <c r="A2436" t="s">
        <v>4053</v>
      </c>
      <c r="B2436" t="s">
        <v>362</v>
      </c>
      <c r="C2436" t="s">
        <v>7371</v>
      </c>
      <c r="D2436">
        <v>0.000224</v>
      </c>
    </row>
    <row r="2437" spans="1:4">
      <c r="A2437" t="s">
        <v>4054</v>
      </c>
      <c r="B2437" t="s">
        <v>362</v>
      </c>
      <c r="C2437" t="s">
        <v>7304</v>
      </c>
      <c r="D2437">
        <v>2.478957</v>
      </c>
    </row>
    <row r="2438" spans="1:4">
      <c r="A2438" t="s">
        <v>4055</v>
      </c>
      <c r="B2438" t="s">
        <v>362</v>
      </c>
      <c r="C2438" t="s">
        <v>7372</v>
      </c>
      <c r="D2438">
        <v>411.962535</v>
      </c>
    </row>
    <row r="2439" spans="1:4">
      <c r="A2439" t="s">
        <v>4056</v>
      </c>
      <c r="B2439" t="s">
        <v>362</v>
      </c>
      <c r="C2439" t="s">
        <v>7373</v>
      </c>
      <c r="D2439">
        <v>1.949544</v>
      </c>
    </row>
    <row r="2440" spans="1:4">
      <c r="A2440" t="s">
        <v>4057</v>
      </c>
      <c r="B2440" t="s">
        <v>362</v>
      </c>
      <c r="C2440" t="s">
        <v>7374</v>
      </c>
      <c r="D2440">
        <v>434.310597</v>
      </c>
    </row>
    <row r="2441" spans="1:4">
      <c r="A2441" t="s">
        <v>4058</v>
      </c>
      <c r="B2441" t="s">
        <v>362</v>
      </c>
      <c r="C2441" t="s">
        <v>7305</v>
      </c>
      <c r="D2441">
        <v>1.921207</v>
      </c>
    </row>
    <row r="2442" spans="1:4">
      <c r="A2442" t="s">
        <v>4059</v>
      </c>
      <c r="B2442" t="s">
        <v>362</v>
      </c>
      <c r="C2442" t="s">
        <v>7375</v>
      </c>
      <c r="D2442">
        <v>2.377549</v>
      </c>
    </row>
    <row r="2443" spans="1:4">
      <c r="A2443" t="s">
        <v>4060</v>
      </c>
      <c r="B2443" t="s">
        <v>362</v>
      </c>
      <c r="C2443" t="s">
        <v>7376</v>
      </c>
      <c r="D2443">
        <v>3.517227</v>
      </c>
    </row>
    <row r="2444" spans="1:4">
      <c r="A2444" t="s">
        <v>4061</v>
      </c>
      <c r="B2444" t="s">
        <v>362</v>
      </c>
      <c r="C2444" t="s">
        <v>7377</v>
      </c>
      <c r="D2444">
        <v>0.076214</v>
      </c>
    </row>
    <row r="2445" spans="1:4">
      <c r="A2445" t="s">
        <v>4062</v>
      </c>
      <c r="B2445" t="s">
        <v>362</v>
      </c>
      <c r="C2445" t="s">
        <v>7378</v>
      </c>
      <c r="D2445">
        <v>216.593734</v>
      </c>
    </row>
    <row r="2446" spans="1:4">
      <c r="A2446" t="s">
        <v>4063</v>
      </c>
      <c r="B2446" t="s">
        <v>362</v>
      </c>
      <c r="C2446" t="s">
        <v>7379</v>
      </c>
      <c r="D2446">
        <v>0.72287</v>
      </c>
    </row>
    <row r="2447" spans="1:4">
      <c r="A2447" t="s">
        <v>4064</v>
      </c>
      <c r="B2447" t="s">
        <v>362</v>
      </c>
      <c r="C2447" t="s">
        <v>7306</v>
      </c>
      <c r="D2447">
        <v>0.20187</v>
      </c>
    </row>
    <row r="2448" spans="1:4">
      <c r="A2448" t="s">
        <v>4065</v>
      </c>
      <c r="B2448" t="s">
        <v>362</v>
      </c>
      <c r="C2448" t="s">
        <v>7380</v>
      </c>
      <c r="D2448">
        <v>998.0515380000001</v>
      </c>
    </row>
    <row r="2449" spans="1:4">
      <c r="A2449" t="s">
        <v>4066</v>
      </c>
      <c r="B2449" t="s">
        <v>362</v>
      </c>
      <c r="C2449" t="s">
        <v>7381</v>
      </c>
      <c r="D2449">
        <v>369.51164</v>
      </c>
    </row>
    <row r="2450" spans="1:4">
      <c r="A2450" t="s">
        <v>4067</v>
      </c>
      <c r="B2450" t="s">
        <v>362</v>
      </c>
      <c r="C2450" t="s">
        <v>7382</v>
      </c>
      <c r="D2450">
        <v>0.631221</v>
      </c>
    </row>
    <row r="2451" spans="1:4">
      <c r="A2451" t="s">
        <v>4068</v>
      </c>
      <c r="B2451" t="s">
        <v>362</v>
      </c>
      <c r="C2451" t="s">
        <v>7383</v>
      </c>
      <c r="D2451">
        <v>0.014068</v>
      </c>
    </row>
    <row r="2452" spans="1:4">
      <c r="A2452" t="s">
        <v>4069</v>
      </c>
      <c r="B2452" t="s">
        <v>362</v>
      </c>
      <c r="C2452" t="s">
        <v>7384</v>
      </c>
      <c r="D2452">
        <v>0.003441</v>
      </c>
    </row>
    <row r="2453" spans="1:4">
      <c r="A2453" t="s">
        <v>4070</v>
      </c>
      <c r="B2453" t="s">
        <v>362</v>
      </c>
      <c r="C2453" t="s">
        <v>7385</v>
      </c>
      <c r="D2453">
        <v>0.913907</v>
      </c>
    </row>
    <row r="2454" spans="1:4">
      <c r="A2454" t="s">
        <v>4071</v>
      </c>
      <c r="B2454" t="s">
        <v>362</v>
      </c>
      <c r="C2454" t="s">
        <v>7386</v>
      </c>
      <c r="D2454">
        <v>1.68646</v>
      </c>
    </row>
    <row r="2455" spans="1:4">
      <c r="A2455" t="s">
        <v>4072</v>
      </c>
      <c r="B2455" t="s">
        <v>362</v>
      </c>
      <c r="C2455" t="s">
        <v>7387</v>
      </c>
      <c r="D2455">
        <v>18.656049</v>
      </c>
    </row>
    <row r="2456" spans="1:4">
      <c r="A2456" t="s">
        <v>4073</v>
      </c>
      <c r="B2456" t="s">
        <v>362</v>
      </c>
      <c r="C2456" t="s">
        <v>7388</v>
      </c>
      <c r="D2456">
        <v>48.293896</v>
      </c>
    </row>
    <row r="2457" spans="1:4">
      <c r="A2457" t="s">
        <v>4074</v>
      </c>
      <c r="B2457" t="s">
        <v>362</v>
      </c>
      <c r="C2457" t="s">
        <v>7389</v>
      </c>
      <c r="D2457">
        <v>33.272963</v>
      </c>
    </row>
    <row r="2458" spans="1:4">
      <c r="A2458" t="s">
        <v>4075</v>
      </c>
      <c r="B2458" t="s">
        <v>362</v>
      </c>
      <c r="C2458" t="s">
        <v>7390</v>
      </c>
      <c r="D2458">
        <v>17.748141</v>
      </c>
    </row>
    <row r="2459" spans="1:4">
      <c r="A2459" t="s">
        <v>4076</v>
      </c>
      <c r="B2459" t="s">
        <v>362</v>
      </c>
      <c r="C2459" t="s">
        <v>7391</v>
      </c>
      <c r="D2459">
        <v>0.07355200000000001</v>
      </c>
    </row>
    <row r="2460" spans="1:4">
      <c r="A2460" t="s">
        <v>4077</v>
      </c>
      <c r="B2460" t="s">
        <v>362</v>
      </c>
      <c r="C2460" t="s">
        <v>7392</v>
      </c>
      <c r="D2460">
        <v>5.765995</v>
      </c>
    </row>
    <row r="2461" spans="1:4">
      <c r="A2461" t="s">
        <v>4078</v>
      </c>
      <c r="B2461" t="s">
        <v>362</v>
      </c>
      <c r="C2461" t="s">
        <v>7393</v>
      </c>
      <c r="D2461">
        <v>0.146479</v>
      </c>
    </row>
    <row r="2462" spans="1:4">
      <c r="A2462" t="s">
        <v>4079</v>
      </c>
      <c r="B2462" t="s">
        <v>362</v>
      </c>
      <c r="C2462" t="s">
        <v>7394</v>
      </c>
      <c r="D2462">
        <v>0.086824</v>
      </c>
    </row>
    <row r="2463" spans="1:4">
      <c r="A2463" t="s">
        <v>4080</v>
      </c>
      <c r="B2463" t="s">
        <v>362</v>
      </c>
      <c r="C2463" t="s">
        <v>7395</v>
      </c>
      <c r="D2463">
        <v>38.164074</v>
      </c>
    </row>
    <row r="2464" spans="1:4">
      <c r="A2464" t="s">
        <v>4081</v>
      </c>
      <c r="B2464" t="s">
        <v>362</v>
      </c>
      <c r="C2464" t="s">
        <v>7396</v>
      </c>
      <c r="D2464">
        <v>7.70468</v>
      </c>
    </row>
    <row r="2465" spans="1:4">
      <c r="A2465" t="s">
        <v>4082</v>
      </c>
      <c r="B2465" t="s">
        <v>362</v>
      </c>
      <c r="C2465" t="s">
        <v>7397</v>
      </c>
      <c r="D2465">
        <v>6.442292</v>
      </c>
    </row>
    <row r="2466" spans="1:4">
      <c r="A2466" t="s">
        <v>4083</v>
      </c>
      <c r="B2466" t="s">
        <v>362</v>
      </c>
      <c r="C2466" t="s">
        <v>7398</v>
      </c>
      <c r="D2466">
        <v>19.910882</v>
      </c>
    </row>
    <row r="2467" spans="1:4">
      <c r="A2467" t="s">
        <v>4084</v>
      </c>
      <c r="B2467" t="s">
        <v>362</v>
      </c>
      <c r="C2467" t="s">
        <v>7399</v>
      </c>
      <c r="D2467">
        <v>0.176408</v>
      </c>
    </row>
    <row r="2468" spans="1:4">
      <c r="A2468" t="s">
        <v>4085</v>
      </c>
      <c r="B2468" t="s">
        <v>362</v>
      </c>
      <c r="C2468" t="s">
        <v>7307</v>
      </c>
      <c r="D2468">
        <v>17.666164</v>
      </c>
    </row>
    <row r="2469" spans="1:4">
      <c r="A2469" t="s">
        <v>4086</v>
      </c>
      <c r="B2469" t="s">
        <v>362</v>
      </c>
      <c r="C2469" t="s">
        <v>7308</v>
      </c>
      <c r="D2469">
        <v>75.716769</v>
      </c>
    </row>
    <row r="2470" spans="1:4">
      <c r="A2470" t="s">
        <v>4087</v>
      </c>
      <c r="B2470" t="s">
        <v>362</v>
      </c>
      <c r="C2470" t="s">
        <v>7400</v>
      </c>
      <c r="D2470">
        <v>4.823845</v>
      </c>
    </row>
    <row r="2471" spans="1:4">
      <c r="A2471" t="s">
        <v>4088</v>
      </c>
      <c r="B2471" t="s">
        <v>362</v>
      </c>
      <c r="C2471" t="s">
        <v>7401</v>
      </c>
      <c r="D2471">
        <v>18.656049</v>
      </c>
    </row>
    <row r="2472" spans="1:4">
      <c r="A2472" t="s">
        <v>4089</v>
      </c>
      <c r="B2472" t="s">
        <v>362</v>
      </c>
      <c r="C2472" t="s">
        <v>7402</v>
      </c>
      <c r="D2472">
        <v>0.227377</v>
      </c>
    </row>
    <row r="2473" spans="1:4">
      <c r="A2473" t="s">
        <v>4090</v>
      </c>
      <c r="B2473" t="s">
        <v>362</v>
      </c>
      <c r="C2473" t="s">
        <v>7403</v>
      </c>
      <c r="D2473">
        <v>8.365392</v>
      </c>
    </row>
    <row r="2474" spans="1:4">
      <c r="A2474" t="s">
        <v>4091</v>
      </c>
      <c r="B2474" t="s">
        <v>362</v>
      </c>
      <c r="C2474" t="s">
        <v>7309</v>
      </c>
      <c r="D2474">
        <v>32.440062</v>
      </c>
    </row>
    <row r="2475" spans="1:4">
      <c r="A2475" t="s">
        <v>4092</v>
      </c>
      <c r="B2475" t="s">
        <v>362</v>
      </c>
      <c r="C2475" t="s">
        <v>7404</v>
      </c>
      <c r="D2475">
        <v>2.016899</v>
      </c>
    </row>
    <row r="2476" spans="1:4">
      <c r="A2476" t="s">
        <v>4093</v>
      </c>
      <c r="B2476" t="s">
        <v>362</v>
      </c>
      <c r="C2476" t="s">
        <v>7310</v>
      </c>
      <c r="D2476">
        <v>179.249972</v>
      </c>
    </row>
    <row r="2477" spans="1:4">
      <c r="A2477" t="s">
        <v>4094</v>
      </c>
      <c r="B2477" t="s">
        <v>362</v>
      </c>
      <c r="C2477" t="s">
        <v>7405</v>
      </c>
      <c r="D2477">
        <v>800.855554</v>
      </c>
    </row>
    <row r="2478" spans="1:4">
      <c r="A2478" t="s">
        <v>4095</v>
      </c>
      <c r="B2478" t="s">
        <v>362</v>
      </c>
      <c r="C2478" t="s">
        <v>7406</v>
      </c>
      <c r="D2478">
        <v>307.926313</v>
      </c>
    </row>
    <row r="2479" spans="1:4">
      <c r="A2479" t="s">
        <v>4096</v>
      </c>
      <c r="B2479" t="s">
        <v>362</v>
      </c>
      <c r="C2479" t="s">
        <v>7407</v>
      </c>
      <c r="D2479">
        <v>89.66202199999999</v>
      </c>
    </row>
    <row r="2480" spans="1:4">
      <c r="A2480" t="s">
        <v>4097</v>
      </c>
      <c r="B2480" t="s">
        <v>362</v>
      </c>
      <c r="C2480" t="s">
        <v>7408</v>
      </c>
      <c r="D2480">
        <v>70.316444</v>
      </c>
    </row>
    <row r="2481" spans="1:4">
      <c r="A2481" t="s">
        <v>4098</v>
      </c>
      <c r="B2481" t="s">
        <v>362</v>
      </c>
      <c r="C2481" t="s">
        <v>7311</v>
      </c>
      <c r="D2481">
        <v>5.002804</v>
      </c>
    </row>
    <row r="2482" spans="1:4">
      <c r="A2482" t="s">
        <v>4099</v>
      </c>
      <c r="B2482" t="s">
        <v>362</v>
      </c>
      <c r="C2482" t="s">
        <v>7409</v>
      </c>
      <c r="D2482">
        <v>1.107158</v>
      </c>
    </row>
    <row r="2483" spans="1:4">
      <c r="A2483" t="s">
        <v>4100</v>
      </c>
      <c r="B2483" t="s">
        <v>362</v>
      </c>
      <c r="C2483" t="s">
        <v>7312</v>
      </c>
      <c r="D2483">
        <v>83.867873</v>
      </c>
    </row>
    <row r="2484" spans="1:4">
      <c r="A2484" t="s">
        <v>4101</v>
      </c>
      <c r="B2484" t="s">
        <v>362</v>
      </c>
      <c r="C2484" t="s">
        <v>7410</v>
      </c>
      <c r="D2484">
        <v>0.049989</v>
      </c>
    </row>
    <row r="2485" spans="1:4">
      <c r="A2485" t="s">
        <v>4102</v>
      </c>
      <c r="B2485" t="s">
        <v>362</v>
      </c>
      <c r="C2485" t="s">
        <v>7411</v>
      </c>
      <c r="D2485">
        <v>84.595133</v>
      </c>
    </row>
    <row r="2486" spans="1:4">
      <c r="A2486" t="s">
        <v>4103</v>
      </c>
      <c r="B2486" t="s">
        <v>362</v>
      </c>
      <c r="C2486" t="s">
        <v>7313</v>
      </c>
      <c r="D2486">
        <v>67.87898300000001</v>
      </c>
    </row>
    <row r="2487" spans="1:4">
      <c r="A2487" t="s">
        <v>4104</v>
      </c>
      <c r="B2487" t="s">
        <v>362</v>
      </c>
      <c r="C2487" t="s">
        <v>7412</v>
      </c>
      <c r="D2487">
        <v>3.029665</v>
      </c>
    </row>
    <row r="2488" spans="1:4">
      <c r="A2488" t="s">
        <v>4105</v>
      </c>
      <c r="B2488" t="s">
        <v>362</v>
      </c>
      <c r="C2488" t="s">
        <v>7413</v>
      </c>
      <c r="D2488">
        <v>4.269909</v>
      </c>
    </row>
    <row r="2489" spans="1:4">
      <c r="A2489" t="s">
        <v>4106</v>
      </c>
      <c r="B2489" t="s">
        <v>362</v>
      </c>
      <c r="C2489" t="s">
        <v>7414</v>
      </c>
      <c r="D2489">
        <v>0.209751</v>
      </c>
    </row>
    <row r="2490" spans="1:4">
      <c r="A2490" t="s">
        <v>4107</v>
      </c>
      <c r="B2490" t="s">
        <v>362</v>
      </c>
      <c r="C2490" t="s">
        <v>7415</v>
      </c>
      <c r="D2490">
        <v>82.113669</v>
      </c>
    </row>
    <row r="2491" spans="1:4">
      <c r="A2491" t="s">
        <v>4108</v>
      </c>
      <c r="B2491" t="s">
        <v>362</v>
      </c>
      <c r="C2491" t="s">
        <v>7416</v>
      </c>
      <c r="D2491">
        <v>38.752822</v>
      </c>
    </row>
    <row r="2492" spans="1:4">
      <c r="A2492" t="s">
        <v>4109</v>
      </c>
      <c r="B2492" t="s">
        <v>362</v>
      </c>
      <c r="C2492" t="s">
        <v>7417</v>
      </c>
      <c r="D2492">
        <v>20.646745</v>
      </c>
    </row>
    <row r="2493" spans="1:4">
      <c r="A2493" t="s">
        <v>4110</v>
      </c>
      <c r="B2493" t="s">
        <v>362</v>
      </c>
      <c r="C2493" t="s">
        <v>7418</v>
      </c>
      <c r="D2493">
        <v>0.688939</v>
      </c>
    </row>
    <row r="2494" spans="1:4">
      <c r="A2494" t="s">
        <v>4111</v>
      </c>
      <c r="B2494" t="s">
        <v>362</v>
      </c>
      <c r="C2494" t="s">
        <v>7314</v>
      </c>
      <c r="D2494">
        <v>32.562441</v>
      </c>
    </row>
    <row r="2495" spans="1:4">
      <c r="A2495" t="s">
        <v>4112</v>
      </c>
      <c r="B2495" t="s">
        <v>362</v>
      </c>
      <c r="C2495" t="s">
        <v>7315</v>
      </c>
      <c r="D2495">
        <v>239.304645</v>
      </c>
    </row>
    <row r="2496" spans="1:4">
      <c r="A2496" t="s">
        <v>4113</v>
      </c>
      <c r="B2496" t="s">
        <v>362</v>
      </c>
      <c r="C2496" t="s">
        <v>7419</v>
      </c>
      <c r="D2496">
        <v>411.962535</v>
      </c>
    </row>
    <row r="2497" spans="1:4">
      <c r="A2497" t="s">
        <v>4114</v>
      </c>
      <c r="B2497" t="s">
        <v>362</v>
      </c>
      <c r="C2497" t="s">
        <v>7420</v>
      </c>
      <c r="D2497">
        <v>12.539203</v>
      </c>
    </row>
    <row r="2498" spans="1:4">
      <c r="A2498" t="s">
        <v>4115</v>
      </c>
      <c r="B2498" t="s">
        <v>362</v>
      </c>
      <c r="C2498" t="s">
        <v>7421</v>
      </c>
      <c r="D2498">
        <v>0.012539</v>
      </c>
    </row>
    <row r="2499" spans="1:4">
      <c r="A2499" t="s">
        <v>4116</v>
      </c>
      <c r="B2499" t="s">
        <v>362</v>
      </c>
      <c r="C2499" t="s">
        <v>7422</v>
      </c>
      <c r="D2499">
        <v>0.5395180000000001</v>
      </c>
    </row>
    <row r="2500" spans="1:4">
      <c r="A2500" t="s">
        <v>4117</v>
      </c>
      <c r="B2500" t="s">
        <v>362</v>
      </c>
      <c r="C2500" t="s">
        <v>7423</v>
      </c>
      <c r="D2500">
        <v>8.203082999999999</v>
      </c>
    </row>
    <row r="2501" spans="1:4">
      <c r="A2501" t="s">
        <v>4118</v>
      </c>
      <c r="B2501" t="s">
        <v>362</v>
      </c>
      <c r="C2501" t="s">
        <v>7424</v>
      </c>
      <c r="D2501">
        <v>0.065259</v>
      </c>
    </row>
    <row r="2502" spans="1:4">
      <c r="A2502" t="s">
        <v>4119</v>
      </c>
      <c r="B2502" t="s">
        <v>362</v>
      </c>
      <c r="C2502" t="s">
        <v>7425</v>
      </c>
      <c r="D2502">
        <v>14.515458</v>
      </c>
    </row>
    <row r="2503" spans="1:4">
      <c r="A2503" t="s">
        <v>4120</v>
      </c>
      <c r="B2503" t="s">
        <v>362</v>
      </c>
      <c r="C2503" t="s">
        <v>7426</v>
      </c>
      <c r="D2503">
        <v>2.740664</v>
      </c>
    </row>
    <row r="2504" spans="1:4">
      <c r="A2504" t="s">
        <v>4121</v>
      </c>
      <c r="B2504" t="s">
        <v>362</v>
      </c>
      <c r="C2504" t="s">
        <v>7427</v>
      </c>
      <c r="D2504">
        <v>18.656049</v>
      </c>
    </row>
    <row r="2505" spans="1:4">
      <c r="A2505" t="s">
        <v>4122</v>
      </c>
      <c r="B2505" t="s">
        <v>362</v>
      </c>
      <c r="C2505" t="s">
        <v>7316</v>
      </c>
      <c r="D2505">
        <v>9.360830999999999</v>
      </c>
    </row>
    <row r="2506" spans="1:4">
      <c r="A2506" t="s">
        <v>4123</v>
      </c>
      <c r="B2506" t="s">
        <v>362</v>
      </c>
      <c r="C2506" t="s">
        <v>7428</v>
      </c>
      <c r="D2506">
        <v>32.930942</v>
      </c>
    </row>
    <row r="2507" spans="1:4">
      <c r="A2507" t="s">
        <v>4124</v>
      </c>
      <c r="B2507" t="s">
        <v>362</v>
      </c>
      <c r="C2507" t="s">
        <v>7429</v>
      </c>
      <c r="D2507">
        <v>87.87187299999999</v>
      </c>
    </row>
    <row r="2508" spans="1:4">
      <c r="A2508" t="s">
        <v>4125</v>
      </c>
      <c r="B2508" t="s">
        <v>362</v>
      </c>
      <c r="C2508" t="s">
        <v>7430</v>
      </c>
      <c r="D2508">
        <v>105.25228</v>
      </c>
    </row>
    <row r="2509" spans="1:4">
      <c r="A2509" t="s">
        <v>4126</v>
      </c>
      <c r="B2509" t="s">
        <v>362</v>
      </c>
      <c r="C2509" t="s">
        <v>7431</v>
      </c>
      <c r="D2509">
        <v>131.781695</v>
      </c>
    </row>
    <row r="2510" spans="1:4">
      <c r="A2510" t="s">
        <v>4127</v>
      </c>
      <c r="B2510" t="s">
        <v>362</v>
      </c>
      <c r="C2510" t="s">
        <v>7317</v>
      </c>
      <c r="D2510">
        <v>6.680321</v>
      </c>
    </row>
    <row r="2511" spans="1:4">
      <c r="A2511" t="s">
        <v>4128</v>
      </c>
      <c r="B2511" t="s">
        <v>362</v>
      </c>
      <c r="C2511" t="s">
        <v>7432</v>
      </c>
      <c r="D2511">
        <v>42.930336</v>
      </c>
    </row>
    <row r="2512" spans="1:4">
      <c r="A2512" t="s">
        <v>4129</v>
      </c>
      <c r="B2512" t="s">
        <v>362</v>
      </c>
      <c r="C2512" t="s">
        <v>7433</v>
      </c>
      <c r="D2512">
        <v>216.593734</v>
      </c>
    </row>
    <row r="2513" spans="1:4">
      <c r="A2513" t="s">
        <v>4130</v>
      </c>
      <c r="B2513" t="s">
        <v>362</v>
      </c>
      <c r="C2513" t="s">
        <v>7434</v>
      </c>
      <c r="D2513">
        <v>9.75168</v>
      </c>
    </row>
    <row r="2514" spans="1:4">
      <c r="A2514" t="s">
        <v>4131</v>
      </c>
      <c r="B2514" t="s">
        <v>362</v>
      </c>
      <c r="C2514" t="s">
        <v>7435</v>
      </c>
      <c r="D2514">
        <v>0.118095</v>
      </c>
    </row>
    <row r="2515" spans="1:4">
      <c r="A2515" t="s">
        <v>4132</v>
      </c>
      <c r="B2515" t="s">
        <v>362</v>
      </c>
      <c r="C2515" t="s">
        <v>7436</v>
      </c>
      <c r="D2515">
        <v>6.860276</v>
      </c>
    </row>
    <row r="2516" spans="1:4">
      <c r="A2516" t="s">
        <v>4133</v>
      </c>
      <c r="B2516" t="s">
        <v>362</v>
      </c>
      <c r="C2516" t="s">
        <v>7437</v>
      </c>
      <c r="D2516">
        <v>0.08197400000000001</v>
      </c>
    </row>
    <row r="2517" spans="1:4">
      <c r="A2517" t="s">
        <v>4134</v>
      </c>
      <c r="B2517" t="s">
        <v>362</v>
      </c>
      <c r="C2517" t="s">
        <v>399</v>
      </c>
      <c r="D2517">
        <v>307.92578</v>
      </c>
    </row>
    <row r="2518" spans="1:4">
      <c r="A2518" t="s">
        <v>4135</v>
      </c>
      <c r="B2518" t="s">
        <v>362</v>
      </c>
      <c r="C2518" t="s">
        <v>7438</v>
      </c>
      <c r="D2518">
        <v>7.599332</v>
      </c>
    </row>
    <row r="2519" spans="1:4">
      <c r="A2519" t="s">
        <v>4136</v>
      </c>
      <c r="B2519" t="s">
        <v>362</v>
      </c>
      <c r="C2519" t="s">
        <v>7439</v>
      </c>
      <c r="D2519">
        <v>0.025701</v>
      </c>
    </row>
    <row r="2520" spans="1:4">
      <c r="A2520" t="s">
        <v>4137</v>
      </c>
      <c r="B2520" t="s">
        <v>362</v>
      </c>
      <c r="C2520" t="s">
        <v>7440</v>
      </c>
      <c r="D2520">
        <v>0.537005</v>
      </c>
    </row>
    <row r="2521" spans="1:4">
      <c r="A2521" t="s">
        <v>4138</v>
      </c>
      <c r="B2521" t="s">
        <v>362</v>
      </c>
      <c r="C2521" t="s">
        <v>7441</v>
      </c>
      <c r="D2521">
        <v>0.011748</v>
      </c>
    </row>
    <row r="2522" spans="1:4">
      <c r="A2522" t="s">
        <v>4139</v>
      </c>
      <c r="B2522" t="s">
        <v>362</v>
      </c>
      <c r="C2522" t="s">
        <v>7442</v>
      </c>
      <c r="D2522">
        <v>2.578886</v>
      </c>
    </row>
    <row r="2523" spans="1:4">
      <c r="A2523" t="s">
        <v>4140</v>
      </c>
      <c r="B2523" t="s">
        <v>362</v>
      </c>
      <c r="C2523" t="s">
        <v>7443</v>
      </c>
      <c r="D2523">
        <v>113.663847</v>
      </c>
    </row>
    <row r="2524" spans="1:4">
      <c r="A2524" t="s">
        <v>4141</v>
      </c>
      <c r="B2524" t="s">
        <v>362</v>
      </c>
      <c r="C2524" t="s">
        <v>7444</v>
      </c>
      <c r="D2524">
        <v>0.542152</v>
      </c>
    </row>
    <row r="2525" spans="1:4">
      <c r="A2525" t="s">
        <v>4142</v>
      </c>
      <c r="B2525" t="s">
        <v>362</v>
      </c>
      <c r="C2525" t="s">
        <v>7445</v>
      </c>
      <c r="D2525">
        <v>114.046764</v>
      </c>
    </row>
    <row r="2526" spans="1:4">
      <c r="A2526" t="s">
        <v>4143</v>
      </c>
      <c r="B2526" t="s">
        <v>362</v>
      </c>
      <c r="C2526" t="s">
        <v>7446</v>
      </c>
      <c r="D2526">
        <v>172.025861</v>
      </c>
    </row>
    <row r="2527" spans="1:4">
      <c r="A2527" t="s">
        <v>4144</v>
      </c>
      <c r="B2527" t="s">
        <v>362</v>
      </c>
      <c r="C2527" t="s">
        <v>7447</v>
      </c>
      <c r="D2527">
        <v>419.622887</v>
      </c>
    </row>
    <row r="2528" spans="1:4">
      <c r="A2528" t="s">
        <v>4145</v>
      </c>
      <c r="B2528" t="s">
        <v>362</v>
      </c>
      <c r="C2528" t="s">
        <v>7448</v>
      </c>
      <c r="D2528">
        <v>0.542152</v>
      </c>
    </row>
    <row r="2529" spans="1:4">
      <c r="A2529" t="s">
        <v>4146</v>
      </c>
      <c r="B2529" t="s">
        <v>362</v>
      </c>
      <c r="C2529" t="s">
        <v>7449</v>
      </c>
      <c r="D2529">
        <v>2.980162</v>
      </c>
    </row>
    <row r="2530" spans="1:4">
      <c r="A2530" t="s">
        <v>4147</v>
      </c>
      <c r="B2530" t="s">
        <v>362</v>
      </c>
      <c r="C2530" t="s">
        <v>7450</v>
      </c>
      <c r="D2530">
        <v>1.290393</v>
      </c>
    </row>
    <row r="2531" spans="1:4">
      <c r="A2531" t="s">
        <v>4148</v>
      </c>
      <c r="B2531" t="s">
        <v>362</v>
      </c>
      <c r="C2531" t="s">
        <v>7318</v>
      </c>
      <c r="D2531">
        <v>18.658356</v>
      </c>
    </row>
    <row r="2532" spans="1:4">
      <c r="A2532" t="s">
        <v>4149</v>
      </c>
      <c r="B2532" t="s">
        <v>362</v>
      </c>
      <c r="C2532" t="s">
        <v>7451</v>
      </c>
      <c r="D2532">
        <v>17.322733</v>
      </c>
    </row>
    <row r="2533" spans="1:4">
      <c r="A2533" t="s">
        <v>4150</v>
      </c>
      <c r="B2533" t="s">
        <v>362</v>
      </c>
      <c r="C2533" t="s">
        <v>7452</v>
      </c>
      <c r="D2533">
        <v>11.507717</v>
      </c>
    </row>
    <row r="2534" spans="1:4">
      <c r="A2534" t="s">
        <v>4151</v>
      </c>
      <c r="B2534" t="s">
        <v>362</v>
      </c>
      <c r="C2534" t="s">
        <v>7453</v>
      </c>
      <c r="D2534">
        <v>11.507717</v>
      </c>
    </row>
    <row r="2535" spans="1:4">
      <c r="A2535" t="s">
        <v>4152</v>
      </c>
      <c r="B2535" t="s">
        <v>363</v>
      </c>
      <c r="C2535" t="s">
        <v>397</v>
      </c>
      <c r="D2535">
        <v>356.22795</v>
      </c>
    </row>
    <row r="2536" spans="1:4">
      <c r="A2536" t="s">
        <v>4153</v>
      </c>
      <c r="B2536" t="s">
        <v>363</v>
      </c>
      <c r="C2536" t="s">
        <v>7319</v>
      </c>
      <c r="D2536">
        <v>84.059721</v>
      </c>
    </row>
    <row r="2537" spans="1:4">
      <c r="A2537" t="s">
        <v>4154</v>
      </c>
      <c r="B2537" t="s">
        <v>363</v>
      </c>
      <c r="C2537" t="s">
        <v>7320</v>
      </c>
      <c r="D2537">
        <v>4.890047</v>
      </c>
    </row>
    <row r="2538" spans="1:4">
      <c r="A2538" t="s">
        <v>4155</v>
      </c>
      <c r="B2538" t="s">
        <v>363</v>
      </c>
      <c r="C2538" t="s">
        <v>7321</v>
      </c>
      <c r="D2538">
        <v>3.741806</v>
      </c>
    </row>
    <row r="2539" spans="1:4">
      <c r="A2539" t="s">
        <v>4156</v>
      </c>
      <c r="B2539" t="s">
        <v>363</v>
      </c>
      <c r="C2539" t="s">
        <v>7322</v>
      </c>
      <c r="D2539">
        <v>0.836879</v>
      </c>
    </row>
    <row r="2540" spans="1:4">
      <c r="A2540" t="s">
        <v>4157</v>
      </c>
      <c r="B2540" t="s">
        <v>363</v>
      </c>
      <c r="C2540" t="s">
        <v>7323</v>
      </c>
      <c r="D2540">
        <v>172.463301</v>
      </c>
    </row>
    <row r="2541" spans="1:4">
      <c r="A2541" t="s">
        <v>4158</v>
      </c>
      <c r="B2541" t="s">
        <v>363</v>
      </c>
      <c r="C2541" t="s">
        <v>7324</v>
      </c>
      <c r="D2541">
        <v>0.327181</v>
      </c>
    </row>
    <row r="2542" spans="1:4">
      <c r="A2542" t="s">
        <v>4159</v>
      </c>
      <c r="B2542" t="s">
        <v>363</v>
      </c>
      <c r="C2542" t="s">
        <v>7325</v>
      </c>
      <c r="D2542">
        <v>0.214891</v>
      </c>
    </row>
    <row r="2543" spans="1:4">
      <c r="A2543" t="s">
        <v>4160</v>
      </c>
      <c r="B2543" t="s">
        <v>363</v>
      </c>
      <c r="C2543" t="s">
        <v>7292</v>
      </c>
      <c r="D2543">
        <v>216.170723</v>
      </c>
    </row>
    <row r="2544" spans="1:4">
      <c r="A2544" t="s">
        <v>4161</v>
      </c>
      <c r="B2544" t="s">
        <v>363</v>
      </c>
      <c r="C2544" t="s">
        <v>7326</v>
      </c>
      <c r="D2544">
        <v>172.463301</v>
      </c>
    </row>
    <row r="2545" spans="1:4">
      <c r="A2545" t="s">
        <v>4162</v>
      </c>
      <c r="B2545" t="s">
        <v>363</v>
      </c>
      <c r="C2545" t="s">
        <v>7327</v>
      </c>
      <c r="D2545">
        <v>181.333368</v>
      </c>
    </row>
    <row r="2546" spans="1:4">
      <c r="A2546" t="s">
        <v>4163</v>
      </c>
      <c r="B2546" t="s">
        <v>363</v>
      </c>
      <c r="C2546" t="s">
        <v>7328</v>
      </c>
      <c r="D2546">
        <v>182.136459</v>
      </c>
    </row>
    <row r="2547" spans="1:4">
      <c r="A2547" t="s">
        <v>4164</v>
      </c>
      <c r="B2547" t="s">
        <v>363</v>
      </c>
      <c r="C2547" t="s">
        <v>7329</v>
      </c>
      <c r="D2547">
        <v>154.354697</v>
      </c>
    </row>
    <row r="2548" spans="1:4">
      <c r="A2548" t="s">
        <v>4165</v>
      </c>
      <c r="B2548" t="s">
        <v>363</v>
      </c>
      <c r="C2548" t="s">
        <v>7330</v>
      </c>
      <c r="D2548">
        <v>2.512712</v>
      </c>
    </row>
    <row r="2549" spans="1:4">
      <c r="A2549" t="s">
        <v>4166</v>
      </c>
      <c r="B2549" t="s">
        <v>363</v>
      </c>
      <c r="C2549" t="s">
        <v>398</v>
      </c>
      <c r="D2549">
        <v>182.136459</v>
      </c>
    </row>
    <row r="2550" spans="1:4">
      <c r="A2550" t="s">
        <v>4167</v>
      </c>
      <c r="B2550" t="s">
        <v>363</v>
      </c>
      <c r="C2550" t="s">
        <v>7331</v>
      </c>
      <c r="D2550">
        <v>821.03631</v>
      </c>
    </row>
    <row r="2551" spans="1:4">
      <c r="A2551" t="s">
        <v>4168</v>
      </c>
      <c r="B2551" t="s">
        <v>363</v>
      </c>
      <c r="C2551" t="s">
        <v>7332</v>
      </c>
      <c r="D2551">
        <v>0.103204</v>
      </c>
    </row>
    <row r="2552" spans="1:4">
      <c r="A2552" t="s">
        <v>4169</v>
      </c>
      <c r="B2552" t="s">
        <v>363</v>
      </c>
      <c r="C2552" t="s">
        <v>7333</v>
      </c>
      <c r="D2552">
        <v>308.70926</v>
      </c>
    </row>
    <row r="2553" spans="1:4">
      <c r="A2553" t="s">
        <v>4170</v>
      </c>
      <c r="B2553" t="s">
        <v>363</v>
      </c>
      <c r="C2553" t="s">
        <v>7334</v>
      </c>
      <c r="D2553">
        <v>239.701742</v>
      </c>
    </row>
    <row r="2554" spans="1:4">
      <c r="A2554" t="s">
        <v>4171</v>
      </c>
      <c r="B2554" t="s">
        <v>363</v>
      </c>
      <c r="C2554" t="s">
        <v>7335</v>
      </c>
      <c r="D2554">
        <v>44.542385</v>
      </c>
    </row>
    <row r="2555" spans="1:4">
      <c r="A2555" t="s">
        <v>4172</v>
      </c>
      <c r="B2555" t="s">
        <v>363</v>
      </c>
      <c r="C2555" t="s">
        <v>7293</v>
      </c>
      <c r="D2555">
        <v>59.582655</v>
      </c>
    </row>
    <row r="2556" spans="1:4">
      <c r="A2556" t="s">
        <v>4173</v>
      </c>
      <c r="B2556" t="s">
        <v>363</v>
      </c>
      <c r="C2556" t="s">
        <v>7336</v>
      </c>
      <c r="D2556">
        <v>308.70926</v>
      </c>
    </row>
    <row r="2557" spans="1:4">
      <c r="A2557" t="s">
        <v>4174</v>
      </c>
      <c r="B2557" t="s">
        <v>363</v>
      </c>
      <c r="C2557" t="s">
        <v>7337</v>
      </c>
      <c r="D2557">
        <v>3.237476</v>
      </c>
    </row>
    <row r="2558" spans="1:4">
      <c r="A2558" t="s">
        <v>4175</v>
      </c>
      <c r="B2558" t="s">
        <v>363</v>
      </c>
      <c r="C2558" t="s">
        <v>7338</v>
      </c>
      <c r="D2558">
        <v>21.860033</v>
      </c>
    </row>
    <row r="2559" spans="1:4">
      <c r="A2559" t="s">
        <v>4176</v>
      </c>
      <c r="B2559" t="s">
        <v>363</v>
      </c>
      <c r="C2559" t="s">
        <v>7339</v>
      </c>
      <c r="D2559">
        <v>111.85724</v>
      </c>
    </row>
    <row r="2560" spans="1:4">
      <c r="A2560" t="s">
        <v>4177</v>
      </c>
      <c r="B2560" t="s">
        <v>363</v>
      </c>
      <c r="C2560" t="s">
        <v>7340</v>
      </c>
      <c r="D2560">
        <v>154.354697</v>
      </c>
    </row>
    <row r="2561" spans="1:4">
      <c r="A2561" t="s">
        <v>4178</v>
      </c>
      <c r="B2561" t="s">
        <v>363</v>
      </c>
      <c r="C2561" t="s">
        <v>7294</v>
      </c>
      <c r="D2561">
        <v>221.420642</v>
      </c>
    </row>
    <row r="2562" spans="1:4">
      <c r="A2562" t="s">
        <v>4179</v>
      </c>
      <c r="B2562" t="s">
        <v>363</v>
      </c>
      <c r="C2562" t="s">
        <v>7341</v>
      </c>
      <c r="D2562">
        <v>0.133519</v>
      </c>
    </row>
    <row r="2563" spans="1:4">
      <c r="A2563" t="s">
        <v>4180</v>
      </c>
      <c r="B2563" t="s">
        <v>363</v>
      </c>
      <c r="C2563" t="s">
        <v>7295</v>
      </c>
      <c r="D2563">
        <v>386.035696</v>
      </c>
    </row>
    <row r="2564" spans="1:4">
      <c r="A2564" t="s">
        <v>4181</v>
      </c>
      <c r="B2564" t="s">
        <v>363</v>
      </c>
      <c r="C2564" t="s">
        <v>7342</v>
      </c>
      <c r="D2564">
        <v>13286.138669</v>
      </c>
    </row>
    <row r="2565" spans="1:4">
      <c r="A2565" t="s">
        <v>4182</v>
      </c>
      <c r="B2565" t="s">
        <v>363</v>
      </c>
      <c r="C2565" t="s">
        <v>7343</v>
      </c>
      <c r="D2565">
        <v>0.336131</v>
      </c>
    </row>
    <row r="2566" spans="1:4">
      <c r="A2566" t="s">
        <v>4183</v>
      </c>
      <c r="B2566" t="s">
        <v>363</v>
      </c>
      <c r="C2566" t="s">
        <v>7344</v>
      </c>
      <c r="D2566">
        <v>45.520028</v>
      </c>
    </row>
    <row r="2567" spans="1:4">
      <c r="A2567" t="s">
        <v>4184</v>
      </c>
      <c r="B2567" t="s">
        <v>363</v>
      </c>
      <c r="C2567" t="s">
        <v>7296</v>
      </c>
      <c r="D2567">
        <v>45.498644</v>
      </c>
    </row>
    <row r="2568" spans="1:4">
      <c r="A2568" t="s">
        <v>4185</v>
      </c>
      <c r="B2568" t="s">
        <v>363</v>
      </c>
      <c r="C2568" t="s">
        <v>7345</v>
      </c>
      <c r="D2568">
        <v>0.08626399999999999</v>
      </c>
    </row>
    <row r="2569" spans="1:4">
      <c r="A2569" t="s">
        <v>4186</v>
      </c>
      <c r="B2569" t="s">
        <v>363</v>
      </c>
      <c r="C2569" t="s">
        <v>7346</v>
      </c>
      <c r="D2569">
        <v>0.669476</v>
      </c>
    </row>
    <row r="2570" spans="1:4">
      <c r="A2570" t="s">
        <v>4187</v>
      </c>
      <c r="B2570" t="s">
        <v>363</v>
      </c>
      <c r="C2570" t="s">
        <v>7347</v>
      </c>
      <c r="D2570">
        <v>12.862889</v>
      </c>
    </row>
    <row r="2571" spans="1:4">
      <c r="A2571" t="s">
        <v>4188</v>
      </c>
      <c r="B2571" t="s">
        <v>363</v>
      </c>
      <c r="C2571" t="s">
        <v>7348</v>
      </c>
      <c r="D2571">
        <v>3.230653</v>
      </c>
    </row>
    <row r="2572" spans="1:4">
      <c r="A2572" t="s">
        <v>4189</v>
      </c>
      <c r="B2572" t="s">
        <v>363</v>
      </c>
      <c r="C2572" t="s">
        <v>7297</v>
      </c>
      <c r="D2572">
        <v>14.729233</v>
      </c>
    </row>
    <row r="2573" spans="1:4">
      <c r="A2573" t="s">
        <v>4190</v>
      </c>
      <c r="B2573" t="s">
        <v>363</v>
      </c>
      <c r="C2573" t="s">
        <v>7349</v>
      </c>
      <c r="D2573">
        <v>1.737045</v>
      </c>
    </row>
    <row r="2574" spans="1:4">
      <c r="A2574" t="s">
        <v>4191</v>
      </c>
      <c r="B2574" t="s">
        <v>363</v>
      </c>
      <c r="C2574" t="s">
        <v>7298</v>
      </c>
      <c r="D2574">
        <v>47.729017</v>
      </c>
    </row>
    <row r="2575" spans="1:4">
      <c r="A2575" t="s">
        <v>4192</v>
      </c>
      <c r="B2575" t="s">
        <v>363</v>
      </c>
      <c r="C2575" t="s">
        <v>7350</v>
      </c>
      <c r="D2575">
        <v>5.28172</v>
      </c>
    </row>
    <row r="2576" spans="1:4">
      <c r="A2576" t="s">
        <v>4193</v>
      </c>
      <c r="B2576" t="s">
        <v>363</v>
      </c>
      <c r="C2576" t="s">
        <v>7351</v>
      </c>
      <c r="D2576">
        <v>2.304784</v>
      </c>
    </row>
    <row r="2577" spans="1:4">
      <c r="A2577" t="s">
        <v>4194</v>
      </c>
      <c r="B2577" t="s">
        <v>363</v>
      </c>
      <c r="C2577" t="s">
        <v>7352</v>
      </c>
      <c r="D2577">
        <v>5.955064</v>
      </c>
    </row>
    <row r="2578" spans="1:4">
      <c r="A2578" t="s">
        <v>4195</v>
      </c>
      <c r="B2578" t="s">
        <v>363</v>
      </c>
      <c r="C2578" t="s">
        <v>7353</v>
      </c>
      <c r="D2578">
        <v>20.580623</v>
      </c>
    </row>
    <row r="2579" spans="1:4">
      <c r="A2579" t="s">
        <v>4196</v>
      </c>
      <c r="B2579" t="s">
        <v>363</v>
      </c>
      <c r="C2579" t="s">
        <v>7354</v>
      </c>
      <c r="D2579">
        <v>1.915097</v>
      </c>
    </row>
    <row r="2580" spans="1:4">
      <c r="A2580" t="s">
        <v>4197</v>
      </c>
      <c r="B2580" t="s">
        <v>363</v>
      </c>
      <c r="C2580" t="s">
        <v>7355</v>
      </c>
      <c r="D2580">
        <v>139.139749</v>
      </c>
    </row>
    <row r="2581" spans="1:4">
      <c r="A2581" t="s">
        <v>4198</v>
      </c>
      <c r="B2581" t="s">
        <v>363</v>
      </c>
      <c r="C2581" t="s">
        <v>7356</v>
      </c>
      <c r="D2581">
        <v>412.821673</v>
      </c>
    </row>
    <row r="2582" spans="1:4">
      <c r="A2582" t="s">
        <v>4199</v>
      </c>
      <c r="B2582" t="s">
        <v>363</v>
      </c>
      <c r="C2582" t="s">
        <v>7357</v>
      </c>
      <c r="D2582">
        <v>47.729029</v>
      </c>
    </row>
    <row r="2583" spans="1:4">
      <c r="A2583" t="s">
        <v>4200</v>
      </c>
      <c r="B2583" t="s">
        <v>363</v>
      </c>
      <c r="C2583" t="s">
        <v>7299</v>
      </c>
      <c r="D2583">
        <v>412.821673</v>
      </c>
    </row>
    <row r="2584" spans="1:4">
      <c r="A2584" t="s">
        <v>4201</v>
      </c>
      <c r="B2584" t="s">
        <v>363</v>
      </c>
      <c r="C2584" t="s">
        <v>7358</v>
      </c>
      <c r="D2584">
        <v>116.085151</v>
      </c>
    </row>
    <row r="2585" spans="1:4">
      <c r="A2585" t="s">
        <v>4202</v>
      </c>
      <c r="B2585" t="s">
        <v>363</v>
      </c>
      <c r="C2585" t="s">
        <v>7359</v>
      </c>
      <c r="D2585">
        <v>412.821673</v>
      </c>
    </row>
    <row r="2586" spans="1:4">
      <c r="A2586" t="s">
        <v>4203</v>
      </c>
      <c r="B2586" t="s">
        <v>363</v>
      </c>
      <c r="C2586" t="s">
        <v>7360</v>
      </c>
      <c r="D2586">
        <v>26.879122</v>
      </c>
    </row>
    <row r="2587" spans="1:4">
      <c r="A2587" t="s">
        <v>4204</v>
      </c>
      <c r="B2587" t="s">
        <v>363</v>
      </c>
      <c r="C2587" t="s">
        <v>7361</v>
      </c>
      <c r="D2587">
        <v>412.821673</v>
      </c>
    </row>
    <row r="2588" spans="1:4">
      <c r="A2588" t="s">
        <v>4205</v>
      </c>
      <c r="B2588" t="s">
        <v>363</v>
      </c>
      <c r="C2588" t="s">
        <v>7362</v>
      </c>
      <c r="D2588">
        <v>4.154778</v>
      </c>
    </row>
    <row r="2589" spans="1:4">
      <c r="A2589" t="s">
        <v>4206</v>
      </c>
      <c r="B2589" t="s">
        <v>363</v>
      </c>
      <c r="C2589" t="s">
        <v>7363</v>
      </c>
      <c r="D2589">
        <v>0.035149</v>
      </c>
    </row>
    <row r="2590" spans="1:4">
      <c r="A2590" t="s">
        <v>4207</v>
      </c>
      <c r="B2590" t="s">
        <v>363</v>
      </c>
      <c r="C2590" t="s">
        <v>7364</v>
      </c>
      <c r="D2590">
        <v>40.429599</v>
      </c>
    </row>
    <row r="2591" spans="1:4">
      <c r="A2591" t="s">
        <v>4208</v>
      </c>
      <c r="B2591" t="s">
        <v>363</v>
      </c>
      <c r="C2591" t="s">
        <v>7365</v>
      </c>
      <c r="D2591">
        <v>1.474734</v>
      </c>
    </row>
    <row r="2592" spans="1:4">
      <c r="A2592" t="s">
        <v>4209</v>
      </c>
      <c r="B2592" t="s">
        <v>363</v>
      </c>
      <c r="C2592" t="s">
        <v>7300</v>
      </c>
      <c r="D2592">
        <v>39.386515</v>
      </c>
    </row>
    <row r="2593" spans="1:4">
      <c r="A2593" t="s">
        <v>4210</v>
      </c>
      <c r="B2593" t="s">
        <v>363</v>
      </c>
      <c r="C2593" t="s">
        <v>7366</v>
      </c>
      <c r="D2593">
        <v>11.529178</v>
      </c>
    </row>
    <row r="2594" spans="1:4">
      <c r="A2594" t="s">
        <v>4211</v>
      </c>
      <c r="B2594" t="s">
        <v>363</v>
      </c>
      <c r="C2594" t="s">
        <v>7367</v>
      </c>
      <c r="D2594">
        <v>47.279574</v>
      </c>
    </row>
    <row r="2595" spans="1:4">
      <c r="A2595" t="s">
        <v>4212</v>
      </c>
      <c r="B2595" t="s">
        <v>363</v>
      </c>
      <c r="C2595" t="s">
        <v>7368</v>
      </c>
      <c r="D2595">
        <v>2.358168</v>
      </c>
    </row>
    <row r="2596" spans="1:4">
      <c r="A2596" t="s">
        <v>4213</v>
      </c>
      <c r="B2596" t="s">
        <v>363</v>
      </c>
      <c r="C2596" t="s">
        <v>7301</v>
      </c>
      <c r="D2596">
        <v>0.017226</v>
      </c>
    </row>
    <row r="2597" spans="1:4">
      <c r="A2597" t="s">
        <v>4214</v>
      </c>
      <c r="B2597" t="s">
        <v>363</v>
      </c>
      <c r="C2597" t="s">
        <v>7302</v>
      </c>
      <c r="D2597">
        <v>103.75663</v>
      </c>
    </row>
    <row r="2598" spans="1:4">
      <c r="A2598" t="s">
        <v>4215</v>
      </c>
      <c r="B2598" t="s">
        <v>363</v>
      </c>
      <c r="C2598" t="s">
        <v>7369</v>
      </c>
      <c r="D2598">
        <v>412.821673</v>
      </c>
    </row>
    <row r="2599" spans="1:4">
      <c r="A2599" t="s">
        <v>4216</v>
      </c>
      <c r="B2599" t="s">
        <v>363</v>
      </c>
      <c r="C2599" t="s">
        <v>7303</v>
      </c>
      <c r="D2599">
        <v>3.238553</v>
      </c>
    </row>
    <row r="2600" spans="1:4">
      <c r="A2600" t="s">
        <v>4217</v>
      </c>
      <c r="B2600" t="s">
        <v>363</v>
      </c>
      <c r="C2600" t="s">
        <v>7370</v>
      </c>
      <c r="D2600">
        <v>0.234913</v>
      </c>
    </row>
    <row r="2601" spans="1:4">
      <c r="A2601" t="s">
        <v>4218</v>
      </c>
      <c r="B2601" t="s">
        <v>363</v>
      </c>
      <c r="C2601" t="s">
        <v>7371</v>
      </c>
      <c r="D2601">
        <v>0.000224</v>
      </c>
    </row>
    <row r="2602" spans="1:4">
      <c r="A2602" t="s">
        <v>4219</v>
      </c>
      <c r="B2602" t="s">
        <v>363</v>
      </c>
      <c r="C2602" t="s">
        <v>7304</v>
      </c>
      <c r="D2602">
        <v>2.484087</v>
      </c>
    </row>
    <row r="2603" spans="1:4">
      <c r="A2603" t="s">
        <v>4220</v>
      </c>
      <c r="B2603" t="s">
        <v>363</v>
      </c>
      <c r="C2603" t="s">
        <v>7372</v>
      </c>
      <c r="D2603">
        <v>412.821673</v>
      </c>
    </row>
    <row r="2604" spans="1:4">
      <c r="A2604" t="s">
        <v>4221</v>
      </c>
      <c r="B2604" t="s">
        <v>363</v>
      </c>
      <c r="C2604" t="s">
        <v>7373</v>
      </c>
      <c r="D2604">
        <v>1.953121</v>
      </c>
    </row>
    <row r="2605" spans="1:4">
      <c r="A2605" t="s">
        <v>4222</v>
      </c>
      <c r="B2605" t="s">
        <v>363</v>
      </c>
      <c r="C2605" t="s">
        <v>7374</v>
      </c>
      <c r="D2605">
        <v>435.415164</v>
      </c>
    </row>
    <row r="2606" spans="1:4">
      <c r="A2606" t="s">
        <v>4223</v>
      </c>
      <c r="B2606" t="s">
        <v>363</v>
      </c>
      <c r="C2606" t="s">
        <v>7305</v>
      </c>
      <c r="D2606">
        <v>1.923038</v>
      </c>
    </row>
    <row r="2607" spans="1:4">
      <c r="A2607" t="s">
        <v>4224</v>
      </c>
      <c r="B2607" t="s">
        <v>363</v>
      </c>
      <c r="C2607" t="s">
        <v>7375</v>
      </c>
      <c r="D2607">
        <v>2.379862</v>
      </c>
    </row>
    <row r="2608" spans="1:4">
      <c r="A2608" t="s">
        <v>4225</v>
      </c>
      <c r="B2608" t="s">
        <v>363</v>
      </c>
      <c r="C2608" t="s">
        <v>7376</v>
      </c>
      <c r="D2608">
        <v>3.525615</v>
      </c>
    </row>
    <row r="2609" spans="1:4">
      <c r="A2609" t="s">
        <v>4226</v>
      </c>
      <c r="B2609" t="s">
        <v>363</v>
      </c>
      <c r="C2609" t="s">
        <v>7377</v>
      </c>
      <c r="D2609">
        <v>0.076297</v>
      </c>
    </row>
    <row r="2610" spans="1:4">
      <c r="A2610" t="s">
        <v>4227</v>
      </c>
      <c r="B2610" t="s">
        <v>363</v>
      </c>
      <c r="C2610" t="s">
        <v>7378</v>
      </c>
      <c r="D2610">
        <v>216.170985</v>
      </c>
    </row>
    <row r="2611" spans="1:4">
      <c r="A2611" t="s">
        <v>4228</v>
      </c>
      <c r="B2611" t="s">
        <v>363</v>
      </c>
      <c r="C2611" t="s">
        <v>7379</v>
      </c>
      <c r="D2611">
        <v>0.724088</v>
      </c>
    </row>
    <row r="2612" spans="1:4">
      <c r="A2612" t="s">
        <v>4229</v>
      </c>
      <c r="B2612" t="s">
        <v>363</v>
      </c>
      <c r="C2612" t="s">
        <v>7306</v>
      </c>
      <c r="D2612">
        <v>0.202574</v>
      </c>
    </row>
    <row r="2613" spans="1:4">
      <c r="A2613" t="s">
        <v>4230</v>
      </c>
      <c r="B2613" t="s">
        <v>363</v>
      </c>
      <c r="C2613" t="s">
        <v>7380</v>
      </c>
      <c r="D2613">
        <v>999.665916</v>
      </c>
    </row>
    <row r="2614" spans="1:4">
      <c r="A2614" t="s">
        <v>4231</v>
      </c>
      <c r="B2614" t="s">
        <v>363</v>
      </c>
      <c r="C2614" t="s">
        <v>7381</v>
      </c>
      <c r="D2614">
        <v>370.451433</v>
      </c>
    </row>
    <row r="2615" spans="1:4">
      <c r="A2615" t="s">
        <v>4232</v>
      </c>
      <c r="B2615" t="s">
        <v>363</v>
      </c>
      <c r="C2615" t="s">
        <v>7382</v>
      </c>
      <c r="D2615">
        <v>0.6319090000000001</v>
      </c>
    </row>
    <row r="2616" spans="1:4">
      <c r="A2616" t="s">
        <v>4233</v>
      </c>
      <c r="B2616" t="s">
        <v>363</v>
      </c>
      <c r="C2616" t="s">
        <v>7383</v>
      </c>
      <c r="D2616">
        <v>0.014026</v>
      </c>
    </row>
    <row r="2617" spans="1:4">
      <c r="A2617" t="s">
        <v>4234</v>
      </c>
      <c r="B2617" t="s">
        <v>363</v>
      </c>
      <c r="C2617" t="s">
        <v>7384</v>
      </c>
      <c r="D2617">
        <v>0.003449</v>
      </c>
    </row>
    <row r="2618" spans="1:4">
      <c r="A2618" t="s">
        <v>4235</v>
      </c>
      <c r="B2618" t="s">
        <v>363</v>
      </c>
      <c r="C2618" t="s">
        <v>7385</v>
      </c>
      <c r="D2618">
        <v>0.928906</v>
      </c>
    </row>
    <row r="2619" spans="1:4">
      <c r="A2619" t="s">
        <v>4236</v>
      </c>
      <c r="B2619" t="s">
        <v>363</v>
      </c>
      <c r="C2619" t="s">
        <v>7386</v>
      </c>
      <c r="D2619">
        <v>1.686787</v>
      </c>
    </row>
    <row r="2620" spans="1:4">
      <c r="A2620" t="s">
        <v>4237</v>
      </c>
      <c r="B2620" t="s">
        <v>363</v>
      </c>
      <c r="C2620" t="s">
        <v>7387</v>
      </c>
      <c r="D2620">
        <v>18.629349</v>
      </c>
    </row>
    <row r="2621" spans="1:4">
      <c r="A2621" t="s">
        <v>4238</v>
      </c>
      <c r="B2621" t="s">
        <v>363</v>
      </c>
      <c r="C2621" t="s">
        <v>7388</v>
      </c>
      <c r="D2621">
        <v>48.412219</v>
      </c>
    </row>
    <row r="2622" spans="1:4">
      <c r="A2622" t="s">
        <v>4239</v>
      </c>
      <c r="B2622" t="s">
        <v>363</v>
      </c>
      <c r="C2622" t="s">
        <v>7389</v>
      </c>
      <c r="D2622">
        <v>33.297915</v>
      </c>
    </row>
    <row r="2623" spans="1:4">
      <c r="A2623" t="s">
        <v>4240</v>
      </c>
      <c r="B2623" t="s">
        <v>363</v>
      </c>
      <c r="C2623" t="s">
        <v>7390</v>
      </c>
      <c r="D2623">
        <v>17.748484</v>
      </c>
    </row>
    <row r="2624" spans="1:4">
      <c r="A2624" t="s">
        <v>4241</v>
      </c>
      <c r="B2624" t="s">
        <v>363</v>
      </c>
      <c r="C2624" t="s">
        <v>7391</v>
      </c>
      <c r="D2624">
        <v>0.073724</v>
      </c>
    </row>
    <row r="2625" spans="1:4">
      <c r="A2625" t="s">
        <v>4242</v>
      </c>
      <c r="B2625" t="s">
        <v>363</v>
      </c>
      <c r="C2625" t="s">
        <v>7392</v>
      </c>
      <c r="D2625">
        <v>5.776797</v>
      </c>
    </row>
    <row r="2626" spans="1:4">
      <c r="A2626" t="s">
        <v>4243</v>
      </c>
      <c r="B2626" t="s">
        <v>363</v>
      </c>
      <c r="C2626" t="s">
        <v>7393</v>
      </c>
      <c r="D2626">
        <v>0.146675</v>
      </c>
    </row>
    <row r="2627" spans="1:4">
      <c r="A2627" t="s">
        <v>4244</v>
      </c>
      <c r="B2627" t="s">
        <v>363</v>
      </c>
      <c r="C2627" t="s">
        <v>7394</v>
      </c>
      <c r="D2627">
        <v>0.086981</v>
      </c>
    </row>
    <row r="2628" spans="1:4">
      <c r="A2628" t="s">
        <v>4245</v>
      </c>
      <c r="B2628" t="s">
        <v>363</v>
      </c>
      <c r="C2628" t="s">
        <v>7395</v>
      </c>
      <c r="D2628">
        <v>38.23428</v>
      </c>
    </row>
    <row r="2629" spans="1:4">
      <c r="A2629" t="s">
        <v>4246</v>
      </c>
      <c r="B2629" t="s">
        <v>363</v>
      </c>
      <c r="C2629" t="s">
        <v>7396</v>
      </c>
      <c r="D2629">
        <v>7.666807</v>
      </c>
    </row>
    <row r="2630" spans="1:4">
      <c r="A2630" t="s">
        <v>4247</v>
      </c>
      <c r="B2630" t="s">
        <v>363</v>
      </c>
      <c r="C2630" t="s">
        <v>7397</v>
      </c>
      <c r="D2630">
        <v>6.462316</v>
      </c>
    </row>
    <row r="2631" spans="1:4">
      <c r="A2631" t="s">
        <v>4248</v>
      </c>
      <c r="B2631" t="s">
        <v>363</v>
      </c>
      <c r="C2631" t="s">
        <v>7398</v>
      </c>
      <c r="D2631">
        <v>19.936157</v>
      </c>
    </row>
    <row r="2632" spans="1:4">
      <c r="A2632" t="s">
        <v>4249</v>
      </c>
      <c r="B2632" t="s">
        <v>363</v>
      </c>
      <c r="C2632" t="s">
        <v>7399</v>
      </c>
      <c r="D2632">
        <v>0.176683</v>
      </c>
    </row>
    <row r="2633" spans="1:4">
      <c r="A2633" t="s">
        <v>4250</v>
      </c>
      <c r="B2633" t="s">
        <v>363</v>
      </c>
      <c r="C2633" t="s">
        <v>7307</v>
      </c>
      <c r="D2633">
        <v>17.711435</v>
      </c>
    </row>
    <row r="2634" spans="1:4">
      <c r="A2634" t="s">
        <v>4251</v>
      </c>
      <c r="B2634" t="s">
        <v>363</v>
      </c>
      <c r="C2634" t="s">
        <v>7308</v>
      </c>
      <c r="D2634">
        <v>75.839491</v>
      </c>
    </row>
    <row r="2635" spans="1:4">
      <c r="A2635" t="s">
        <v>4252</v>
      </c>
      <c r="B2635" t="s">
        <v>363</v>
      </c>
      <c r="C2635" t="s">
        <v>7400</v>
      </c>
      <c r="D2635">
        <v>4.831358</v>
      </c>
    </row>
    <row r="2636" spans="1:4">
      <c r="A2636" t="s">
        <v>4253</v>
      </c>
      <c r="B2636" t="s">
        <v>363</v>
      </c>
      <c r="C2636" t="s">
        <v>7401</v>
      </c>
      <c r="D2636">
        <v>18.629349</v>
      </c>
    </row>
    <row r="2637" spans="1:4">
      <c r="A2637" t="s">
        <v>4254</v>
      </c>
      <c r="B2637" t="s">
        <v>363</v>
      </c>
      <c r="C2637" t="s">
        <v>7402</v>
      </c>
      <c r="D2637">
        <v>0.228016</v>
      </c>
    </row>
    <row r="2638" spans="1:4">
      <c r="A2638" t="s">
        <v>4255</v>
      </c>
      <c r="B2638" t="s">
        <v>363</v>
      </c>
      <c r="C2638" t="s">
        <v>7403</v>
      </c>
      <c r="D2638">
        <v>8.375662</v>
      </c>
    </row>
    <row r="2639" spans="1:4">
      <c r="A2639" t="s">
        <v>4256</v>
      </c>
      <c r="B2639" t="s">
        <v>363</v>
      </c>
      <c r="C2639" t="s">
        <v>7309</v>
      </c>
      <c r="D2639">
        <v>32.591669</v>
      </c>
    </row>
    <row r="2640" spans="1:4">
      <c r="A2640" t="s">
        <v>4257</v>
      </c>
      <c r="B2640" t="s">
        <v>363</v>
      </c>
      <c r="C2640" t="s">
        <v>7404</v>
      </c>
      <c r="D2640">
        <v>2.023423</v>
      </c>
    </row>
    <row r="2641" spans="1:4">
      <c r="A2641" t="s">
        <v>4258</v>
      </c>
      <c r="B2641" t="s">
        <v>363</v>
      </c>
      <c r="C2641" t="s">
        <v>7310</v>
      </c>
      <c r="D2641">
        <v>179.149639</v>
      </c>
    </row>
    <row r="2642" spans="1:4">
      <c r="A2642" t="s">
        <v>4259</v>
      </c>
      <c r="B2642" t="s">
        <v>363</v>
      </c>
      <c r="C2642" t="s">
        <v>7405</v>
      </c>
      <c r="D2642">
        <v>802.892055</v>
      </c>
    </row>
    <row r="2643" spans="1:4">
      <c r="A2643" t="s">
        <v>4260</v>
      </c>
      <c r="B2643" t="s">
        <v>363</v>
      </c>
      <c r="C2643" t="s">
        <v>7406</v>
      </c>
      <c r="D2643">
        <v>308.70926</v>
      </c>
    </row>
    <row r="2644" spans="1:4">
      <c r="A2644" t="s">
        <v>4261</v>
      </c>
      <c r="B2644" t="s">
        <v>363</v>
      </c>
      <c r="C2644" t="s">
        <v>7407</v>
      </c>
      <c r="D2644">
        <v>90.534327</v>
      </c>
    </row>
    <row r="2645" spans="1:4">
      <c r="A2645" t="s">
        <v>4262</v>
      </c>
      <c r="B2645" t="s">
        <v>363</v>
      </c>
      <c r="C2645" t="s">
        <v>7408</v>
      </c>
      <c r="D2645">
        <v>69.7428</v>
      </c>
    </row>
    <row r="2646" spans="1:4">
      <c r="A2646" t="s">
        <v>4263</v>
      </c>
      <c r="B2646" t="s">
        <v>363</v>
      </c>
      <c r="C2646" t="s">
        <v>7311</v>
      </c>
      <c r="D2646">
        <v>5.02871</v>
      </c>
    </row>
    <row r="2647" spans="1:4">
      <c r="A2647" t="s">
        <v>4264</v>
      </c>
      <c r="B2647" t="s">
        <v>363</v>
      </c>
      <c r="C2647" t="s">
        <v>7409</v>
      </c>
      <c r="D2647">
        <v>1.108755</v>
      </c>
    </row>
    <row r="2648" spans="1:4">
      <c r="A2648" t="s">
        <v>4265</v>
      </c>
      <c r="B2648" t="s">
        <v>363</v>
      </c>
      <c r="C2648" t="s">
        <v>7312</v>
      </c>
      <c r="D2648">
        <v>83.80548400000001</v>
      </c>
    </row>
    <row r="2649" spans="1:4">
      <c r="A2649" t="s">
        <v>4266</v>
      </c>
      <c r="B2649" t="s">
        <v>363</v>
      </c>
      <c r="C2649" t="s">
        <v>7410</v>
      </c>
      <c r="D2649">
        <v>0.050236</v>
      </c>
    </row>
    <row r="2650" spans="1:4">
      <c r="A2650" t="s">
        <v>4267</v>
      </c>
      <c r="B2650" t="s">
        <v>363</v>
      </c>
      <c r="C2650" t="s">
        <v>7411</v>
      </c>
      <c r="D2650">
        <v>84.81026199999999</v>
      </c>
    </row>
    <row r="2651" spans="1:4">
      <c r="A2651" t="s">
        <v>4268</v>
      </c>
      <c r="B2651" t="s">
        <v>363</v>
      </c>
      <c r="C2651" t="s">
        <v>7313</v>
      </c>
      <c r="D2651">
        <v>68.01446799999999</v>
      </c>
    </row>
    <row r="2652" spans="1:4">
      <c r="A2652" t="s">
        <v>4269</v>
      </c>
      <c r="B2652" t="s">
        <v>363</v>
      </c>
      <c r="C2652" t="s">
        <v>7412</v>
      </c>
      <c r="D2652">
        <v>3.034612</v>
      </c>
    </row>
    <row r="2653" spans="1:4">
      <c r="A2653" t="s">
        <v>4270</v>
      </c>
      <c r="B2653" t="s">
        <v>363</v>
      </c>
      <c r="C2653" t="s">
        <v>7413</v>
      </c>
      <c r="D2653">
        <v>4.273761</v>
      </c>
    </row>
    <row r="2654" spans="1:4">
      <c r="A2654" t="s">
        <v>4271</v>
      </c>
      <c r="B2654" t="s">
        <v>363</v>
      </c>
      <c r="C2654" t="s">
        <v>7414</v>
      </c>
      <c r="D2654">
        <v>0.210055</v>
      </c>
    </row>
    <row r="2655" spans="1:4">
      <c r="A2655" t="s">
        <v>4272</v>
      </c>
      <c r="B2655" t="s">
        <v>363</v>
      </c>
      <c r="C2655" t="s">
        <v>7415</v>
      </c>
      <c r="D2655">
        <v>82.32249299999999</v>
      </c>
    </row>
    <row r="2656" spans="1:4">
      <c r="A2656" t="s">
        <v>4273</v>
      </c>
      <c r="B2656" t="s">
        <v>363</v>
      </c>
      <c r="C2656" t="s">
        <v>7416</v>
      </c>
      <c r="D2656">
        <v>38.437695</v>
      </c>
    </row>
    <row r="2657" spans="1:4">
      <c r="A2657" t="s">
        <v>4274</v>
      </c>
      <c r="B2657" t="s">
        <v>363</v>
      </c>
      <c r="C2657" t="s">
        <v>7417</v>
      </c>
      <c r="D2657">
        <v>22.234338</v>
      </c>
    </row>
    <row r="2658" spans="1:4">
      <c r="A2658" t="s">
        <v>4275</v>
      </c>
      <c r="B2658" t="s">
        <v>363</v>
      </c>
      <c r="C2658" t="s">
        <v>7418</v>
      </c>
      <c r="D2658">
        <v>0.689681</v>
      </c>
    </row>
    <row r="2659" spans="1:4">
      <c r="A2659" t="s">
        <v>4276</v>
      </c>
      <c r="B2659" t="s">
        <v>363</v>
      </c>
      <c r="C2659" t="s">
        <v>7314</v>
      </c>
      <c r="D2659">
        <v>32.461266</v>
      </c>
    </row>
    <row r="2660" spans="1:4">
      <c r="A2660" t="s">
        <v>4277</v>
      </c>
      <c r="B2660" t="s">
        <v>363</v>
      </c>
      <c r="C2660" t="s">
        <v>7315</v>
      </c>
      <c r="D2660">
        <v>239.701581</v>
      </c>
    </row>
    <row r="2661" spans="1:4">
      <c r="A2661" t="s">
        <v>4278</v>
      </c>
      <c r="B2661" t="s">
        <v>363</v>
      </c>
      <c r="C2661" t="s">
        <v>7419</v>
      </c>
      <c r="D2661">
        <v>412.821673</v>
      </c>
    </row>
    <row r="2662" spans="1:4">
      <c r="A2662" t="s">
        <v>4279</v>
      </c>
      <c r="B2662" t="s">
        <v>363</v>
      </c>
      <c r="C2662" t="s">
        <v>7420</v>
      </c>
      <c r="D2662">
        <v>12.568435</v>
      </c>
    </row>
    <row r="2663" spans="1:4">
      <c r="A2663" t="s">
        <v>4280</v>
      </c>
      <c r="B2663" t="s">
        <v>363</v>
      </c>
      <c r="C2663" t="s">
        <v>7421</v>
      </c>
      <c r="D2663">
        <v>0.012568</v>
      </c>
    </row>
    <row r="2664" spans="1:4">
      <c r="A2664" t="s">
        <v>4281</v>
      </c>
      <c r="B2664" t="s">
        <v>363</v>
      </c>
      <c r="C2664" t="s">
        <v>7422</v>
      </c>
      <c r="D2664">
        <v>0.5401</v>
      </c>
    </row>
    <row r="2665" spans="1:4">
      <c r="A2665" t="s">
        <v>4282</v>
      </c>
      <c r="B2665" t="s">
        <v>363</v>
      </c>
      <c r="C2665" t="s">
        <v>7423</v>
      </c>
      <c r="D2665">
        <v>8.19486</v>
      </c>
    </row>
    <row r="2666" spans="1:4">
      <c r="A2666" t="s">
        <v>4283</v>
      </c>
      <c r="B2666" t="s">
        <v>363</v>
      </c>
      <c r="C2666" t="s">
        <v>7424</v>
      </c>
      <c r="D2666">
        <v>0.065386</v>
      </c>
    </row>
    <row r="2667" spans="1:4">
      <c r="A2667" t="s">
        <v>4284</v>
      </c>
      <c r="B2667" t="s">
        <v>363</v>
      </c>
      <c r="C2667" t="s">
        <v>7425</v>
      </c>
      <c r="D2667">
        <v>14.539916</v>
      </c>
    </row>
    <row r="2668" spans="1:4">
      <c r="A2668" t="s">
        <v>4285</v>
      </c>
      <c r="B2668" t="s">
        <v>363</v>
      </c>
      <c r="C2668" t="s">
        <v>7426</v>
      </c>
      <c r="D2668">
        <v>2.744585</v>
      </c>
    </row>
    <row r="2669" spans="1:4">
      <c r="A2669" t="s">
        <v>4286</v>
      </c>
      <c r="B2669" t="s">
        <v>363</v>
      </c>
      <c r="C2669" t="s">
        <v>7427</v>
      </c>
      <c r="D2669">
        <v>18.629349</v>
      </c>
    </row>
    <row r="2670" spans="1:4">
      <c r="A2670" t="s">
        <v>4287</v>
      </c>
      <c r="B2670" t="s">
        <v>363</v>
      </c>
      <c r="C2670" t="s">
        <v>7316</v>
      </c>
      <c r="D2670">
        <v>9.367145000000001</v>
      </c>
    </row>
    <row r="2671" spans="1:4">
      <c r="A2671" t="s">
        <v>4288</v>
      </c>
      <c r="B2671" t="s">
        <v>363</v>
      </c>
      <c r="C2671" t="s">
        <v>7428</v>
      </c>
      <c r="D2671">
        <v>33.024659</v>
      </c>
    </row>
    <row r="2672" spans="1:4">
      <c r="A2672" t="s">
        <v>4289</v>
      </c>
      <c r="B2672" t="s">
        <v>363</v>
      </c>
      <c r="C2672" t="s">
        <v>7429</v>
      </c>
      <c r="D2672">
        <v>88.094598</v>
      </c>
    </row>
    <row r="2673" spans="1:4">
      <c r="A2673" t="s">
        <v>4290</v>
      </c>
      <c r="B2673" t="s">
        <v>363</v>
      </c>
      <c r="C2673" t="s">
        <v>7430</v>
      </c>
      <c r="D2673">
        <v>105.441269</v>
      </c>
    </row>
    <row r="2674" spans="1:4">
      <c r="A2674" t="s">
        <v>4291</v>
      </c>
      <c r="B2674" t="s">
        <v>363</v>
      </c>
      <c r="C2674" t="s">
        <v>7431</v>
      </c>
      <c r="D2674">
        <v>129.324639</v>
      </c>
    </row>
    <row r="2675" spans="1:4">
      <c r="A2675" t="s">
        <v>4292</v>
      </c>
      <c r="B2675" t="s">
        <v>363</v>
      </c>
      <c r="C2675" t="s">
        <v>7317</v>
      </c>
      <c r="D2675">
        <v>6.685536</v>
      </c>
    </row>
    <row r="2676" spans="1:4">
      <c r="A2676" t="s">
        <v>4293</v>
      </c>
      <c r="B2676" t="s">
        <v>363</v>
      </c>
      <c r="C2676" t="s">
        <v>7432</v>
      </c>
      <c r="D2676">
        <v>41.682447</v>
      </c>
    </row>
    <row r="2677" spans="1:4">
      <c r="A2677" t="s">
        <v>4294</v>
      </c>
      <c r="B2677" t="s">
        <v>363</v>
      </c>
      <c r="C2677" t="s">
        <v>7433</v>
      </c>
      <c r="D2677">
        <v>216.170985</v>
      </c>
    </row>
    <row r="2678" spans="1:4">
      <c r="A2678" t="s">
        <v>4295</v>
      </c>
      <c r="B2678" t="s">
        <v>363</v>
      </c>
      <c r="C2678" t="s">
        <v>7434</v>
      </c>
      <c r="D2678">
        <v>9.7484</v>
      </c>
    </row>
    <row r="2679" spans="1:4">
      <c r="A2679" t="s">
        <v>4296</v>
      </c>
      <c r="B2679" t="s">
        <v>363</v>
      </c>
      <c r="C2679" t="s">
        <v>7435</v>
      </c>
      <c r="D2679">
        <v>0.118662</v>
      </c>
    </row>
    <row r="2680" spans="1:4">
      <c r="A2680" t="s">
        <v>4297</v>
      </c>
      <c r="B2680" t="s">
        <v>363</v>
      </c>
      <c r="C2680" t="s">
        <v>7436</v>
      </c>
      <c r="D2680">
        <v>6.853978</v>
      </c>
    </row>
    <row r="2681" spans="1:4">
      <c r="A2681" t="s">
        <v>4298</v>
      </c>
      <c r="B2681" t="s">
        <v>363</v>
      </c>
      <c r="C2681" t="s">
        <v>7437</v>
      </c>
      <c r="D2681">
        <v>0.082635</v>
      </c>
    </row>
    <row r="2682" spans="1:4">
      <c r="A2682" t="s">
        <v>4299</v>
      </c>
      <c r="B2682" t="s">
        <v>363</v>
      </c>
      <c r="C2682" t="s">
        <v>399</v>
      </c>
      <c r="D2682">
        <v>308.708992</v>
      </c>
    </row>
    <row r="2683" spans="1:4">
      <c r="A2683" t="s">
        <v>4300</v>
      </c>
      <c r="B2683" t="s">
        <v>363</v>
      </c>
      <c r="C2683" t="s">
        <v>7438</v>
      </c>
      <c r="D2683">
        <v>7.613181</v>
      </c>
    </row>
    <row r="2684" spans="1:4">
      <c r="A2684" t="s">
        <v>4301</v>
      </c>
      <c r="B2684" t="s">
        <v>363</v>
      </c>
      <c r="C2684" t="s">
        <v>7439</v>
      </c>
      <c r="D2684">
        <v>0.025455</v>
      </c>
    </row>
    <row r="2685" spans="1:4">
      <c r="A2685" t="s">
        <v>4302</v>
      </c>
      <c r="B2685" t="s">
        <v>363</v>
      </c>
      <c r="C2685" t="s">
        <v>7440</v>
      </c>
      <c r="D2685">
        <v>0.5337769999999999</v>
      </c>
    </row>
    <row r="2686" spans="1:4">
      <c r="A2686" t="s">
        <v>4303</v>
      </c>
      <c r="B2686" t="s">
        <v>363</v>
      </c>
      <c r="C2686" t="s">
        <v>7441</v>
      </c>
      <c r="D2686">
        <v>0.011768</v>
      </c>
    </row>
    <row r="2687" spans="1:4">
      <c r="A2687" t="s">
        <v>4304</v>
      </c>
      <c r="B2687" t="s">
        <v>363</v>
      </c>
      <c r="C2687" t="s">
        <v>7442</v>
      </c>
      <c r="D2687">
        <v>2.5892</v>
      </c>
    </row>
    <row r="2688" spans="1:4">
      <c r="A2688" t="s">
        <v>4305</v>
      </c>
      <c r="B2688" t="s">
        <v>363</v>
      </c>
      <c r="C2688" t="s">
        <v>7443</v>
      </c>
      <c r="D2688">
        <v>113.702303</v>
      </c>
    </row>
    <row r="2689" spans="1:4">
      <c r="A2689" t="s">
        <v>4306</v>
      </c>
      <c r="B2689" t="s">
        <v>363</v>
      </c>
      <c r="C2689" t="s">
        <v>7444</v>
      </c>
      <c r="D2689">
        <v>0.543066</v>
      </c>
    </row>
    <row r="2690" spans="1:4">
      <c r="A2690" t="s">
        <v>4307</v>
      </c>
      <c r="B2690" t="s">
        <v>363</v>
      </c>
      <c r="C2690" t="s">
        <v>7445</v>
      </c>
      <c r="D2690">
        <v>114.336796</v>
      </c>
    </row>
    <row r="2691" spans="1:4">
      <c r="A2691" t="s">
        <v>4308</v>
      </c>
      <c r="B2691" t="s">
        <v>363</v>
      </c>
      <c r="C2691" t="s">
        <v>7446</v>
      </c>
      <c r="D2691">
        <v>172.463301</v>
      </c>
    </row>
    <row r="2692" spans="1:4">
      <c r="A2692" t="s">
        <v>4309</v>
      </c>
      <c r="B2692" t="s">
        <v>363</v>
      </c>
      <c r="C2692" t="s">
        <v>7447</v>
      </c>
      <c r="D2692">
        <v>420.50063</v>
      </c>
    </row>
    <row r="2693" spans="1:4">
      <c r="A2693" t="s">
        <v>4310</v>
      </c>
      <c r="B2693" t="s">
        <v>363</v>
      </c>
      <c r="C2693" t="s">
        <v>7448</v>
      </c>
      <c r="D2693">
        <v>0.543066</v>
      </c>
    </row>
    <row r="2694" spans="1:4">
      <c r="A2694" t="s">
        <v>4311</v>
      </c>
      <c r="B2694" t="s">
        <v>363</v>
      </c>
      <c r="C2694" t="s">
        <v>7449</v>
      </c>
      <c r="D2694">
        <v>2.985184</v>
      </c>
    </row>
    <row r="2695" spans="1:4">
      <c r="A2695" t="s">
        <v>4312</v>
      </c>
      <c r="B2695" t="s">
        <v>363</v>
      </c>
      <c r="C2695" t="s">
        <v>7450</v>
      </c>
      <c r="D2695">
        <v>1.291755</v>
      </c>
    </row>
    <row r="2696" spans="1:4">
      <c r="A2696" t="s">
        <v>4313</v>
      </c>
      <c r="B2696" t="s">
        <v>363</v>
      </c>
      <c r="C2696" t="s">
        <v>7318</v>
      </c>
      <c r="D2696">
        <v>18.629328</v>
      </c>
    </row>
    <row r="2697" spans="1:4">
      <c r="A2697" t="s">
        <v>4314</v>
      </c>
      <c r="B2697" t="s">
        <v>363</v>
      </c>
      <c r="C2697" t="s">
        <v>7451</v>
      </c>
      <c r="D2697">
        <v>17.433852</v>
      </c>
    </row>
    <row r="2698" spans="1:4">
      <c r="A2698" t="s">
        <v>4315</v>
      </c>
      <c r="B2698" t="s">
        <v>363</v>
      </c>
      <c r="C2698" t="s">
        <v>7452</v>
      </c>
      <c r="D2698">
        <v>11.519652</v>
      </c>
    </row>
    <row r="2699" spans="1:4">
      <c r="A2699" t="s">
        <v>4316</v>
      </c>
      <c r="B2699" t="s">
        <v>363</v>
      </c>
      <c r="C2699" t="s">
        <v>7453</v>
      </c>
      <c r="D2699">
        <v>11.519652</v>
      </c>
    </row>
    <row r="2700" spans="1:4">
      <c r="A2700" t="s">
        <v>4317</v>
      </c>
      <c r="B2700" t="s">
        <v>364</v>
      </c>
      <c r="C2700" t="s">
        <v>397</v>
      </c>
      <c r="D2700">
        <v>352.376863</v>
      </c>
    </row>
    <row r="2701" spans="1:4">
      <c r="A2701" t="s">
        <v>4318</v>
      </c>
      <c r="B2701" t="s">
        <v>364</v>
      </c>
      <c r="C2701" t="s">
        <v>7319</v>
      </c>
      <c r="D2701">
        <v>83.648427</v>
      </c>
    </row>
    <row r="2702" spans="1:4">
      <c r="A2702" t="s">
        <v>4319</v>
      </c>
      <c r="B2702" t="s">
        <v>364</v>
      </c>
      <c r="C2702" t="s">
        <v>7320</v>
      </c>
      <c r="D2702">
        <v>4.824163</v>
      </c>
    </row>
    <row r="2703" spans="1:4">
      <c r="A2703" t="s">
        <v>4320</v>
      </c>
      <c r="B2703" t="s">
        <v>364</v>
      </c>
      <c r="C2703" t="s">
        <v>7321</v>
      </c>
      <c r="D2703">
        <v>3.718354</v>
      </c>
    </row>
    <row r="2704" spans="1:4">
      <c r="A2704" t="s">
        <v>4321</v>
      </c>
      <c r="B2704" t="s">
        <v>364</v>
      </c>
      <c r="C2704" t="s">
        <v>7322</v>
      </c>
      <c r="D2704">
        <v>0.833579</v>
      </c>
    </row>
    <row r="2705" spans="1:4">
      <c r="A2705" t="s">
        <v>4322</v>
      </c>
      <c r="B2705" t="s">
        <v>364</v>
      </c>
      <c r="C2705" t="s">
        <v>7323</v>
      </c>
      <c r="D2705">
        <v>171.619492</v>
      </c>
    </row>
    <row r="2706" spans="1:4">
      <c r="A2706" t="s">
        <v>4323</v>
      </c>
      <c r="B2706" t="s">
        <v>364</v>
      </c>
      <c r="C2706" t="s">
        <v>7324</v>
      </c>
      <c r="D2706">
        <v>0.324928</v>
      </c>
    </row>
    <row r="2707" spans="1:4">
      <c r="A2707" t="s">
        <v>4324</v>
      </c>
      <c r="B2707" t="s">
        <v>364</v>
      </c>
      <c r="C2707" t="s">
        <v>7325</v>
      </c>
      <c r="D2707">
        <v>0.211923</v>
      </c>
    </row>
    <row r="2708" spans="1:4">
      <c r="A2708" t="s">
        <v>4325</v>
      </c>
      <c r="B2708" t="s">
        <v>364</v>
      </c>
      <c r="C2708" t="s">
        <v>7292</v>
      </c>
      <c r="D2708">
        <v>215.513372</v>
      </c>
    </row>
    <row r="2709" spans="1:4">
      <c r="A2709" t="s">
        <v>4326</v>
      </c>
      <c r="B2709" t="s">
        <v>364</v>
      </c>
      <c r="C2709" t="s">
        <v>7326</v>
      </c>
      <c r="D2709">
        <v>171.619492</v>
      </c>
    </row>
    <row r="2710" spans="1:4">
      <c r="A2710" t="s">
        <v>4327</v>
      </c>
      <c r="B2710" t="s">
        <v>364</v>
      </c>
      <c r="C2710" t="s">
        <v>7327</v>
      </c>
      <c r="D2710">
        <v>180.428686</v>
      </c>
    </row>
    <row r="2711" spans="1:4">
      <c r="A2711" t="s">
        <v>4328</v>
      </c>
      <c r="B2711" t="s">
        <v>364</v>
      </c>
      <c r="C2711" t="s">
        <v>7328</v>
      </c>
      <c r="D2711">
        <v>180.167429</v>
      </c>
    </row>
    <row r="2712" spans="1:4">
      <c r="A2712" t="s">
        <v>4329</v>
      </c>
      <c r="B2712" t="s">
        <v>364</v>
      </c>
      <c r="C2712" t="s">
        <v>7329</v>
      </c>
      <c r="D2712">
        <v>153.599411</v>
      </c>
    </row>
    <row r="2713" spans="1:4">
      <c r="A2713" t="s">
        <v>4330</v>
      </c>
      <c r="B2713" t="s">
        <v>364</v>
      </c>
      <c r="C2713" t="s">
        <v>7330</v>
      </c>
      <c r="D2713">
        <v>2.501612</v>
      </c>
    </row>
    <row r="2714" spans="1:4">
      <c r="A2714" t="s">
        <v>4331</v>
      </c>
      <c r="B2714" t="s">
        <v>364</v>
      </c>
      <c r="C2714" t="s">
        <v>398</v>
      </c>
      <c r="D2714">
        <v>180.167429</v>
      </c>
    </row>
    <row r="2715" spans="1:4">
      <c r="A2715" t="s">
        <v>4332</v>
      </c>
      <c r="B2715" t="s">
        <v>364</v>
      </c>
      <c r="C2715" t="s">
        <v>7331</v>
      </c>
      <c r="D2715">
        <v>817.0186210000001</v>
      </c>
    </row>
    <row r="2716" spans="1:4">
      <c r="A2716" t="s">
        <v>4333</v>
      </c>
      <c r="B2716" t="s">
        <v>364</v>
      </c>
      <c r="C2716" t="s">
        <v>7332</v>
      </c>
      <c r="D2716">
        <v>0.10235</v>
      </c>
    </row>
    <row r="2717" spans="1:4">
      <c r="A2717" t="s">
        <v>4334</v>
      </c>
      <c r="B2717" t="s">
        <v>364</v>
      </c>
      <c r="C2717" t="s">
        <v>7333</v>
      </c>
      <c r="D2717">
        <v>307.198956</v>
      </c>
    </row>
    <row r="2718" spans="1:4">
      <c r="A2718" t="s">
        <v>4335</v>
      </c>
      <c r="B2718" t="s">
        <v>364</v>
      </c>
      <c r="C2718" t="s">
        <v>7334</v>
      </c>
      <c r="D2718">
        <v>238.138494</v>
      </c>
    </row>
    <row r="2719" spans="1:4">
      <c r="A2719" t="s">
        <v>4336</v>
      </c>
      <c r="B2719" t="s">
        <v>364</v>
      </c>
      <c r="C2719" t="s">
        <v>7335</v>
      </c>
      <c r="D2719">
        <v>44.25344</v>
      </c>
    </row>
    <row r="2720" spans="1:4">
      <c r="A2720" t="s">
        <v>4337</v>
      </c>
      <c r="B2720" t="s">
        <v>364</v>
      </c>
      <c r="C2720" t="s">
        <v>7293</v>
      </c>
      <c r="D2720">
        <v>59.657418</v>
      </c>
    </row>
    <row r="2721" spans="1:4">
      <c r="A2721" t="s">
        <v>4338</v>
      </c>
      <c r="B2721" t="s">
        <v>364</v>
      </c>
      <c r="C2721" t="s">
        <v>7336</v>
      </c>
      <c r="D2721">
        <v>307.198956</v>
      </c>
    </row>
    <row r="2722" spans="1:4">
      <c r="A2722" t="s">
        <v>4339</v>
      </c>
      <c r="B2722" t="s">
        <v>364</v>
      </c>
      <c r="C2722" t="s">
        <v>7337</v>
      </c>
      <c r="D2722">
        <v>3.258717</v>
      </c>
    </row>
    <row r="2723" spans="1:4">
      <c r="A2723" t="s">
        <v>4340</v>
      </c>
      <c r="B2723" t="s">
        <v>364</v>
      </c>
      <c r="C2723" t="s">
        <v>7338</v>
      </c>
      <c r="D2723">
        <v>21.781434</v>
      </c>
    </row>
    <row r="2724" spans="1:4">
      <c r="A2724" t="s">
        <v>4341</v>
      </c>
      <c r="B2724" t="s">
        <v>364</v>
      </c>
      <c r="C2724" t="s">
        <v>7339</v>
      </c>
      <c r="D2724">
        <v>111.214484</v>
      </c>
    </row>
    <row r="2725" spans="1:4">
      <c r="A2725" t="s">
        <v>4342</v>
      </c>
      <c r="B2725" t="s">
        <v>364</v>
      </c>
      <c r="C2725" t="s">
        <v>7340</v>
      </c>
      <c r="D2725">
        <v>153.599411</v>
      </c>
    </row>
    <row r="2726" spans="1:4">
      <c r="A2726" t="s">
        <v>4343</v>
      </c>
      <c r="B2726" t="s">
        <v>364</v>
      </c>
      <c r="C2726" t="s">
        <v>7294</v>
      </c>
      <c r="D2726">
        <v>217.523833</v>
      </c>
    </row>
    <row r="2727" spans="1:4">
      <c r="A2727" t="s">
        <v>4344</v>
      </c>
      <c r="B2727" t="s">
        <v>364</v>
      </c>
      <c r="C2727" t="s">
        <v>7341</v>
      </c>
      <c r="D2727">
        <v>0.131363</v>
      </c>
    </row>
    <row r="2728" spans="1:4">
      <c r="A2728" t="s">
        <v>4345</v>
      </c>
      <c r="B2728" t="s">
        <v>364</v>
      </c>
      <c r="C2728" t="s">
        <v>7295</v>
      </c>
      <c r="D2728">
        <v>382.162203</v>
      </c>
    </row>
    <row r="2729" spans="1:4">
      <c r="A2729" t="s">
        <v>4346</v>
      </c>
      <c r="B2729" t="s">
        <v>364</v>
      </c>
      <c r="C2729" t="s">
        <v>7342</v>
      </c>
      <c r="D2729">
        <v>13618.955824</v>
      </c>
    </row>
    <row r="2730" spans="1:4">
      <c r="A2730" t="s">
        <v>4347</v>
      </c>
      <c r="B2730" t="s">
        <v>364</v>
      </c>
      <c r="C2730" t="s">
        <v>7343</v>
      </c>
      <c r="D2730">
        <v>0.344558</v>
      </c>
    </row>
    <row r="2731" spans="1:4">
      <c r="A2731" t="s">
        <v>4348</v>
      </c>
      <c r="B2731" t="s">
        <v>364</v>
      </c>
      <c r="C2731" t="s">
        <v>7344</v>
      </c>
      <c r="D2731">
        <v>45.363447</v>
      </c>
    </row>
    <row r="2732" spans="1:4">
      <c r="A2732" t="s">
        <v>4349</v>
      </c>
      <c r="B2732" t="s">
        <v>364</v>
      </c>
      <c r="C2732" t="s">
        <v>7296</v>
      </c>
      <c r="D2732">
        <v>45.311532</v>
      </c>
    </row>
    <row r="2733" spans="1:4">
      <c r="A2733" t="s">
        <v>4350</v>
      </c>
      <c r="B2733" t="s">
        <v>364</v>
      </c>
      <c r="C2733" t="s">
        <v>7345</v>
      </c>
      <c r="D2733">
        <v>0.088714</v>
      </c>
    </row>
    <row r="2734" spans="1:4">
      <c r="A2734" t="s">
        <v>4351</v>
      </c>
      <c r="B2734" t="s">
        <v>364</v>
      </c>
      <c r="C2734" t="s">
        <v>7346</v>
      </c>
      <c r="D2734">
        <v>0.674818</v>
      </c>
    </row>
    <row r="2735" spans="1:4">
      <c r="A2735" t="s">
        <v>4352</v>
      </c>
      <c r="B2735" t="s">
        <v>364</v>
      </c>
      <c r="C2735" t="s">
        <v>7347</v>
      </c>
      <c r="D2735">
        <v>12.799953</v>
      </c>
    </row>
    <row r="2736" spans="1:4">
      <c r="A2736" t="s">
        <v>4353</v>
      </c>
      <c r="B2736" t="s">
        <v>364</v>
      </c>
      <c r="C2736" t="s">
        <v>7348</v>
      </c>
      <c r="D2736">
        <v>3.195727</v>
      </c>
    </row>
    <row r="2737" spans="1:4">
      <c r="A2737" t="s">
        <v>4354</v>
      </c>
      <c r="B2737" t="s">
        <v>364</v>
      </c>
      <c r="C2737" t="s">
        <v>7297</v>
      </c>
      <c r="D2737">
        <v>14.564374</v>
      </c>
    </row>
    <row r="2738" spans="1:4">
      <c r="A2738" t="s">
        <v>4355</v>
      </c>
      <c r="B2738" t="s">
        <v>364</v>
      </c>
      <c r="C2738" t="s">
        <v>7349</v>
      </c>
      <c r="D2738">
        <v>1.728546</v>
      </c>
    </row>
    <row r="2739" spans="1:4">
      <c r="A2739" t="s">
        <v>4356</v>
      </c>
      <c r="B2739" t="s">
        <v>364</v>
      </c>
      <c r="C2739" t="s">
        <v>7298</v>
      </c>
      <c r="D2739">
        <v>47.212746</v>
      </c>
    </row>
    <row r="2740" spans="1:4">
      <c r="A2740" t="s">
        <v>4357</v>
      </c>
      <c r="B2740" t="s">
        <v>364</v>
      </c>
      <c r="C2740" t="s">
        <v>7350</v>
      </c>
      <c r="D2740">
        <v>5.232124</v>
      </c>
    </row>
    <row r="2741" spans="1:4">
      <c r="A2741" t="s">
        <v>4358</v>
      </c>
      <c r="B2741" t="s">
        <v>364</v>
      </c>
      <c r="C2741" t="s">
        <v>7351</v>
      </c>
      <c r="D2741">
        <v>2.295139</v>
      </c>
    </row>
    <row r="2742" spans="1:4">
      <c r="A2742" t="s">
        <v>4359</v>
      </c>
      <c r="B2742" t="s">
        <v>364</v>
      </c>
      <c r="C2742" t="s">
        <v>7352</v>
      </c>
      <c r="D2742">
        <v>6.151202</v>
      </c>
    </row>
    <row r="2743" spans="1:4">
      <c r="A2743" t="s">
        <v>4360</v>
      </c>
      <c r="B2743" t="s">
        <v>364</v>
      </c>
      <c r="C2743" t="s">
        <v>7353</v>
      </c>
      <c r="D2743">
        <v>20.479924</v>
      </c>
    </row>
    <row r="2744" spans="1:4">
      <c r="A2744" t="s">
        <v>4361</v>
      </c>
      <c r="B2744" t="s">
        <v>364</v>
      </c>
      <c r="C2744" t="s">
        <v>7354</v>
      </c>
      <c r="D2744">
        <v>1.889654</v>
      </c>
    </row>
    <row r="2745" spans="1:4">
      <c r="A2745" t="s">
        <v>4362</v>
      </c>
      <c r="B2745" t="s">
        <v>364</v>
      </c>
      <c r="C2745" t="s">
        <v>7355</v>
      </c>
      <c r="D2745">
        <v>136.811221</v>
      </c>
    </row>
    <row r="2746" spans="1:4">
      <c r="A2746" t="s">
        <v>4363</v>
      </c>
      <c r="B2746" t="s">
        <v>364</v>
      </c>
      <c r="C2746" t="s">
        <v>7356</v>
      </c>
      <c r="D2746">
        <v>406.291783</v>
      </c>
    </row>
    <row r="2747" spans="1:4">
      <c r="A2747" t="s">
        <v>4364</v>
      </c>
      <c r="B2747" t="s">
        <v>364</v>
      </c>
      <c r="C2747" t="s">
        <v>7357</v>
      </c>
      <c r="D2747">
        <v>47.212759</v>
      </c>
    </row>
    <row r="2748" spans="1:4">
      <c r="A2748" t="s">
        <v>4365</v>
      </c>
      <c r="B2748" t="s">
        <v>364</v>
      </c>
      <c r="C2748" t="s">
        <v>7299</v>
      </c>
      <c r="D2748">
        <v>406.291314</v>
      </c>
    </row>
    <row r="2749" spans="1:4">
      <c r="A2749" t="s">
        <v>4366</v>
      </c>
      <c r="B2749" t="s">
        <v>364</v>
      </c>
      <c r="C2749" t="s">
        <v>7358</v>
      </c>
      <c r="D2749">
        <v>115.844354</v>
      </c>
    </row>
    <row r="2750" spans="1:4">
      <c r="A2750" t="s">
        <v>4367</v>
      </c>
      <c r="B2750" t="s">
        <v>364</v>
      </c>
      <c r="C2750" t="s">
        <v>7359</v>
      </c>
      <c r="D2750">
        <v>406.291783</v>
      </c>
    </row>
    <row r="2751" spans="1:4">
      <c r="A2751" t="s">
        <v>4368</v>
      </c>
      <c r="B2751" t="s">
        <v>364</v>
      </c>
      <c r="C2751" t="s">
        <v>7360</v>
      </c>
      <c r="D2751">
        <v>27.504733</v>
      </c>
    </row>
    <row r="2752" spans="1:4">
      <c r="A2752" t="s">
        <v>4369</v>
      </c>
      <c r="B2752" t="s">
        <v>364</v>
      </c>
      <c r="C2752" t="s">
        <v>7361</v>
      </c>
      <c r="D2752">
        <v>406.291783</v>
      </c>
    </row>
    <row r="2753" spans="1:4">
      <c r="A2753" t="s">
        <v>4370</v>
      </c>
      <c r="B2753" t="s">
        <v>364</v>
      </c>
      <c r="C2753" t="s">
        <v>7362</v>
      </c>
      <c r="D2753">
        <v>4.132531</v>
      </c>
    </row>
    <row r="2754" spans="1:4">
      <c r="A2754" t="s">
        <v>4371</v>
      </c>
      <c r="B2754" t="s">
        <v>364</v>
      </c>
      <c r="C2754" t="s">
        <v>7363</v>
      </c>
      <c r="D2754">
        <v>0.034955</v>
      </c>
    </row>
    <row r="2755" spans="1:4">
      <c r="A2755" t="s">
        <v>4372</v>
      </c>
      <c r="B2755" t="s">
        <v>364</v>
      </c>
      <c r="C2755" t="s">
        <v>7364</v>
      </c>
      <c r="D2755">
        <v>40.202897</v>
      </c>
    </row>
    <row r="2756" spans="1:4">
      <c r="A2756" t="s">
        <v>4373</v>
      </c>
      <c r="B2756" t="s">
        <v>364</v>
      </c>
      <c r="C2756" t="s">
        <v>7365</v>
      </c>
      <c r="D2756">
        <v>1.461909</v>
      </c>
    </row>
    <row r="2757" spans="1:4">
      <c r="A2757" t="s">
        <v>4374</v>
      </c>
      <c r="B2757" t="s">
        <v>364</v>
      </c>
      <c r="C2757" t="s">
        <v>7300</v>
      </c>
      <c r="D2757">
        <v>39.216502</v>
      </c>
    </row>
    <row r="2758" spans="1:4">
      <c r="A2758" t="s">
        <v>4375</v>
      </c>
      <c r="B2758" t="s">
        <v>364</v>
      </c>
      <c r="C2758" t="s">
        <v>7366</v>
      </c>
      <c r="D2758">
        <v>11.463998</v>
      </c>
    </row>
    <row r="2759" spans="1:4">
      <c r="A2759" t="s">
        <v>4376</v>
      </c>
      <c r="B2759" t="s">
        <v>364</v>
      </c>
      <c r="C2759" t="s">
        <v>7367</v>
      </c>
      <c r="D2759">
        <v>46.768447</v>
      </c>
    </row>
    <row r="2760" spans="1:4">
      <c r="A2760" t="s">
        <v>4377</v>
      </c>
      <c r="B2760" t="s">
        <v>364</v>
      </c>
      <c r="C2760" t="s">
        <v>7368</v>
      </c>
      <c r="D2760">
        <v>2.339652</v>
      </c>
    </row>
    <row r="2761" spans="1:4">
      <c r="A2761" t="s">
        <v>4378</v>
      </c>
      <c r="B2761" t="s">
        <v>364</v>
      </c>
      <c r="C2761" t="s">
        <v>7301</v>
      </c>
      <c r="D2761">
        <v>0.01733</v>
      </c>
    </row>
    <row r="2762" spans="1:4">
      <c r="A2762" t="s">
        <v>4379</v>
      </c>
      <c r="B2762" t="s">
        <v>364</v>
      </c>
      <c r="C2762" t="s">
        <v>7302</v>
      </c>
      <c r="D2762">
        <v>104.475319</v>
      </c>
    </row>
    <row r="2763" spans="1:4">
      <c r="A2763" t="s">
        <v>4380</v>
      </c>
      <c r="B2763" t="s">
        <v>364</v>
      </c>
      <c r="C2763" t="s">
        <v>7369</v>
      </c>
      <c r="D2763">
        <v>406.291783</v>
      </c>
    </row>
    <row r="2764" spans="1:4">
      <c r="A2764" t="s">
        <v>4381</v>
      </c>
      <c r="B2764" t="s">
        <v>364</v>
      </c>
      <c r="C2764" t="s">
        <v>7303</v>
      </c>
      <c r="D2764">
        <v>3.258712</v>
      </c>
    </row>
    <row r="2765" spans="1:4">
      <c r="A2765" t="s">
        <v>4382</v>
      </c>
      <c r="B2765" t="s">
        <v>364</v>
      </c>
      <c r="C2765" t="s">
        <v>7370</v>
      </c>
      <c r="D2765">
        <v>0.233866</v>
      </c>
    </row>
    <row r="2766" spans="1:4">
      <c r="A2766" t="s">
        <v>4383</v>
      </c>
      <c r="B2766" t="s">
        <v>364</v>
      </c>
      <c r="C2766" t="s">
        <v>7371</v>
      </c>
      <c r="D2766">
        <v>0.000224</v>
      </c>
    </row>
    <row r="2767" spans="1:4">
      <c r="A2767" t="s">
        <v>4384</v>
      </c>
      <c r="B2767" t="s">
        <v>364</v>
      </c>
      <c r="C2767" t="s">
        <v>7304</v>
      </c>
      <c r="D2767">
        <v>2.439761</v>
      </c>
    </row>
    <row r="2768" spans="1:4">
      <c r="A2768" t="s">
        <v>4385</v>
      </c>
      <c r="B2768" t="s">
        <v>364</v>
      </c>
      <c r="C2768" t="s">
        <v>7372</v>
      </c>
      <c r="D2768">
        <v>406.291783</v>
      </c>
    </row>
    <row r="2769" spans="1:4">
      <c r="A2769" t="s">
        <v>4386</v>
      </c>
      <c r="B2769" t="s">
        <v>364</v>
      </c>
      <c r="C2769" t="s">
        <v>7373</v>
      </c>
      <c r="D2769">
        <v>1.939148</v>
      </c>
    </row>
    <row r="2770" spans="1:4">
      <c r="A2770" t="s">
        <v>4387</v>
      </c>
      <c r="B2770" t="s">
        <v>364</v>
      </c>
      <c r="C2770" t="s">
        <v>7374</v>
      </c>
      <c r="D2770">
        <v>433.284513</v>
      </c>
    </row>
    <row r="2771" spans="1:4">
      <c r="A2771" t="s">
        <v>4388</v>
      </c>
      <c r="B2771" t="s">
        <v>364</v>
      </c>
      <c r="C2771" t="s">
        <v>7305</v>
      </c>
      <c r="D2771">
        <v>1.906524</v>
      </c>
    </row>
    <row r="2772" spans="1:4">
      <c r="A2772" t="s">
        <v>4389</v>
      </c>
      <c r="B2772" t="s">
        <v>364</v>
      </c>
      <c r="C2772" t="s">
        <v>7375</v>
      </c>
      <c r="D2772">
        <v>2.364935</v>
      </c>
    </row>
    <row r="2773" spans="1:4">
      <c r="A2773" t="s">
        <v>4390</v>
      </c>
      <c r="B2773" t="s">
        <v>364</v>
      </c>
      <c r="C2773" t="s">
        <v>7376</v>
      </c>
      <c r="D2773">
        <v>3.509975</v>
      </c>
    </row>
    <row r="2774" spans="1:4">
      <c r="A2774" t="s">
        <v>4391</v>
      </c>
      <c r="B2774" t="s">
        <v>364</v>
      </c>
      <c r="C2774" t="s">
        <v>7377</v>
      </c>
      <c r="D2774">
        <v>0.07563300000000001</v>
      </c>
    </row>
    <row r="2775" spans="1:4">
      <c r="A2775" t="s">
        <v>4392</v>
      </c>
      <c r="B2775" t="s">
        <v>364</v>
      </c>
      <c r="C2775" t="s">
        <v>7378</v>
      </c>
      <c r="D2775">
        <v>215.513636</v>
      </c>
    </row>
    <row r="2776" spans="1:4">
      <c r="A2776" t="s">
        <v>4393</v>
      </c>
      <c r="B2776" t="s">
        <v>364</v>
      </c>
      <c r="C2776" t="s">
        <v>7379</v>
      </c>
      <c r="D2776">
        <v>0.71626</v>
      </c>
    </row>
    <row r="2777" spans="1:4">
      <c r="A2777" t="s">
        <v>4394</v>
      </c>
      <c r="B2777" t="s">
        <v>364</v>
      </c>
      <c r="C2777" t="s">
        <v>7306</v>
      </c>
      <c r="D2777">
        <v>0.199826</v>
      </c>
    </row>
    <row r="2778" spans="1:4">
      <c r="A2778" t="s">
        <v>4395</v>
      </c>
      <c r="B2778" t="s">
        <v>364</v>
      </c>
      <c r="C2778" t="s">
        <v>7380</v>
      </c>
      <c r="D2778">
        <v>997.587579</v>
      </c>
    </row>
    <row r="2779" spans="1:4">
      <c r="A2779" t="s">
        <v>4396</v>
      </c>
      <c r="B2779" t="s">
        <v>364</v>
      </c>
      <c r="C2779" t="s">
        <v>7381</v>
      </c>
      <c r="D2779">
        <v>368.638618</v>
      </c>
    </row>
    <row r="2780" spans="1:4">
      <c r="A2780" t="s">
        <v>4397</v>
      </c>
      <c r="B2780" t="s">
        <v>364</v>
      </c>
      <c r="C2780" t="s">
        <v>7382</v>
      </c>
      <c r="D2780">
        <v>0.62971</v>
      </c>
    </row>
    <row r="2781" spans="1:4">
      <c r="A2781" t="s">
        <v>4398</v>
      </c>
      <c r="B2781" t="s">
        <v>364</v>
      </c>
      <c r="C2781" t="s">
        <v>7383</v>
      </c>
      <c r="D2781">
        <v>0.013929</v>
      </c>
    </row>
    <row r="2782" spans="1:4">
      <c r="A2782" t="s">
        <v>4399</v>
      </c>
      <c r="B2782" t="s">
        <v>364</v>
      </c>
      <c r="C2782" t="s">
        <v>7384</v>
      </c>
      <c r="D2782">
        <v>0.003432</v>
      </c>
    </row>
    <row r="2783" spans="1:4">
      <c r="A2783" t="s">
        <v>4400</v>
      </c>
      <c r="B2783" t="s">
        <v>364</v>
      </c>
      <c r="C2783" t="s">
        <v>7385</v>
      </c>
      <c r="D2783">
        <v>0.920786</v>
      </c>
    </row>
    <row r="2784" spans="1:4">
      <c r="A2784" t="s">
        <v>4401</v>
      </c>
      <c r="B2784" t="s">
        <v>364</v>
      </c>
      <c r="C2784" t="s">
        <v>7386</v>
      </c>
      <c r="D2784">
        <v>1.678925</v>
      </c>
    </row>
    <row r="2785" spans="1:4">
      <c r="A2785" t="s">
        <v>4402</v>
      </c>
      <c r="B2785" t="s">
        <v>364</v>
      </c>
      <c r="C2785" t="s">
        <v>7387</v>
      </c>
      <c r="D2785">
        <v>18.70636</v>
      </c>
    </row>
    <row r="2786" spans="1:4">
      <c r="A2786" t="s">
        <v>4403</v>
      </c>
      <c r="B2786" t="s">
        <v>364</v>
      </c>
      <c r="C2786" t="s">
        <v>7388</v>
      </c>
      <c r="D2786">
        <v>48.095722</v>
      </c>
    </row>
    <row r="2787" spans="1:4">
      <c r="A2787" t="s">
        <v>4404</v>
      </c>
      <c r="B2787" t="s">
        <v>364</v>
      </c>
      <c r="C2787" t="s">
        <v>7389</v>
      </c>
      <c r="D2787">
        <v>32.982665</v>
      </c>
    </row>
    <row r="2788" spans="1:4">
      <c r="A2788" t="s">
        <v>4405</v>
      </c>
      <c r="B2788" t="s">
        <v>364</v>
      </c>
      <c r="C2788" t="s">
        <v>7390</v>
      </c>
      <c r="D2788">
        <v>17.604436</v>
      </c>
    </row>
    <row r="2789" spans="1:4">
      <c r="A2789" t="s">
        <v>4406</v>
      </c>
      <c r="B2789" t="s">
        <v>364</v>
      </c>
      <c r="C2789" t="s">
        <v>7391</v>
      </c>
      <c r="D2789">
        <v>0.07281</v>
      </c>
    </row>
    <row r="2790" spans="1:4">
      <c r="A2790" t="s">
        <v>4407</v>
      </c>
      <c r="B2790" t="s">
        <v>364</v>
      </c>
      <c r="C2790" t="s">
        <v>7392</v>
      </c>
      <c r="D2790">
        <v>5.717944</v>
      </c>
    </row>
    <row r="2791" spans="1:4">
      <c r="A2791" t="s">
        <v>4408</v>
      </c>
      <c r="B2791" t="s">
        <v>364</v>
      </c>
      <c r="C2791" t="s">
        <v>7393</v>
      </c>
      <c r="D2791">
        <v>0.145794</v>
      </c>
    </row>
    <row r="2792" spans="1:4">
      <c r="A2792" t="s">
        <v>4409</v>
      </c>
      <c r="B2792" t="s">
        <v>364</v>
      </c>
      <c r="C2792" t="s">
        <v>7394</v>
      </c>
      <c r="D2792">
        <v>0.08590200000000001</v>
      </c>
    </row>
    <row r="2793" spans="1:4">
      <c r="A2793" t="s">
        <v>4410</v>
      </c>
      <c r="B2793" t="s">
        <v>364</v>
      </c>
      <c r="C2793" t="s">
        <v>7395</v>
      </c>
      <c r="D2793">
        <v>38.07431</v>
      </c>
    </row>
    <row r="2794" spans="1:4">
      <c r="A2794" t="s">
        <v>4411</v>
      </c>
      <c r="B2794" t="s">
        <v>364</v>
      </c>
      <c r="C2794" t="s">
        <v>7396</v>
      </c>
      <c r="D2794">
        <v>7.660843</v>
      </c>
    </row>
    <row r="2795" spans="1:4">
      <c r="A2795" t="s">
        <v>4412</v>
      </c>
      <c r="B2795" t="s">
        <v>364</v>
      </c>
      <c r="C2795" t="s">
        <v>7397</v>
      </c>
      <c r="D2795">
        <v>6.476065</v>
      </c>
    </row>
    <row r="2796" spans="1:4">
      <c r="A2796" t="s">
        <v>4413</v>
      </c>
      <c r="B2796" t="s">
        <v>364</v>
      </c>
      <c r="C2796" t="s">
        <v>7398</v>
      </c>
      <c r="D2796">
        <v>19.819028</v>
      </c>
    </row>
    <row r="2797" spans="1:4">
      <c r="A2797" t="s">
        <v>4414</v>
      </c>
      <c r="B2797" t="s">
        <v>364</v>
      </c>
      <c r="C2797" t="s">
        <v>7399</v>
      </c>
      <c r="D2797">
        <v>0.175724</v>
      </c>
    </row>
    <row r="2798" spans="1:4">
      <c r="A2798" t="s">
        <v>4415</v>
      </c>
      <c r="B2798" t="s">
        <v>364</v>
      </c>
      <c r="C2798" t="s">
        <v>7307</v>
      </c>
      <c r="D2798">
        <v>17.706099</v>
      </c>
    </row>
    <row r="2799" spans="1:4">
      <c r="A2799" t="s">
        <v>4416</v>
      </c>
      <c r="B2799" t="s">
        <v>364</v>
      </c>
      <c r="C2799" t="s">
        <v>7308</v>
      </c>
      <c r="D2799">
        <v>74.660101</v>
      </c>
    </row>
    <row r="2800" spans="1:4">
      <c r="A2800" t="s">
        <v>4417</v>
      </c>
      <c r="B2800" t="s">
        <v>364</v>
      </c>
      <c r="C2800" t="s">
        <v>7400</v>
      </c>
      <c r="D2800">
        <v>4.805551</v>
      </c>
    </row>
    <row r="2801" spans="1:4">
      <c r="A2801" t="s">
        <v>4418</v>
      </c>
      <c r="B2801" t="s">
        <v>364</v>
      </c>
      <c r="C2801" t="s">
        <v>7401</v>
      </c>
      <c r="D2801">
        <v>18.70636</v>
      </c>
    </row>
    <row r="2802" spans="1:4">
      <c r="A2802" t="s">
        <v>4419</v>
      </c>
      <c r="B2802" t="s">
        <v>364</v>
      </c>
      <c r="C2802" t="s">
        <v>7402</v>
      </c>
      <c r="D2802">
        <v>0.226661</v>
      </c>
    </row>
    <row r="2803" spans="1:4">
      <c r="A2803" t="s">
        <v>4420</v>
      </c>
      <c r="B2803" t="s">
        <v>364</v>
      </c>
      <c r="C2803" t="s">
        <v>7403</v>
      </c>
      <c r="D2803">
        <v>8.324429</v>
      </c>
    </row>
    <row r="2804" spans="1:4">
      <c r="A2804" t="s">
        <v>4421</v>
      </c>
      <c r="B2804" t="s">
        <v>364</v>
      </c>
      <c r="C2804" t="s">
        <v>7309</v>
      </c>
      <c r="D2804">
        <v>31.607581</v>
      </c>
    </row>
    <row r="2805" spans="1:4">
      <c r="A2805" t="s">
        <v>4422</v>
      </c>
      <c r="B2805" t="s">
        <v>364</v>
      </c>
      <c r="C2805" t="s">
        <v>7404</v>
      </c>
      <c r="D2805">
        <v>2.036698</v>
      </c>
    </row>
    <row r="2806" spans="1:4">
      <c r="A2806" t="s">
        <v>4423</v>
      </c>
      <c r="B2806" t="s">
        <v>364</v>
      </c>
      <c r="C2806" t="s">
        <v>7310</v>
      </c>
      <c r="D2806">
        <v>177.070241</v>
      </c>
    </row>
    <row r="2807" spans="1:4">
      <c r="A2807" t="s">
        <v>4424</v>
      </c>
      <c r="B2807" t="s">
        <v>364</v>
      </c>
      <c r="C2807" t="s">
        <v>7405</v>
      </c>
      <c r="D2807">
        <v>798.9626019999999</v>
      </c>
    </row>
    <row r="2808" spans="1:4">
      <c r="A2808" t="s">
        <v>4425</v>
      </c>
      <c r="B2808" t="s">
        <v>364</v>
      </c>
      <c r="C2808" t="s">
        <v>7406</v>
      </c>
      <c r="D2808">
        <v>307.198956</v>
      </c>
    </row>
    <row r="2809" spans="1:4">
      <c r="A2809" t="s">
        <v>4426</v>
      </c>
      <c r="B2809" t="s">
        <v>364</v>
      </c>
      <c r="C2809" t="s">
        <v>7407</v>
      </c>
      <c r="D2809">
        <v>90.576813</v>
      </c>
    </row>
    <row r="2810" spans="1:4">
      <c r="A2810" t="s">
        <v>4427</v>
      </c>
      <c r="B2810" t="s">
        <v>364</v>
      </c>
      <c r="C2810" t="s">
        <v>7408</v>
      </c>
      <c r="D2810">
        <v>69.942148</v>
      </c>
    </row>
    <row r="2811" spans="1:4">
      <c r="A2811" t="s">
        <v>4428</v>
      </c>
      <c r="B2811" t="s">
        <v>364</v>
      </c>
      <c r="C2811" t="s">
        <v>7311</v>
      </c>
      <c r="D2811">
        <v>5.071427</v>
      </c>
    </row>
    <row r="2812" spans="1:4">
      <c r="A2812" t="s">
        <v>4429</v>
      </c>
      <c r="B2812" t="s">
        <v>364</v>
      </c>
      <c r="C2812" t="s">
        <v>7409</v>
      </c>
      <c r="D2812">
        <v>1.103949</v>
      </c>
    </row>
    <row r="2813" spans="1:4">
      <c r="A2813" t="s">
        <v>4430</v>
      </c>
      <c r="B2813" t="s">
        <v>364</v>
      </c>
      <c r="C2813" t="s">
        <v>7312</v>
      </c>
      <c r="D2813">
        <v>82.767409</v>
      </c>
    </row>
    <row r="2814" spans="1:4">
      <c r="A2814" t="s">
        <v>4431</v>
      </c>
      <c r="B2814" t="s">
        <v>364</v>
      </c>
      <c r="C2814" t="s">
        <v>7410</v>
      </c>
      <c r="D2814">
        <v>0.050382</v>
      </c>
    </row>
    <row r="2815" spans="1:4">
      <c r="A2815" t="s">
        <v>4432</v>
      </c>
      <c r="B2815" t="s">
        <v>364</v>
      </c>
      <c r="C2815" t="s">
        <v>7411</v>
      </c>
      <c r="D2815">
        <v>84.395296</v>
      </c>
    </row>
    <row r="2816" spans="1:4">
      <c r="A2816" t="s">
        <v>4433</v>
      </c>
      <c r="B2816" t="s">
        <v>364</v>
      </c>
      <c r="C2816" t="s">
        <v>7313</v>
      </c>
      <c r="D2816">
        <v>67.29055099999999</v>
      </c>
    </row>
    <row r="2817" spans="1:4">
      <c r="A2817" t="s">
        <v>4434</v>
      </c>
      <c r="B2817" t="s">
        <v>364</v>
      </c>
      <c r="C2817" t="s">
        <v>7412</v>
      </c>
      <c r="D2817">
        <v>3.001339</v>
      </c>
    </row>
    <row r="2818" spans="1:4">
      <c r="A2818" t="s">
        <v>4435</v>
      </c>
      <c r="B2818" t="s">
        <v>364</v>
      </c>
      <c r="C2818" t="s">
        <v>7413</v>
      </c>
      <c r="D2818">
        <v>4.187599</v>
      </c>
    </row>
    <row r="2819" spans="1:4">
      <c r="A2819" t="s">
        <v>4436</v>
      </c>
      <c r="B2819" t="s">
        <v>364</v>
      </c>
      <c r="C2819" t="s">
        <v>7414</v>
      </c>
      <c r="D2819">
        <v>0.208939</v>
      </c>
    </row>
    <row r="2820" spans="1:4">
      <c r="A2820" t="s">
        <v>4437</v>
      </c>
      <c r="B2820" t="s">
        <v>364</v>
      </c>
      <c r="C2820" t="s">
        <v>7415</v>
      </c>
      <c r="D2820">
        <v>81.919702</v>
      </c>
    </row>
    <row r="2821" spans="1:4">
      <c r="A2821" t="s">
        <v>4438</v>
      </c>
      <c r="B2821" t="s">
        <v>364</v>
      </c>
      <c r="C2821" t="s">
        <v>7416</v>
      </c>
      <c r="D2821">
        <v>38.633192</v>
      </c>
    </row>
    <row r="2822" spans="1:4">
      <c r="A2822" t="s">
        <v>4439</v>
      </c>
      <c r="B2822" t="s">
        <v>364</v>
      </c>
      <c r="C2822" t="s">
        <v>7417</v>
      </c>
      <c r="D2822">
        <v>20.879919</v>
      </c>
    </row>
    <row r="2823" spans="1:4">
      <c r="A2823" t="s">
        <v>4440</v>
      </c>
      <c r="B2823" t="s">
        <v>364</v>
      </c>
      <c r="C2823" t="s">
        <v>7418</v>
      </c>
      <c r="D2823">
        <v>0.683684</v>
      </c>
    </row>
    <row r="2824" spans="1:4">
      <c r="A2824" t="s">
        <v>4441</v>
      </c>
      <c r="B2824" t="s">
        <v>364</v>
      </c>
      <c r="C2824" t="s">
        <v>7314</v>
      </c>
      <c r="D2824">
        <v>32.086132</v>
      </c>
    </row>
    <row r="2825" spans="1:4">
      <c r="A2825" t="s">
        <v>4442</v>
      </c>
      <c r="B2825" t="s">
        <v>364</v>
      </c>
      <c r="C2825" t="s">
        <v>7315</v>
      </c>
      <c r="D2825">
        <v>238.138333</v>
      </c>
    </row>
    <row r="2826" spans="1:4">
      <c r="A2826" t="s">
        <v>4443</v>
      </c>
      <c r="B2826" t="s">
        <v>364</v>
      </c>
      <c r="C2826" t="s">
        <v>7419</v>
      </c>
      <c r="D2826">
        <v>406.291783</v>
      </c>
    </row>
    <row r="2827" spans="1:4">
      <c r="A2827" t="s">
        <v>4444</v>
      </c>
      <c r="B2827" t="s">
        <v>364</v>
      </c>
      <c r="C2827" t="s">
        <v>7420</v>
      </c>
      <c r="D2827">
        <v>12.408845</v>
      </c>
    </row>
    <row r="2828" spans="1:4">
      <c r="A2828" t="s">
        <v>4445</v>
      </c>
      <c r="B2828" t="s">
        <v>364</v>
      </c>
      <c r="C2828" t="s">
        <v>7421</v>
      </c>
      <c r="D2828">
        <v>0.012409</v>
      </c>
    </row>
    <row r="2829" spans="1:4">
      <c r="A2829" t="s">
        <v>4446</v>
      </c>
      <c r="B2829" t="s">
        <v>364</v>
      </c>
      <c r="C2829" t="s">
        <v>7422</v>
      </c>
      <c r="D2829">
        <v>0.535403</v>
      </c>
    </row>
    <row r="2830" spans="1:4">
      <c r="A2830" t="s">
        <v>4447</v>
      </c>
      <c r="B2830" t="s">
        <v>364</v>
      </c>
      <c r="C2830" t="s">
        <v>7423</v>
      </c>
      <c r="D2830">
        <v>8.124593000000001</v>
      </c>
    </row>
    <row r="2831" spans="1:4">
      <c r="A2831" t="s">
        <v>4448</v>
      </c>
      <c r="B2831" t="s">
        <v>364</v>
      </c>
      <c r="C2831" t="s">
        <v>7424</v>
      </c>
      <c r="D2831">
        <v>0.065191</v>
      </c>
    </row>
    <row r="2832" spans="1:4">
      <c r="A2832" t="s">
        <v>4449</v>
      </c>
      <c r="B2832" t="s">
        <v>364</v>
      </c>
      <c r="C2832" t="s">
        <v>7425</v>
      </c>
      <c r="D2832">
        <v>14.382729</v>
      </c>
    </row>
    <row r="2833" spans="1:4">
      <c r="A2833" t="s">
        <v>4450</v>
      </c>
      <c r="B2833" t="s">
        <v>364</v>
      </c>
      <c r="C2833" t="s">
        <v>7426</v>
      </c>
      <c r="D2833">
        <v>2.728155</v>
      </c>
    </row>
    <row r="2834" spans="1:4">
      <c r="A2834" t="s">
        <v>4451</v>
      </c>
      <c r="B2834" t="s">
        <v>364</v>
      </c>
      <c r="C2834" t="s">
        <v>7427</v>
      </c>
      <c r="D2834">
        <v>18.70636</v>
      </c>
    </row>
    <row r="2835" spans="1:4">
      <c r="A2835" t="s">
        <v>4452</v>
      </c>
      <c r="B2835" t="s">
        <v>364</v>
      </c>
      <c r="C2835" t="s">
        <v>7316</v>
      </c>
      <c r="D2835">
        <v>9.371418</v>
      </c>
    </row>
    <row r="2836" spans="1:4">
      <c r="A2836" t="s">
        <v>4453</v>
      </c>
      <c r="B2836" t="s">
        <v>364</v>
      </c>
      <c r="C2836" t="s">
        <v>7428</v>
      </c>
      <c r="D2836">
        <v>33.153467</v>
      </c>
    </row>
    <row r="2837" spans="1:4">
      <c r="A2837" t="s">
        <v>4454</v>
      </c>
      <c r="B2837" t="s">
        <v>364</v>
      </c>
      <c r="C2837" t="s">
        <v>7429</v>
      </c>
      <c r="D2837">
        <v>87.789345</v>
      </c>
    </row>
    <row r="2838" spans="1:4">
      <c r="A2838" t="s">
        <v>4455</v>
      </c>
      <c r="B2838" t="s">
        <v>364</v>
      </c>
      <c r="C2838" t="s">
        <v>7430</v>
      </c>
      <c r="D2838">
        <v>104.355333</v>
      </c>
    </row>
    <row r="2839" spans="1:4">
      <c r="A2839" t="s">
        <v>4456</v>
      </c>
      <c r="B2839" t="s">
        <v>364</v>
      </c>
      <c r="C2839" t="s">
        <v>7431</v>
      </c>
      <c r="D2839">
        <v>128.900083</v>
      </c>
    </row>
    <row r="2840" spans="1:4">
      <c r="A2840" t="s">
        <v>4457</v>
      </c>
      <c r="B2840" t="s">
        <v>364</v>
      </c>
      <c r="C2840" t="s">
        <v>7317</v>
      </c>
      <c r="D2840">
        <v>6.61704</v>
      </c>
    </row>
    <row r="2841" spans="1:4">
      <c r="A2841" t="s">
        <v>4458</v>
      </c>
      <c r="B2841" t="s">
        <v>364</v>
      </c>
      <c r="C2841" t="s">
        <v>7432</v>
      </c>
      <c r="D2841">
        <v>43.862578</v>
      </c>
    </row>
    <row r="2842" spans="1:4">
      <c r="A2842" t="s">
        <v>4459</v>
      </c>
      <c r="B2842" t="s">
        <v>364</v>
      </c>
      <c r="C2842" t="s">
        <v>7433</v>
      </c>
      <c r="D2842">
        <v>215.513636</v>
      </c>
    </row>
    <row r="2843" spans="1:4">
      <c r="A2843" t="s">
        <v>4460</v>
      </c>
      <c r="B2843" t="s">
        <v>364</v>
      </c>
      <c r="C2843" t="s">
        <v>7434</v>
      </c>
      <c r="D2843">
        <v>9.71508</v>
      </c>
    </row>
    <row r="2844" spans="1:4">
      <c r="A2844" t="s">
        <v>4461</v>
      </c>
      <c r="B2844" t="s">
        <v>364</v>
      </c>
      <c r="C2844" t="s">
        <v>7435</v>
      </c>
      <c r="D2844">
        <v>0.117413</v>
      </c>
    </row>
    <row r="2845" spans="1:4">
      <c r="A2845" t="s">
        <v>4462</v>
      </c>
      <c r="B2845" t="s">
        <v>364</v>
      </c>
      <c r="C2845" t="s">
        <v>7436</v>
      </c>
      <c r="D2845">
        <v>6.830463</v>
      </c>
    </row>
    <row r="2846" spans="1:4">
      <c r="A2846" t="s">
        <v>4463</v>
      </c>
      <c r="B2846" t="s">
        <v>364</v>
      </c>
      <c r="C2846" t="s">
        <v>7437</v>
      </c>
      <c r="D2846">
        <v>0.08461100000000001</v>
      </c>
    </row>
    <row r="2847" spans="1:4">
      <c r="A2847" t="s">
        <v>4464</v>
      </c>
      <c r="B2847" t="s">
        <v>364</v>
      </c>
      <c r="C2847" t="s">
        <v>399</v>
      </c>
      <c r="D2847">
        <v>307.197885</v>
      </c>
    </row>
    <row r="2848" spans="1:4">
      <c r="A2848" t="s">
        <v>4465</v>
      </c>
      <c r="B2848" t="s">
        <v>364</v>
      </c>
      <c r="C2848" t="s">
        <v>7438</v>
      </c>
      <c r="D2848">
        <v>7.603826</v>
      </c>
    </row>
    <row r="2849" spans="1:4">
      <c r="A2849" t="s">
        <v>4466</v>
      </c>
      <c r="B2849" t="s">
        <v>364</v>
      </c>
      <c r="C2849" t="s">
        <v>7439</v>
      </c>
      <c r="D2849">
        <v>0.02529</v>
      </c>
    </row>
    <row r="2850" spans="1:4">
      <c r="A2850" t="s">
        <v>4467</v>
      </c>
      <c r="B2850" t="s">
        <v>364</v>
      </c>
      <c r="C2850" t="s">
        <v>7440</v>
      </c>
      <c r="D2850">
        <v>0.505298</v>
      </c>
    </row>
    <row r="2851" spans="1:4">
      <c r="A2851" t="s">
        <v>4468</v>
      </c>
      <c r="B2851" t="s">
        <v>364</v>
      </c>
      <c r="C2851" t="s">
        <v>7441</v>
      </c>
      <c r="D2851">
        <v>0.011691</v>
      </c>
    </row>
    <row r="2852" spans="1:4">
      <c r="A2852" t="s">
        <v>4469</v>
      </c>
      <c r="B2852" t="s">
        <v>364</v>
      </c>
      <c r="C2852" t="s">
        <v>7442</v>
      </c>
      <c r="D2852">
        <v>2.589525</v>
      </c>
    </row>
    <row r="2853" spans="1:4">
      <c r="A2853" t="s">
        <v>4470</v>
      </c>
      <c r="B2853" t="s">
        <v>364</v>
      </c>
      <c r="C2853" t="s">
        <v>7443</v>
      </c>
      <c r="D2853">
        <v>113.245614</v>
      </c>
    </row>
    <row r="2854" spans="1:4">
      <c r="A2854" t="s">
        <v>4471</v>
      </c>
      <c r="B2854" t="s">
        <v>364</v>
      </c>
      <c r="C2854" t="s">
        <v>7444</v>
      </c>
      <c r="D2854">
        <v>0.537195</v>
      </c>
    </row>
    <row r="2855" spans="1:4">
      <c r="A2855" t="s">
        <v>4472</v>
      </c>
      <c r="B2855" t="s">
        <v>364</v>
      </c>
      <c r="C2855" t="s">
        <v>7445</v>
      </c>
      <c r="D2855">
        <v>113.777347</v>
      </c>
    </row>
    <row r="2856" spans="1:4">
      <c r="A2856" t="s">
        <v>4473</v>
      </c>
      <c r="B2856" t="s">
        <v>364</v>
      </c>
      <c r="C2856" t="s">
        <v>7446</v>
      </c>
      <c r="D2856">
        <v>171.619492</v>
      </c>
    </row>
    <row r="2857" spans="1:4">
      <c r="A2857" t="s">
        <v>4474</v>
      </c>
      <c r="B2857" t="s">
        <v>364</v>
      </c>
      <c r="C2857" t="s">
        <v>7447</v>
      </c>
      <c r="D2857">
        <v>417.275762</v>
      </c>
    </row>
    <row r="2858" spans="1:4">
      <c r="A2858" t="s">
        <v>4475</v>
      </c>
      <c r="B2858" t="s">
        <v>364</v>
      </c>
      <c r="C2858" t="s">
        <v>7448</v>
      </c>
      <c r="D2858">
        <v>0.537195</v>
      </c>
    </row>
    <row r="2859" spans="1:4">
      <c r="A2859" t="s">
        <v>4476</v>
      </c>
      <c r="B2859" t="s">
        <v>364</v>
      </c>
      <c r="C2859" t="s">
        <v>7449</v>
      </c>
      <c r="D2859">
        <v>2.952912</v>
      </c>
    </row>
    <row r="2860" spans="1:4">
      <c r="A2860" t="s">
        <v>4477</v>
      </c>
      <c r="B2860" t="s">
        <v>364</v>
      </c>
      <c r="C2860" t="s">
        <v>7450</v>
      </c>
      <c r="D2860">
        <v>1.283958</v>
      </c>
    </row>
    <row r="2861" spans="1:4">
      <c r="A2861" t="s">
        <v>4478</v>
      </c>
      <c r="B2861" t="s">
        <v>364</v>
      </c>
      <c r="C2861" t="s">
        <v>7318</v>
      </c>
      <c r="D2861">
        <v>18.708457</v>
      </c>
    </row>
    <row r="2862" spans="1:4">
      <c r="A2862" t="s">
        <v>4479</v>
      </c>
      <c r="B2862" t="s">
        <v>364</v>
      </c>
      <c r="C2862" t="s">
        <v>7451</v>
      </c>
      <c r="D2862">
        <v>17.178322</v>
      </c>
    </row>
    <row r="2863" spans="1:4">
      <c r="A2863" t="s">
        <v>4480</v>
      </c>
      <c r="B2863" t="s">
        <v>364</v>
      </c>
      <c r="C2863" t="s">
        <v>7452</v>
      </c>
      <c r="D2863">
        <v>11.436129</v>
      </c>
    </row>
    <row r="2864" spans="1:4">
      <c r="A2864" t="s">
        <v>4481</v>
      </c>
      <c r="B2864" t="s">
        <v>364</v>
      </c>
      <c r="C2864" t="s">
        <v>7453</v>
      </c>
      <c r="D2864">
        <v>11.436129</v>
      </c>
    </row>
    <row r="2865" spans="1:4">
      <c r="A2865" t="s">
        <v>4482</v>
      </c>
      <c r="B2865" t="s">
        <v>365</v>
      </c>
      <c r="C2865" t="s">
        <v>397</v>
      </c>
      <c r="D2865">
        <v>352.059698</v>
      </c>
    </row>
    <row r="2866" spans="1:4">
      <c r="A2866" t="s">
        <v>4483</v>
      </c>
      <c r="B2866" t="s">
        <v>365</v>
      </c>
      <c r="C2866" t="s">
        <v>7319</v>
      </c>
      <c r="D2866">
        <v>83.585697</v>
      </c>
    </row>
    <row r="2867" spans="1:4">
      <c r="A2867" t="s">
        <v>4484</v>
      </c>
      <c r="B2867" t="s">
        <v>365</v>
      </c>
      <c r="C2867" t="s">
        <v>7320</v>
      </c>
      <c r="D2867">
        <v>4.794516</v>
      </c>
    </row>
    <row r="2868" spans="1:4">
      <c r="A2868" t="s">
        <v>4485</v>
      </c>
      <c r="B2868" t="s">
        <v>365</v>
      </c>
      <c r="C2868" t="s">
        <v>7321</v>
      </c>
      <c r="D2868">
        <v>3.713883</v>
      </c>
    </row>
    <row r="2869" spans="1:4">
      <c r="A2869" t="s">
        <v>4486</v>
      </c>
      <c r="B2869" t="s">
        <v>365</v>
      </c>
      <c r="C2869" t="s">
        <v>7322</v>
      </c>
      <c r="D2869">
        <v>0.833385</v>
      </c>
    </row>
    <row r="2870" spans="1:4">
      <c r="A2870" t="s">
        <v>4487</v>
      </c>
      <c r="B2870" t="s">
        <v>365</v>
      </c>
      <c r="C2870" t="s">
        <v>7323</v>
      </c>
      <c r="D2870">
        <v>171.490746</v>
      </c>
    </row>
    <row r="2871" spans="1:4">
      <c r="A2871" t="s">
        <v>4488</v>
      </c>
      <c r="B2871" t="s">
        <v>365</v>
      </c>
      <c r="C2871" t="s">
        <v>7324</v>
      </c>
      <c r="D2871">
        <v>0.323652</v>
      </c>
    </row>
    <row r="2872" spans="1:4">
      <c r="A2872" t="s">
        <v>4489</v>
      </c>
      <c r="B2872" t="s">
        <v>365</v>
      </c>
      <c r="C2872" t="s">
        <v>7325</v>
      </c>
      <c r="D2872">
        <v>0.210216</v>
      </c>
    </row>
    <row r="2873" spans="1:4">
      <c r="A2873" t="s">
        <v>4490</v>
      </c>
      <c r="B2873" t="s">
        <v>365</v>
      </c>
      <c r="C2873" t="s">
        <v>7292</v>
      </c>
      <c r="D2873">
        <v>215.309386</v>
      </c>
    </row>
    <row r="2874" spans="1:4">
      <c r="A2874" t="s">
        <v>4491</v>
      </c>
      <c r="B2874" t="s">
        <v>365</v>
      </c>
      <c r="C2874" t="s">
        <v>7326</v>
      </c>
      <c r="D2874">
        <v>171.490746</v>
      </c>
    </row>
    <row r="2875" spans="1:4">
      <c r="A2875" t="s">
        <v>4492</v>
      </c>
      <c r="B2875" t="s">
        <v>365</v>
      </c>
      <c r="C2875" t="s">
        <v>7327</v>
      </c>
      <c r="D2875">
        <v>180.449879</v>
      </c>
    </row>
    <row r="2876" spans="1:4">
      <c r="A2876" t="s">
        <v>4493</v>
      </c>
      <c r="B2876" t="s">
        <v>365</v>
      </c>
      <c r="C2876" t="s">
        <v>7328</v>
      </c>
      <c r="D2876">
        <v>180.005265</v>
      </c>
    </row>
    <row r="2877" spans="1:4">
      <c r="A2877" t="s">
        <v>4494</v>
      </c>
      <c r="B2877" t="s">
        <v>365</v>
      </c>
      <c r="C2877" t="s">
        <v>7329</v>
      </c>
      <c r="D2877">
        <v>153.484242</v>
      </c>
    </row>
    <row r="2878" spans="1:4">
      <c r="A2878" t="s">
        <v>4495</v>
      </c>
      <c r="B2878" t="s">
        <v>365</v>
      </c>
      <c r="C2878" t="s">
        <v>7330</v>
      </c>
      <c r="D2878">
        <v>2.499351</v>
      </c>
    </row>
    <row r="2879" spans="1:4">
      <c r="A2879" t="s">
        <v>4496</v>
      </c>
      <c r="B2879" t="s">
        <v>365</v>
      </c>
      <c r="C2879" t="s">
        <v>398</v>
      </c>
      <c r="D2879">
        <v>180.005265</v>
      </c>
    </row>
    <row r="2880" spans="1:4">
      <c r="A2880" t="s">
        <v>4497</v>
      </c>
      <c r="B2880" t="s">
        <v>365</v>
      </c>
      <c r="C2880" t="s">
        <v>7331</v>
      </c>
      <c r="D2880">
        <v>816.406283</v>
      </c>
    </row>
    <row r="2881" spans="1:4">
      <c r="A2881" t="s">
        <v>4498</v>
      </c>
      <c r="B2881" t="s">
        <v>365</v>
      </c>
      <c r="C2881" t="s">
        <v>7332</v>
      </c>
      <c r="D2881">
        <v>0.102789</v>
      </c>
    </row>
    <row r="2882" spans="1:4">
      <c r="A2882" t="s">
        <v>4499</v>
      </c>
      <c r="B2882" t="s">
        <v>365</v>
      </c>
      <c r="C2882" t="s">
        <v>7333</v>
      </c>
      <c r="D2882">
        <v>306.968484</v>
      </c>
    </row>
    <row r="2883" spans="1:4">
      <c r="A2883" t="s">
        <v>4500</v>
      </c>
      <c r="B2883" t="s">
        <v>365</v>
      </c>
      <c r="C2883" t="s">
        <v>7334</v>
      </c>
      <c r="D2883">
        <v>237.724296</v>
      </c>
    </row>
    <row r="2884" spans="1:4">
      <c r="A2884" t="s">
        <v>4501</v>
      </c>
      <c r="B2884" t="s">
        <v>365</v>
      </c>
      <c r="C2884" t="s">
        <v>7335</v>
      </c>
      <c r="D2884">
        <v>44.183051</v>
      </c>
    </row>
    <row r="2885" spans="1:4">
      <c r="A2885" t="s">
        <v>4502</v>
      </c>
      <c r="B2885" t="s">
        <v>365</v>
      </c>
      <c r="C2885" t="s">
        <v>7293</v>
      </c>
      <c r="D2885">
        <v>59.550631</v>
      </c>
    </row>
    <row r="2886" spans="1:4">
      <c r="A2886" t="s">
        <v>4503</v>
      </c>
      <c r="B2886" t="s">
        <v>365</v>
      </c>
      <c r="C2886" t="s">
        <v>7336</v>
      </c>
      <c r="D2886">
        <v>306.968484</v>
      </c>
    </row>
    <row r="2887" spans="1:4">
      <c r="A2887" t="s">
        <v>4504</v>
      </c>
      <c r="B2887" t="s">
        <v>365</v>
      </c>
      <c r="C2887" t="s">
        <v>7337</v>
      </c>
      <c r="D2887">
        <v>3.253968</v>
      </c>
    </row>
    <row r="2888" spans="1:4">
      <c r="A2888" t="s">
        <v>4505</v>
      </c>
      <c r="B2888" t="s">
        <v>365</v>
      </c>
      <c r="C2888" t="s">
        <v>7338</v>
      </c>
      <c r="D2888">
        <v>21.42911</v>
      </c>
    </row>
    <row r="2889" spans="1:4">
      <c r="A2889" t="s">
        <v>4506</v>
      </c>
      <c r="B2889" t="s">
        <v>365</v>
      </c>
      <c r="C2889" t="s">
        <v>7339</v>
      </c>
      <c r="D2889">
        <v>110.729052</v>
      </c>
    </row>
    <row r="2890" spans="1:4">
      <c r="A2890" t="s">
        <v>4507</v>
      </c>
      <c r="B2890" t="s">
        <v>365</v>
      </c>
      <c r="C2890" t="s">
        <v>7340</v>
      </c>
      <c r="D2890">
        <v>153.484242</v>
      </c>
    </row>
    <row r="2891" spans="1:4">
      <c r="A2891" t="s">
        <v>4508</v>
      </c>
      <c r="B2891" t="s">
        <v>365</v>
      </c>
      <c r="C2891" t="s">
        <v>7294</v>
      </c>
      <c r="D2891">
        <v>216.921772</v>
      </c>
    </row>
    <row r="2892" spans="1:4">
      <c r="A2892" t="s">
        <v>4509</v>
      </c>
      <c r="B2892" t="s">
        <v>365</v>
      </c>
      <c r="C2892" t="s">
        <v>7341</v>
      </c>
      <c r="D2892">
        <v>0.131245</v>
      </c>
    </row>
    <row r="2893" spans="1:4">
      <c r="A2893" t="s">
        <v>4510</v>
      </c>
      <c r="B2893" t="s">
        <v>365</v>
      </c>
      <c r="C2893" t="s">
        <v>7295</v>
      </c>
      <c r="D2893">
        <v>380.491137</v>
      </c>
    </row>
    <row r="2894" spans="1:4">
      <c r="A2894" t="s">
        <v>4511</v>
      </c>
      <c r="B2894" t="s">
        <v>365</v>
      </c>
      <c r="C2894" t="s">
        <v>7342</v>
      </c>
      <c r="D2894">
        <v>13484.744063</v>
      </c>
    </row>
    <row r="2895" spans="1:4">
      <c r="A2895" t="s">
        <v>4512</v>
      </c>
      <c r="B2895" t="s">
        <v>365</v>
      </c>
      <c r="C2895" t="s">
        <v>7343</v>
      </c>
      <c r="D2895">
        <v>0.341151</v>
      </c>
    </row>
    <row r="2896" spans="1:4">
      <c r="A2896" t="s">
        <v>4513</v>
      </c>
      <c r="B2896" t="s">
        <v>365</v>
      </c>
      <c r="C2896" t="s">
        <v>7344</v>
      </c>
      <c r="D2896">
        <v>45.28099</v>
      </c>
    </row>
    <row r="2897" spans="1:4">
      <c r="A2897" t="s">
        <v>4514</v>
      </c>
      <c r="B2897" t="s">
        <v>365</v>
      </c>
      <c r="C2897" t="s">
        <v>7296</v>
      </c>
      <c r="D2897">
        <v>45.248859</v>
      </c>
    </row>
    <row r="2898" spans="1:4">
      <c r="A2898" t="s">
        <v>4515</v>
      </c>
      <c r="B2898" t="s">
        <v>365</v>
      </c>
      <c r="C2898" t="s">
        <v>7345</v>
      </c>
      <c r="D2898">
        <v>0.088586</v>
      </c>
    </row>
    <row r="2899" spans="1:4">
      <c r="A2899" t="s">
        <v>4516</v>
      </c>
      <c r="B2899" t="s">
        <v>365</v>
      </c>
      <c r="C2899" t="s">
        <v>7346</v>
      </c>
      <c r="D2899">
        <v>0.674181</v>
      </c>
    </row>
    <row r="2900" spans="1:4">
      <c r="A2900" t="s">
        <v>4517</v>
      </c>
      <c r="B2900" t="s">
        <v>365</v>
      </c>
      <c r="C2900" t="s">
        <v>7347</v>
      </c>
      <c r="D2900">
        <v>12.790353</v>
      </c>
    </row>
    <row r="2901" spans="1:4">
      <c r="A2901" t="s">
        <v>4518</v>
      </c>
      <c r="B2901" t="s">
        <v>365</v>
      </c>
      <c r="C2901" t="s">
        <v>7348</v>
      </c>
      <c r="D2901">
        <v>3.192851</v>
      </c>
    </row>
    <row r="2902" spans="1:4">
      <c r="A2902" t="s">
        <v>4519</v>
      </c>
      <c r="B2902" t="s">
        <v>365</v>
      </c>
      <c r="C2902" t="s">
        <v>7297</v>
      </c>
      <c r="D2902">
        <v>14.543867</v>
      </c>
    </row>
    <row r="2903" spans="1:4">
      <c r="A2903" t="s">
        <v>4520</v>
      </c>
      <c r="B2903" t="s">
        <v>365</v>
      </c>
      <c r="C2903" t="s">
        <v>7349</v>
      </c>
      <c r="D2903">
        <v>1.727249</v>
      </c>
    </row>
    <row r="2904" spans="1:4">
      <c r="A2904" t="s">
        <v>4521</v>
      </c>
      <c r="B2904" t="s">
        <v>365</v>
      </c>
      <c r="C2904" t="s">
        <v>7298</v>
      </c>
      <c r="D2904">
        <v>47.170397</v>
      </c>
    </row>
    <row r="2905" spans="1:4">
      <c r="A2905" t="s">
        <v>4522</v>
      </c>
      <c r="B2905" t="s">
        <v>365</v>
      </c>
      <c r="C2905" t="s">
        <v>7350</v>
      </c>
      <c r="D2905">
        <v>5.223265</v>
      </c>
    </row>
    <row r="2906" spans="1:4">
      <c r="A2906" t="s">
        <v>4523</v>
      </c>
      <c r="B2906" t="s">
        <v>365</v>
      </c>
      <c r="C2906" t="s">
        <v>7351</v>
      </c>
      <c r="D2906">
        <v>2.29232</v>
      </c>
    </row>
    <row r="2907" spans="1:4">
      <c r="A2907" t="s">
        <v>4524</v>
      </c>
      <c r="B2907" t="s">
        <v>365</v>
      </c>
      <c r="C2907" t="s">
        <v>7352</v>
      </c>
      <c r="D2907">
        <v>6.152274</v>
      </c>
    </row>
    <row r="2908" spans="1:4">
      <c r="A2908" t="s">
        <v>4525</v>
      </c>
      <c r="B2908" t="s">
        <v>365</v>
      </c>
      <c r="C2908" t="s">
        <v>7353</v>
      </c>
      <c r="D2908">
        <v>20.464564</v>
      </c>
    </row>
    <row r="2909" spans="1:4">
      <c r="A2909" t="s">
        <v>4526</v>
      </c>
      <c r="B2909" t="s">
        <v>365</v>
      </c>
      <c r="C2909" t="s">
        <v>7354</v>
      </c>
      <c r="D2909">
        <v>1.877232</v>
      </c>
    </row>
    <row r="2910" spans="1:4">
      <c r="A2910" t="s">
        <v>4527</v>
      </c>
      <c r="B2910" t="s">
        <v>365</v>
      </c>
      <c r="C2910" t="s">
        <v>7355</v>
      </c>
      <c r="D2910">
        <v>136.613241</v>
      </c>
    </row>
    <row r="2911" spans="1:4">
      <c r="A2911" t="s">
        <v>4528</v>
      </c>
      <c r="B2911" t="s">
        <v>365</v>
      </c>
      <c r="C2911" t="s">
        <v>7356</v>
      </c>
      <c r="D2911">
        <v>405.959323</v>
      </c>
    </row>
    <row r="2912" spans="1:4">
      <c r="A2912" t="s">
        <v>4529</v>
      </c>
      <c r="B2912" t="s">
        <v>365</v>
      </c>
      <c r="C2912" t="s">
        <v>7357</v>
      </c>
      <c r="D2912">
        <v>47.170409</v>
      </c>
    </row>
    <row r="2913" spans="1:4">
      <c r="A2913" t="s">
        <v>4530</v>
      </c>
      <c r="B2913" t="s">
        <v>365</v>
      </c>
      <c r="C2913" t="s">
        <v>7299</v>
      </c>
      <c r="D2913">
        <v>405.958387</v>
      </c>
    </row>
    <row r="2914" spans="1:4">
      <c r="A2914" t="s">
        <v>4531</v>
      </c>
      <c r="B2914" t="s">
        <v>365</v>
      </c>
      <c r="C2914" t="s">
        <v>7358</v>
      </c>
      <c r="D2914">
        <v>115.841082</v>
      </c>
    </row>
    <row r="2915" spans="1:4">
      <c r="A2915" t="s">
        <v>4532</v>
      </c>
      <c r="B2915" t="s">
        <v>365</v>
      </c>
      <c r="C2915" t="s">
        <v>7359</v>
      </c>
      <c r="D2915">
        <v>405.959323</v>
      </c>
    </row>
    <row r="2916" spans="1:4">
      <c r="A2916" t="s">
        <v>4533</v>
      </c>
      <c r="B2916" t="s">
        <v>365</v>
      </c>
      <c r="C2916" t="s">
        <v>7360</v>
      </c>
      <c r="D2916">
        <v>27.28643</v>
      </c>
    </row>
    <row r="2917" spans="1:4">
      <c r="A2917" t="s">
        <v>4534</v>
      </c>
      <c r="B2917" t="s">
        <v>365</v>
      </c>
      <c r="C2917" t="s">
        <v>7361</v>
      </c>
      <c r="D2917">
        <v>405.959323</v>
      </c>
    </row>
    <row r="2918" spans="1:4">
      <c r="A2918" t="s">
        <v>4535</v>
      </c>
      <c r="B2918" t="s">
        <v>365</v>
      </c>
      <c r="C2918" t="s">
        <v>7362</v>
      </c>
      <c r="D2918">
        <v>4.134333</v>
      </c>
    </row>
    <row r="2919" spans="1:4">
      <c r="A2919" t="s">
        <v>4536</v>
      </c>
      <c r="B2919" t="s">
        <v>365</v>
      </c>
      <c r="C2919" t="s">
        <v>7363</v>
      </c>
      <c r="D2919">
        <v>0.034985</v>
      </c>
    </row>
    <row r="2920" spans="1:4">
      <c r="A2920" t="s">
        <v>4537</v>
      </c>
      <c r="B2920" t="s">
        <v>365</v>
      </c>
      <c r="C2920" t="s">
        <v>7364</v>
      </c>
      <c r="D2920">
        <v>40.140863</v>
      </c>
    </row>
    <row r="2921" spans="1:4">
      <c r="A2921" t="s">
        <v>4538</v>
      </c>
      <c r="B2921" t="s">
        <v>365</v>
      </c>
      <c r="C2921" t="s">
        <v>7365</v>
      </c>
      <c r="D2921">
        <v>1.460593</v>
      </c>
    </row>
    <row r="2922" spans="1:4">
      <c r="A2922" t="s">
        <v>4539</v>
      </c>
      <c r="B2922" t="s">
        <v>365</v>
      </c>
      <c r="C2922" t="s">
        <v>7300</v>
      </c>
      <c r="D2922">
        <v>39.169108</v>
      </c>
    </row>
    <row r="2923" spans="1:4">
      <c r="A2923" t="s">
        <v>4540</v>
      </c>
      <c r="B2923" t="s">
        <v>365</v>
      </c>
      <c r="C2923" t="s">
        <v>7366</v>
      </c>
      <c r="D2923">
        <v>11.443852</v>
      </c>
    </row>
    <row r="2924" spans="1:4">
      <c r="A2924" t="s">
        <v>4541</v>
      </c>
      <c r="B2924" t="s">
        <v>365</v>
      </c>
      <c r="C2924" t="s">
        <v>7367</v>
      </c>
      <c r="D2924">
        <v>46.726352</v>
      </c>
    </row>
    <row r="2925" spans="1:4">
      <c r="A2925" t="s">
        <v>4542</v>
      </c>
      <c r="B2925" t="s">
        <v>365</v>
      </c>
      <c r="C2925" t="s">
        <v>7368</v>
      </c>
      <c r="D2925">
        <v>2.337546</v>
      </c>
    </row>
    <row r="2926" spans="1:4">
      <c r="A2926" t="s">
        <v>4543</v>
      </c>
      <c r="B2926" t="s">
        <v>365</v>
      </c>
      <c r="C2926" t="s">
        <v>7301</v>
      </c>
      <c r="D2926">
        <v>0.017279</v>
      </c>
    </row>
    <row r="2927" spans="1:4">
      <c r="A2927" t="s">
        <v>4544</v>
      </c>
      <c r="B2927" t="s">
        <v>365</v>
      </c>
      <c r="C2927" t="s">
        <v>7302</v>
      </c>
      <c r="D2927">
        <v>103.826508</v>
      </c>
    </row>
    <row r="2928" spans="1:4">
      <c r="A2928" t="s">
        <v>4545</v>
      </c>
      <c r="B2928" t="s">
        <v>365</v>
      </c>
      <c r="C2928" t="s">
        <v>7369</v>
      </c>
      <c r="D2928">
        <v>405.959323</v>
      </c>
    </row>
    <row r="2929" spans="1:4">
      <c r="A2929" t="s">
        <v>4546</v>
      </c>
      <c r="B2929" t="s">
        <v>365</v>
      </c>
      <c r="C2929" t="s">
        <v>7303</v>
      </c>
      <c r="D2929">
        <v>3.253967</v>
      </c>
    </row>
    <row r="2930" spans="1:4">
      <c r="A2930" t="s">
        <v>4547</v>
      </c>
      <c r="B2930" t="s">
        <v>365</v>
      </c>
      <c r="C2930" t="s">
        <v>7370</v>
      </c>
      <c r="D2930">
        <v>0.233655</v>
      </c>
    </row>
    <row r="2931" spans="1:4">
      <c r="A2931" t="s">
        <v>4548</v>
      </c>
      <c r="B2931" t="s">
        <v>365</v>
      </c>
      <c r="C2931" t="s">
        <v>7371</v>
      </c>
      <c r="D2931">
        <v>0.000224</v>
      </c>
    </row>
    <row r="2932" spans="1:4">
      <c r="A2932" t="s">
        <v>4549</v>
      </c>
      <c r="B2932" t="s">
        <v>365</v>
      </c>
      <c r="C2932" t="s">
        <v>7304</v>
      </c>
      <c r="D2932">
        <v>2.443822</v>
      </c>
    </row>
    <row r="2933" spans="1:4">
      <c r="A2933" t="s">
        <v>4550</v>
      </c>
      <c r="B2933" t="s">
        <v>365</v>
      </c>
      <c r="C2933" t="s">
        <v>7372</v>
      </c>
      <c r="D2933">
        <v>405.959323</v>
      </c>
    </row>
    <row r="2934" spans="1:4">
      <c r="A2934" t="s">
        <v>4551</v>
      </c>
      <c r="B2934" t="s">
        <v>365</v>
      </c>
      <c r="C2934" t="s">
        <v>7373</v>
      </c>
      <c r="D2934">
        <v>1.943517</v>
      </c>
    </row>
    <row r="2935" spans="1:4">
      <c r="A2935" t="s">
        <v>4552</v>
      </c>
      <c r="B2935" t="s">
        <v>365</v>
      </c>
      <c r="C2935" t="s">
        <v>7374</v>
      </c>
      <c r="D2935">
        <v>432.960007</v>
      </c>
    </row>
    <row r="2936" spans="1:4">
      <c r="A2936" t="s">
        <v>4553</v>
      </c>
      <c r="B2936" t="s">
        <v>365</v>
      </c>
      <c r="C2936" t="s">
        <v>7305</v>
      </c>
      <c r="D2936">
        <v>1.903398</v>
      </c>
    </row>
    <row r="2937" spans="1:4">
      <c r="A2937" t="s">
        <v>4554</v>
      </c>
      <c r="B2937" t="s">
        <v>365</v>
      </c>
      <c r="C2937" t="s">
        <v>7375</v>
      </c>
      <c r="D2937">
        <v>2.368683</v>
      </c>
    </row>
    <row r="2938" spans="1:4">
      <c r="A2938" t="s">
        <v>4555</v>
      </c>
      <c r="B2938" t="s">
        <v>365</v>
      </c>
      <c r="C2938" t="s">
        <v>7376</v>
      </c>
      <c r="D2938">
        <v>3.509826</v>
      </c>
    </row>
    <row r="2939" spans="1:4">
      <c r="A2939" t="s">
        <v>4556</v>
      </c>
      <c r="B2939" t="s">
        <v>365</v>
      </c>
      <c r="C2939" t="s">
        <v>7377</v>
      </c>
      <c r="D2939">
        <v>0.07556499999999999</v>
      </c>
    </row>
    <row r="2940" spans="1:4">
      <c r="A2940" t="s">
        <v>4557</v>
      </c>
      <c r="B2940" t="s">
        <v>365</v>
      </c>
      <c r="C2940" t="s">
        <v>7378</v>
      </c>
      <c r="D2940">
        <v>215.309518</v>
      </c>
    </row>
    <row r="2941" spans="1:4">
      <c r="A2941" t="s">
        <v>4558</v>
      </c>
      <c r="B2941" t="s">
        <v>365</v>
      </c>
      <c r="C2941" t="s">
        <v>7379</v>
      </c>
      <c r="D2941">
        <v>0.715615</v>
      </c>
    </row>
    <row r="2942" spans="1:4">
      <c r="A2942" t="s">
        <v>4559</v>
      </c>
      <c r="B2942" t="s">
        <v>365</v>
      </c>
      <c r="C2942" t="s">
        <v>7306</v>
      </c>
      <c r="D2942">
        <v>0.200556</v>
      </c>
    </row>
    <row r="2943" spans="1:4">
      <c r="A2943" t="s">
        <v>4560</v>
      </c>
      <c r="B2943" t="s">
        <v>365</v>
      </c>
      <c r="C2943" t="s">
        <v>7380</v>
      </c>
      <c r="D2943">
        <v>998.532797</v>
      </c>
    </row>
    <row r="2944" spans="1:4">
      <c r="A2944" t="s">
        <v>4561</v>
      </c>
      <c r="B2944" t="s">
        <v>365</v>
      </c>
      <c r="C2944" t="s">
        <v>7381</v>
      </c>
      <c r="D2944">
        <v>368.362309</v>
      </c>
    </row>
    <row r="2945" spans="1:4">
      <c r="A2945" t="s">
        <v>4562</v>
      </c>
      <c r="B2945" t="s">
        <v>365</v>
      </c>
      <c r="C2945" t="s">
        <v>7382</v>
      </c>
      <c r="D2945">
        <v>0.629332</v>
      </c>
    </row>
    <row r="2946" spans="1:4">
      <c r="A2946" t="s">
        <v>4563</v>
      </c>
      <c r="B2946" t="s">
        <v>365</v>
      </c>
      <c r="C2946" t="s">
        <v>7383</v>
      </c>
      <c r="D2946">
        <v>0.013918</v>
      </c>
    </row>
    <row r="2947" spans="1:4">
      <c r="A2947" t="s">
        <v>4564</v>
      </c>
      <c r="B2947" t="s">
        <v>365</v>
      </c>
      <c r="C2947" t="s">
        <v>7384</v>
      </c>
      <c r="D2947">
        <v>0.00343</v>
      </c>
    </row>
    <row r="2948" spans="1:4">
      <c r="A2948" t="s">
        <v>4565</v>
      </c>
      <c r="B2948" t="s">
        <v>365</v>
      </c>
      <c r="C2948" t="s">
        <v>7385</v>
      </c>
      <c r="D2948">
        <v>0.919671</v>
      </c>
    </row>
    <row r="2949" spans="1:4">
      <c r="A2949" t="s">
        <v>4566</v>
      </c>
      <c r="B2949" t="s">
        <v>365</v>
      </c>
      <c r="C2949" t="s">
        <v>7386</v>
      </c>
      <c r="D2949">
        <v>1.677723</v>
      </c>
    </row>
    <row r="2950" spans="1:4">
      <c r="A2950" t="s">
        <v>4567</v>
      </c>
      <c r="B2950" t="s">
        <v>365</v>
      </c>
      <c r="C2950" t="s">
        <v>7387</v>
      </c>
      <c r="D2950">
        <v>18.654362</v>
      </c>
    </row>
    <row r="2951" spans="1:4">
      <c r="A2951" t="s">
        <v>4568</v>
      </c>
      <c r="B2951" t="s">
        <v>365</v>
      </c>
      <c r="C2951" t="s">
        <v>7388</v>
      </c>
      <c r="D2951">
        <v>48.052432</v>
      </c>
    </row>
    <row r="2952" spans="1:4">
      <c r="A2952" t="s">
        <v>4569</v>
      </c>
      <c r="B2952" t="s">
        <v>365</v>
      </c>
      <c r="C2952" t="s">
        <v>7389</v>
      </c>
      <c r="D2952">
        <v>32.96678</v>
      </c>
    </row>
    <row r="2953" spans="1:4">
      <c r="A2953" t="s">
        <v>4570</v>
      </c>
      <c r="B2953" t="s">
        <v>365</v>
      </c>
      <c r="C2953" t="s">
        <v>7390</v>
      </c>
      <c r="D2953">
        <v>17.483904</v>
      </c>
    </row>
    <row r="2954" spans="1:4">
      <c r="A2954" t="s">
        <v>4571</v>
      </c>
      <c r="B2954" t="s">
        <v>365</v>
      </c>
      <c r="C2954" t="s">
        <v>7391</v>
      </c>
      <c r="D2954">
        <v>0.07292899999999999</v>
      </c>
    </row>
    <row r="2955" spans="1:4">
      <c r="A2955" t="s">
        <v>4572</v>
      </c>
      <c r="B2955" t="s">
        <v>365</v>
      </c>
      <c r="C2955" t="s">
        <v>7392</v>
      </c>
      <c r="D2955">
        <v>5.713122</v>
      </c>
    </row>
    <row r="2956" spans="1:4">
      <c r="A2956" t="s">
        <v>4573</v>
      </c>
      <c r="B2956" t="s">
        <v>365</v>
      </c>
      <c r="C2956" t="s">
        <v>7393</v>
      </c>
      <c r="D2956">
        <v>0.145496</v>
      </c>
    </row>
    <row r="2957" spans="1:4">
      <c r="A2957" t="s">
        <v>4574</v>
      </c>
      <c r="B2957" t="s">
        <v>365</v>
      </c>
      <c r="C2957" t="s">
        <v>7394</v>
      </c>
      <c r="D2957">
        <v>0.08634699999999999</v>
      </c>
    </row>
    <row r="2958" spans="1:4">
      <c r="A2958" t="s">
        <v>4575</v>
      </c>
      <c r="B2958" t="s">
        <v>365</v>
      </c>
      <c r="C2958" t="s">
        <v>7395</v>
      </c>
      <c r="D2958">
        <v>38.028272</v>
      </c>
    </row>
    <row r="2959" spans="1:4">
      <c r="A2959" t="s">
        <v>4576</v>
      </c>
      <c r="B2959" t="s">
        <v>365</v>
      </c>
      <c r="C2959" t="s">
        <v>7396</v>
      </c>
      <c r="D2959">
        <v>7.653947</v>
      </c>
    </row>
    <row r="2960" spans="1:4">
      <c r="A2960" t="s">
        <v>4577</v>
      </c>
      <c r="B2960" t="s">
        <v>365</v>
      </c>
      <c r="C2960" t="s">
        <v>7397</v>
      </c>
      <c r="D2960">
        <v>6.453567</v>
      </c>
    </row>
    <row r="2961" spans="1:4">
      <c r="A2961" t="s">
        <v>4578</v>
      </c>
      <c r="B2961" t="s">
        <v>365</v>
      </c>
      <c r="C2961" t="s">
        <v>7398</v>
      </c>
      <c r="D2961">
        <v>19.788528</v>
      </c>
    </row>
    <row r="2962" spans="1:4">
      <c r="A2962" t="s">
        <v>4579</v>
      </c>
      <c r="B2962" t="s">
        <v>365</v>
      </c>
      <c r="C2962" t="s">
        <v>7399</v>
      </c>
      <c r="D2962">
        <v>0.175526</v>
      </c>
    </row>
    <row r="2963" spans="1:4">
      <c r="A2963" t="s">
        <v>4580</v>
      </c>
      <c r="B2963" t="s">
        <v>365</v>
      </c>
      <c r="C2963" t="s">
        <v>7307</v>
      </c>
      <c r="D2963">
        <v>17.710251</v>
      </c>
    </row>
    <row r="2964" spans="1:4">
      <c r="A2964" t="s">
        <v>4581</v>
      </c>
      <c r="B2964" t="s">
        <v>365</v>
      </c>
      <c r="C2964" t="s">
        <v>7308</v>
      </c>
      <c r="D2964">
        <v>74.257435</v>
      </c>
    </row>
    <row r="2965" spans="1:4">
      <c r="A2965" t="s">
        <v>4582</v>
      </c>
      <c r="B2965" t="s">
        <v>365</v>
      </c>
      <c r="C2965" t="s">
        <v>7400</v>
      </c>
      <c r="D2965">
        <v>4.80289</v>
      </c>
    </row>
    <row r="2966" spans="1:4">
      <c r="A2966" t="s">
        <v>4583</v>
      </c>
      <c r="B2966" t="s">
        <v>365</v>
      </c>
      <c r="C2966" t="s">
        <v>7401</v>
      </c>
      <c r="D2966">
        <v>18.654362</v>
      </c>
    </row>
    <row r="2967" spans="1:4">
      <c r="A2967" t="s">
        <v>4584</v>
      </c>
      <c r="B2967" t="s">
        <v>365</v>
      </c>
      <c r="C2967" t="s">
        <v>7402</v>
      </c>
      <c r="D2967">
        <v>0.227582</v>
      </c>
    </row>
    <row r="2968" spans="1:4">
      <c r="A2968" t="s">
        <v>4585</v>
      </c>
      <c r="B2968" t="s">
        <v>365</v>
      </c>
      <c r="C2968" t="s">
        <v>7403</v>
      </c>
      <c r="D2968">
        <v>8.312355999999999</v>
      </c>
    </row>
    <row r="2969" spans="1:4">
      <c r="A2969" t="s">
        <v>4586</v>
      </c>
      <c r="B2969" t="s">
        <v>365</v>
      </c>
      <c r="C2969" t="s">
        <v>7309</v>
      </c>
      <c r="D2969">
        <v>31.679306</v>
      </c>
    </row>
    <row r="2970" spans="1:4">
      <c r="A2970" t="s">
        <v>4587</v>
      </c>
      <c r="B2970" t="s">
        <v>365</v>
      </c>
      <c r="C2970" t="s">
        <v>7404</v>
      </c>
      <c r="D2970">
        <v>2.03373</v>
      </c>
    </row>
    <row r="2971" spans="1:4">
      <c r="A2971" t="s">
        <v>4588</v>
      </c>
      <c r="B2971" t="s">
        <v>365</v>
      </c>
      <c r="C2971" t="s">
        <v>7310</v>
      </c>
      <c r="D2971">
        <v>176.23481</v>
      </c>
    </row>
    <row r="2972" spans="1:4">
      <c r="A2972" t="s">
        <v>4589</v>
      </c>
      <c r="B2972" t="s">
        <v>365</v>
      </c>
      <c r="C2972" t="s">
        <v>7405</v>
      </c>
      <c r="D2972">
        <v>798.362949</v>
      </c>
    </row>
    <row r="2973" spans="1:4">
      <c r="A2973" t="s">
        <v>4590</v>
      </c>
      <c r="B2973" t="s">
        <v>365</v>
      </c>
      <c r="C2973" t="s">
        <v>7406</v>
      </c>
      <c r="D2973">
        <v>306.968484</v>
      </c>
    </row>
    <row r="2974" spans="1:4">
      <c r="A2974" t="s">
        <v>4591</v>
      </c>
      <c r="B2974" t="s">
        <v>365</v>
      </c>
      <c r="C2974" t="s">
        <v>7407</v>
      </c>
      <c r="D2974">
        <v>90.68753100000001</v>
      </c>
    </row>
    <row r="2975" spans="1:4">
      <c r="A2975" t="s">
        <v>4592</v>
      </c>
      <c r="B2975" t="s">
        <v>365</v>
      </c>
      <c r="C2975" t="s">
        <v>7408</v>
      </c>
      <c r="D2975">
        <v>69.85817400000001</v>
      </c>
    </row>
    <row r="2976" spans="1:4">
      <c r="A2976" t="s">
        <v>4593</v>
      </c>
      <c r="B2976" t="s">
        <v>365</v>
      </c>
      <c r="C2976" t="s">
        <v>7311</v>
      </c>
      <c r="D2976">
        <v>5.056993</v>
      </c>
    </row>
    <row r="2977" spans="1:4">
      <c r="A2977" t="s">
        <v>4594</v>
      </c>
      <c r="B2977" t="s">
        <v>365</v>
      </c>
      <c r="C2977" t="s">
        <v>7409</v>
      </c>
      <c r="D2977">
        <v>1.10278</v>
      </c>
    </row>
    <row r="2978" spans="1:4">
      <c r="A2978" t="s">
        <v>4595</v>
      </c>
      <c r="B2978" t="s">
        <v>365</v>
      </c>
      <c r="C2978" t="s">
        <v>7312</v>
      </c>
      <c r="D2978">
        <v>82.653288</v>
      </c>
    </row>
    <row r="2979" spans="1:4">
      <c r="A2979" t="s">
        <v>4596</v>
      </c>
      <c r="B2979" t="s">
        <v>365</v>
      </c>
      <c r="C2979" t="s">
        <v>7410</v>
      </c>
      <c r="D2979">
        <v>0.05046</v>
      </c>
    </row>
    <row r="2980" spans="1:4">
      <c r="A2980" t="s">
        <v>4597</v>
      </c>
      <c r="B2980" t="s">
        <v>365</v>
      </c>
      <c r="C2980" t="s">
        <v>7411</v>
      </c>
      <c r="D2980">
        <v>84.331999</v>
      </c>
    </row>
    <row r="2981" spans="1:4">
      <c r="A2981" t="s">
        <v>4598</v>
      </c>
      <c r="B2981" t="s">
        <v>365</v>
      </c>
      <c r="C2981" t="s">
        <v>7313</v>
      </c>
      <c r="D2981">
        <v>67.193377</v>
      </c>
    </row>
    <row r="2982" spans="1:4">
      <c r="A2982" t="s">
        <v>4599</v>
      </c>
      <c r="B2982" t="s">
        <v>365</v>
      </c>
      <c r="C2982" t="s">
        <v>7412</v>
      </c>
      <c r="D2982">
        <v>2.99905</v>
      </c>
    </row>
    <row r="2983" spans="1:4">
      <c r="A2983" t="s">
        <v>4600</v>
      </c>
      <c r="B2983" t="s">
        <v>365</v>
      </c>
      <c r="C2983" t="s">
        <v>7413</v>
      </c>
      <c r="D2983">
        <v>4.182163</v>
      </c>
    </row>
    <row r="2984" spans="1:4">
      <c r="A2984" t="s">
        <v>4601</v>
      </c>
      <c r="B2984" t="s">
        <v>365</v>
      </c>
      <c r="C2984" t="s">
        <v>7414</v>
      </c>
      <c r="D2984">
        <v>0.209172</v>
      </c>
    </row>
    <row r="2985" spans="1:4">
      <c r="A2985" t="s">
        <v>4602</v>
      </c>
      <c r="B2985" t="s">
        <v>365</v>
      </c>
      <c r="C2985" t="s">
        <v>7415</v>
      </c>
      <c r="D2985">
        <v>81.858262</v>
      </c>
    </row>
    <row r="2986" spans="1:4">
      <c r="A2986" t="s">
        <v>4603</v>
      </c>
      <c r="B2986" t="s">
        <v>365</v>
      </c>
      <c r="C2986" t="s">
        <v>7416</v>
      </c>
      <c r="D2986">
        <v>38.586063</v>
      </c>
    </row>
    <row r="2987" spans="1:4">
      <c r="A2987" t="s">
        <v>4604</v>
      </c>
      <c r="B2987" t="s">
        <v>365</v>
      </c>
      <c r="C2987" t="s">
        <v>7417</v>
      </c>
      <c r="D2987">
        <v>20.843041</v>
      </c>
    </row>
    <row r="2988" spans="1:4">
      <c r="A2988" t="s">
        <v>4605</v>
      </c>
      <c r="B2988" t="s">
        <v>365</v>
      </c>
      <c r="C2988" t="s">
        <v>7418</v>
      </c>
      <c r="D2988">
        <v>0.683069</v>
      </c>
    </row>
    <row r="2989" spans="1:4">
      <c r="A2989" t="s">
        <v>4606</v>
      </c>
      <c r="B2989" t="s">
        <v>365</v>
      </c>
      <c r="C2989" t="s">
        <v>7314</v>
      </c>
      <c r="D2989">
        <v>32.048845</v>
      </c>
    </row>
    <row r="2990" spans="1:4">
      <c r="A2990" t="s">
        <v>4607</v>
      </c>
      <c r="B2990" t="s">
        <v>365</v>
      </c>
      <c r="C2990" t="s">
        <v>7315</v>
      </c>
      <c r="D2990">
        <v>237.724296</v>
      </c>
    </row>
    <row r="2991" spans="1:4">
      <c r="A2991" t="s">
        <v>4608</v>
      </c>
      <c r="B2991" t="s">
        <v>365</v>
      </c>
      <c r="C2991" t="s">
        <v>7419</v>
      </c>
      <c r="D2991">
        <v>405.959323</v>
      </c>
    </row>
    <row r="2992" spans="1:4">
      <c r="A2992" t="s">
        <v>4609</v>
      </c>
      <c r="B2992" t="s">
        <v>365</v>
      </c>
      <c r="C2992" t="s">
        <v>7420</v>
      </c>
      <c r="D2992">
        <v>12.20964</v>
      </c>
    </row>
    <row r="2993" spans="1:4">
      <c r="A2993" t="s">
        <v>4610</v>
      </c>
      <c r="B2993" t="s">
        <v>365</v>
      </c>
      <c r="C2993" t="s">
        <v>7421</v>
      </c>
      <c r="D2993">
        <v>0.01221</v>
      </c>
    </row>
    <row r="2994" spans="1:4">
      <c r="A2994" t="s">
        <v>4611</v>
      </c>
      <c r="B2994" t="s">
        <v>365</v>
      </c>
      <c r="C2994" t="s">
        <v>7422</v>
      </c>
      <c r="D2994">
        <v>0.534921</v>
      </c>
    </row>
    <row r="2995" spans="1:4">
      <c r="A2995" t="s">
        <v>4612</v>
      </c>
      <c r="B2995" t="s">
        <v>365</v>
      </c>
      <c r="C2995" t="s">
        <v>7423</v>
      </c>
      <c r="D2995">
        <v>8.117279999999999</v>
      </c>
    </row>
    <row r="2996" spans="1:4">
      <c r="A2996" t="s">
        <v>4613</v>
      </c>
      <c r="B2996" t="s">
        <v>365</v>
      </c>
      <c r="C2996" t="s">
        <v>7424</v>
      </c>
      <c r="D2996">
        <v>0.065181</v>
      </c>
    </row>
    <row r="2997" spans="1:4">
      <c r="A2997" t="s">
        <v>4614</v>
      </c>
      <c r="B2997" t="s">
        <v>365</v>
      </c>
      <c r="C2997" t="s">
        <v>7425</v>
      </c>
      <c r="D2997">
        <v>14.369784</v>
      </c>
    </row>
    <row r="2998" spans="1:4">
      <c r="A2998" t="s">
        <v>4615</v>
      </c>
      <c r="B2998" t="s">
        <v>365</v>
      </c>
      <c r="C2998" t="s">
        <v>7426</v>
      </c>
      <c r="D2998">
        <v>2.698527</v>
      </c>
    </row>
    <row r="2999" spans="1:4">
      <c r="A2999" t="s">
        <v>4616</v>
      </c>
      <c r="B2999" t="s">
        <v>365</v>
      </c>
      <c r="C2999" t="s">
        <v>7427</v>
      </c>
      <c r="D2999">
        <v>18.654362</v>
      </c>
    </row>
    <row r="3000" spans="1:4">
      <c r="A3000" t="s">
        <v>4617</v>
      </c>
      <c r="B3000" t="s">
        <v>365</v>
      </c>
      <c r="C3000" t="s">
        <v>7316</v>
      </c>
      <c r="D3000">
        <v>9.336563</v>
      </c>
    </row>
    <row r="3001" spans="1:4">
      <c r="A3001" t="s">
        <v>4618</v>
      </c>
      <c r="B3001" t="s">
        <v>365</v>
      </c>
      <c r="C3001" t="s">
        <v>7428</v>
      </c>
      <c r="D3001">
        <v>33.067048</v>
      </c>
    </row>
    <row r="3002" spans="1:4">
      <c r="A3002" t="s">
        <v>4619</v>
      </c>
      <c r="B3002" t="s">
        <v>365</v>
      </c>
      <c r="C3002" t="s">
        <v>7429</v>
      </c>
      <c r="D3002">
        <v>87.766414</v>
      </c>
    </row>
    <row r="3003" spans="1:4">
      <c r="A3003" t="s">
        <v>4620</v>
      </c>
      <c r="B3003" t="s">
        <v>365</v>
      </c>
      <c r="C3003" t="s">
        <v>7430</v>
      </c>
      <c r="D3003">
        <v>104.200892</v>
      </c>
    </row>
    <row r="3004" spans="1:4">
      <c r="A3004" t="s">
        <v>4621</v>
      </c>
      <c r="B3004" t="s">
        <v>365</v>
      </c>
      <c r="C3004" t="s">
        <v>7431</v>
      </c>
      <c r="D3004">
        <v>128.940987</v>
      </c>
    </row>
    <row r="3005" spans="1:4">
      <c r="A3005" t="s">
        <v>4622</v>
      </c>
      <c r="B3005" t="s">
        <v>365</v>
      </c>
      <c r="C3005" t="s">
        <v>7317</v>
      </c>
      <c r="D3005">
        <v>6.608035</v>
      </c>
    </row>
    <row r="3006" spans="1:4">
      <c r="A3006" t="s">
        <v>4623</v>
      </c>
      <c r="B3006" t="s">
        <v>365</v>
      </c>
      <c r="C3006" t="s">
        <v>7432</v>
      </c>
      <c r="D3006">
        <v>43.69718</v>
      </c>
    </row>
    <row r="3007" spans="1:4">
      <c r="A3007" t="s">
        <v>4624</v>
      </c>
      <c r="B3007" t="s">
        <v>365</v>
      </c>
      <c r="C3007" t="s">
        <v>7433</v>
      </c>
      <c r="D3007">
        <v>215.309518</v>
      </c>
    </row>
    <row r="3008" spans="1:4">
      <c r="A3008" t="s">
        <v>4625</v>
      </c>
      <c r="B3008" t="s">
        <v>365</v>
      </c>
      <c r="C3008" t="s">
        <v>7434</v>
      </c>
      <c r="D3008">
        <v>9.705334000000001</v>
      </c>
    </row>
    <row r="3009" spans="1:4">
      <c r="A3009" t="s">
        <v>4626</v>
      </c>
      <c r="B3009" t="s">
        <v>365</v>
      </c>
      <c r="C3009" t="s">
        <v>7435</v>
      </c>
      <c r="D3009">
        <v>0.117627</v>
      </c>
    </row>
    <row r="3010" spans="1:4">
      <c r="A3010" t="s">
        <v>4627</v>
      </c>
      <c r="B3010" t="s">
        <v>365</v>
      </c>
      <c r="C3010" t="s">
        <v>7436</v>
      </c>
      <c r="D3010">
        <v>6.839386</v>
      </c>
    </row>
    <row r="3011" spans="1:4">
      <c r="A3011" t="s">
        <v>4628</v>
      </c>
      <c r="B3011" t="s">
        <v>365</v>
      </c>
      <c r="C3011" t="s">
        <v>7437</v>
      </c>
      <c r="D3011">
        <v>0.08486399999999999</v>
      </c>
    </row>
    <row r="3012" spans="1:4">
      <c r="A3012" t="s">
        <v>4629</v>
      </c>
      <c r="B3012" t="s">
        <v>365</v>
      </c>
      <c r="C3012" t="s">
        <v>399</v>
      </c>
      <c r="D3012">
        <v>306.968216</v>
      </c>
    </row>
    <row r="3013" spans="1:4">
      <c r="A3013" t="s">
        <v>4630</v>
      </c>
      <c r="B3013" t="s">
        <v>365</v>
      </c>
      <c r="C3013" t="s">
        <v>7438</v>
      </c>
      <c r="D3013">
        <v>7.599067</v>
      </c>
    </row>
    <row r="3014" spans="1:4">
      <c r="A3014" t="s">
        <v>4631</v>
      </c>
      <c r="B3014" t="s">
        <v>365</v>
      </c>
      <c r="C3014" t="s">
        <v>7439</v>
      </c>
      <c r="D3014">
        <v>0.025368</v>
      </c>
    </row>
    <row r="3015" spans="1:4">
      <c r="A3015" t="s">
        <v>4632</v>
      </c>
      <c r="B3015" t="s">
        <v>365</v>
      </c>
      <c r="C3015" t="s">
        <v>7440</v>
      </c>
      <c r="D3015">
        <v>0.501207</v>
      </c>
    </row>
    <row r="3016" spans="1:4">
      <c r="A3016" t="s">
        <v>4633</v>
      </c>
      <c r="B3016" t="s">
        <v>365</v>
      </c>
      <c r="C3016" t="s">
        <v>7441</v>
      </c>
      <c r="D3016">
        <v>0.011667</v>
      </c>
    </row>
    <row r="3017" spans="1:4">
      <c r="A3017" t="s">
        <v>4634</v>
      </c>
      <c r="B3017" t="s">
        <v>365</v>
      </c>
      <c r="C3017" t="s">
        <v>7442</v>
      </c>
      <c r="D3017">
        <v>2.587883</v>
      </c>
    </row>
    <row r="3018" spans="1:4">
      <c r="A3018" t="s">
        <v>4635</v>
      </c>
      <c r="B3018" t="s">
        <v>365</v>
      </c>
      <c r="C3018" t="s">
        <v>7443</v>
      </c>
      <c r="D3018">
        <v>113.079397</v>
      </c>
    </row>
    <row r="3019" spans="1:4">
      <c r="A3019" t="s">
        <v>4636</v>
      </c>
      <c r="B3019" t="s">
        <v>365</v>
      </c>
      <c r="C3019" t="s">
        <v>7444</v>
      </c>
      <c r="D3019">
        <v>0.536712</v>
      </c>
    </row>
    <row r="3020" spans="1:4">
      <c r="A3020" t="s">
        <v>4637</v>
      </c>
      <c r="B3020" t="s">
        <v>365</v>
      </c>
      <c r="C3020" t="s">
        <v>7445</v>
      </c>
      <c r="D3020">
        <v>113.692009</v>
      </c>
    </row>
    <row r="3021" spans="1:4">
      <c r="A3021" t="s">
        <v>4638</v>
      </c>
      <c r="B3021" t="s">
        <v>365</v>
      </c>
      <c r="C3021" t="s">
        <v>7446</v>
      </c>
      <c r="D3021">
        <v>171.490746</v>
      </c>
    </row>
    <row r="3022" spans="1:4">
      <c r="A3022" t="s">
        <v>4639</v>
      </c>
      <c r="B3022" t="s">
        <v>365</v>
      </c>
      <c r="C3022" t="s">
        <v>7447</v>
      </c>
      <c r="D3022">
        <v>417.567722</v>
      </c>
    </row>
    <row r="3023" spans="1:4">
      <c r="A3023" t="s">
        <v>4640</v>
      </c>
      <c r="B3023" t="s">
        <v>365</v>
      </c>
      <c r="C3023" t="s">
        <v>7448</v>
      </c>
      <c r="D3023">
        <v>0.536712</v>
      </c>
    </row>
    <row r="3024" spans="1:4">
      <c r="A3024" t="s">
        <v>4641</v>
      </c>
      <c r="B3024" t="s">
        <v>365</v>
      </c>
      <c r="C3024" t="s">
        <v>7449</v>
      </c>
      <c r="D3024">
        <v>2.950254</v>
      </c>
    </row>
    <row r="3025" spans="1:4">
      <c r="A3025" t="s">
        <v>4642</v>
      </c>
      <c r="B3025" t="s">
        <v>365</v>
      </c>
      <c r="C3025" t="s">
        <v>7450</v>
      </c>
      <c r="D3025">
        <v>1.282077</v>
      </c>
    </row>
    <row r="3026" spans="1:4">
      <c r="A3026" t="s">
        <v>4643</v>
      </c>
      <c r="B3026" t="s">
        <v>365</v>
      </c>
      <c r="C3026" t="s">
        <v>7318</v>
      </c>
      <c r="D3026">
        <v>18.654352</v>
      </c>
    </row>
    <row r="3027" spans="1:4">
      <c r="A3027" t="s">
        <v>4644</v>
      </c>
      <c r="B3027" t="s">
        <v>365</v>
      </c>
      <c r="C3027" t="s">
        <v>7451</v>
      </c>
      <c r="D3027">
        <v>17.181552</v>
      </c>
    </row>
    <row r="3028" spans="1:4">
      <c r="A3028" t="s">
        <v>4645</v>
      </c>
      <c r="B3028" t="s">
        <v>365</v>
      </c>
      <c r="C3028" t="s">
        <v>7452</v>
      </c>
      <c r="D3028">
        <v>11.513421</v>
      </c>
    </row>
    <row r="3029" spans="1:4">
      <c r="A3029" t="s">
        <v>4646</v>
      </c>
      <c r="B3029" t="s">
        <v>365</v>
      </c>
      <c r="C3029" t="s">
        <v>7453</v>
      </c>
      <c r="D3029">
        <v>11.513421</v>
      </c>
    </row>
    <row r="3030" spans="1:4">
      <c r="A3030" t="s">
        <v>4647</v>
      </c>
      <c r="B3030" t="s">
        <v>366</v>
      </c>
      <c r="C3030" t="s">
        <v>397</v>
      </c>
      <c r="D3030">
        <v>352.260085</v>
      </c>
    </row>
    <row r="3031" spans="1:4">
      <c r="A3031" t="s">
        <v>4648</v>
      </c>
      <c r="B3031" t="s">
        <v>366</v>
      </c>
      <c r="C3031" t="s">
        <v>7319</v>
      </c>
      <c r="D3031">
        <v>83.872647</v>
      </c>
    </row>
    <row r="3032" spans="1:4">
      <c r="A3032" t="s">
        <v>4649</v>
      </c>
      <c r="B3032" t="s">
        <v>366</v>
      </c>
      <c r="C3032" t="s">
        <v>7320</v>
      </c>
      <c r="D3032">
        <v>4.819392</v>
      </c>
    </row>
    <row r="3033" spans="1:4">
      <c r="A3033" t="s">
        <v>4650</v>
      </c>
      <c r="B3033" t="s">
        <v>366</v>
      </c>
      <c r="C3033" t="s">
        <v>7321</v>
      </c>
      <c r="D3033">
        <v>3.732374</v>
      </c>
    </row>
    <row r="3034" spans="1:4">
      <c r="A3034" t="s">
        <v>4651</v>
      </c>
      <c r="B3034" t="s">
        <v>366</v>
      </c>
      <c r="C3034" t="s">
        <v>7322</v>
      </c>
      <c r="D3034">
        <v>0.835348</v>
      </c>
    </row>
    <row r="3035" spans="1:4">
      <c r="A3035" t="s">
        <v>4652</v>
      </c>
      <c r="B3035" t="s">
        <v>366</v>
      </c>
      <c r="C3035" t="s">
        <v>7323</v>
      </c>
      <c r="D3035">
        <v>172.079548</v>
      </c>
    </row>
    <row r="3036" spans="1:4">
      <c r="A3036" t="s">
        <v>4653</v>
      </c>
      <c r="B3036" t="s">
        <v>366</v>
      </c>
      <c r="C3036" t="s">
        <v>7324</v>
      </c>
      <c r="D3036">
        <v>0.322454</v>
      </c>
    </row>
    <row r="3037" spans="1:4">
      <c r="A3037" t="s">
        <v>4654</v>
      </c>
      <c r="B3037" t="s">
        <v>366</v>
      </c>
      <c r="C3037" t="s">
        <v>7325</v>
      </c>
      <c r="D3037">
        <v>0.211364</v>
      </c>
    </row>
    <row r="3038" spans="1:4">
      <c r="A3038" t="s">
        <v>4655</v>
      </c>
      <c r="B3038" t="s">
        <v>366</v>
      </c>
      <c r="C3038" t="s">
        <v>7292</v>
      </c>
      <c r="D3038">
        <v>215.587648</v>
      </c>
    </row>
    <row r="3039" spans="1:4">
      <c r="A3039" t="s">
        <v>4656</v>
      </c>
      <c r="B3039" t="s">
        <v>366</v>
      </c>
      <c r="C3039" t="s">
        <v>7326</v>
      </c>
      <c r="D3039">
        <v>172.079548</v>
      </c>
    </row>
    <row r="3040" spans="1:4">
      <c r="A3040" t="s">
        <v>4657</v>
      </c>
      <c r="B3040" t="s">
        <v>366</v>
      </c>
      <c r="C3040" t="s">
        <v>7327</v>
      </c>
      <c r="D3040">
        <v>180.85664</v>
      </c>
    </row>
    <row r="3041" spans="1:4">
      <c r="A3041" t="s">
        <v>4658</v>
      </c>
      <c r="B3041" t="s">
        <v>366</v>
      </c>
      <c r="C3041" t="s">
        <v>7328</v>
      </c>
      <c r="D3041">
        <v>180.107722</v>
      </c>
    </row>
    <row r="3042" spans="1:4">
      <c r="A3042" t="s">
        <v>4659</v>
      </c>
      <c r="B3042" t="s">
        <v>366</v>
      </c>
      <c r="C3042" t="s">
        <v>7329</v>
      </c>
      <c r="D3042">
        <v>154.011187</v>
      </c>
    </row>
    <row r="3043" spans="1:4">
      <c r="A3043" t="s">
        <v>4660</v>
      </c>
      <c r="B3043" t="s">
        <v>366</v>
      </c>
      <c r="C3043" t="s">
        <v>7330</v>
      </c>
      <c r="D3043">
        <v>2.506763</v>
      </c>
    </row>
    <row r="3044" spans="1:4">
      <c r="A3044" t="s">
        <v>4661</v>
      </c>
      <c r="B3044" t="s">
        <v>366</v>
      </c>
      <c r="C3044" t="s">
        <v>398</v>
      </c>
      <c r="D3044">
        <v>180.107722</v>
      </c>
    </row>
    <row r="3045" spans="1:4">
      <c r="A3045" t="s">
        <v>4662</v>
      </c>
      <c r="B3045" t="s">
        <v>366</v>
      </c>
      <c r="C3045" t="s">
        <v>7331</v>
      </c>
      <c r="D3045">
        <v>819.207595</v>
      </c>
    </row>
    <row r="3046" spans="1:4">
      <c r="A3046" t="s">
        <v>4663</v>
      </c>
      <c r="B3046" t="s">
        <v>366</v>
      </c>
      <c r="C3046" t="s">
        <v>7332</v>
      </c>
      <c r="D3046">
        <v>0.102823</v>
      </c>
    </row>
    <row r="3047" spans="1:4">
      <c r="A3047" t="s">
        <v>4664</v>
      </c>
      <c r="B3047" t="s">
        <v>366</v>
      </c>
      <c r="C3047" t="s">
        <v>7333</v>
      </c>
      <c r="D3047">
        <v>308.022239</v>
      </c>
    </row>
    <row r="3048" spans="1:4">
      <c r="A3048" t="s">
        <v>4665</v>
      </c>
      <c r="B3048" t="s">
        <v>366</v>
      </c>
      <c r="C3048" t="s">
        <v>7334</v>
      </c>
      <c r="D3048">
        <v>238.107205</v>
      </c>
    </row>
    <row r="3049" spans="1:4">
      <c r="A3049" t="s">
        <v>4666</v>
      </c>
      <c r="B3049" t="s">
        <v>366</v>
      </c>
      <c r="C3049" t="s">
        <v>7335</v>
      </c>
      <c r="D3049">
        <v>44.439874</v>
      </c>
    </row>
    <row r="3050" spans="1:4">
      <c r="A3050" t="s">
        <v>4667</v>
      </c>
      <c r="B3050" t="s">
        <v>366</v>
      </c>
      <c r="C3050" t="s">
        <v>7293</v>
      </c>
      <c r="D3050">
        <v>59.785922</v>
      </c>
    </row>
    <row r="3051" spans="1:4">
      <c r="A3051" t="s">
        <v>4668</v>
      </c>
      <c r="B3051" t="s">
        <v>366</v>
      </c>
      <c r="C3051" t="s">
        <v>7336</v>
      </c>
      <c r="D3051">
        <v>308.022239</v>
      </c>
    </row>
    <row r="3052" spans="1:4">
      <c r="A3052" t="s">
        <v>4669</v>
      </c>
      <c r="B3052" t="s">
        <v>366</v>
      </c>
      <c r="C3052" t="s">
        <v>7337</v>
      </c>
      <c r="D3052">
        <v>3.252829</v>
      </c>
    </row>
    <row r="3053" spans="1:4">
      <c r="A3053" t="s">
        <v>4670</v>
      </c>
      <c r="B3053" t="s">
        <v>366</v>
      </c>
      <c r="C3053" t="s">
        <v>7338</v>
      </c>
      <c r="D3053">
        <v>21.779745</v>
      </c>
    </row>
    <row r="3054" spans="1:4">
      <c r="A3054" t="s">
        <v>4671</v>
      </c>
      <c r="B3054" t="s">
        <v>366</v>
      </c>
      <c r="C3054" t="s">
        <v>7339</v>
      </c>
      <c r="D3054">
        <v>110.144575</v>
      </c>
    </row>
    <row r="3055" spans="1:4">
      <c r="A3055" t="s">
        <v>4672</v>
      </c>
      <c r="B3055" t="s">
        <v>366</v>
      </c>
      <c r="C3055" t="s">
        <v>7340</v>
      </c>
      <c r="D3055">
        <v>154.011187</v>
      </c>
    </row>
    <row r="3056" spans="1:4">
      <c r="A3056" t="s">
        <v>4673</v>
      </c>
      <c r="B3056" t="s">
        <v>366</v>
      </c>
      <c r="C3056" t="s">
        <v>7294</v>
      </c>
      <c r="D3056">
        <v>217.560664</v>
      </c>
    </row>
    <row r="3057" spans="1:4">
      <c r="A3057" t="s">
        <v>4674</v>
      </c>
      <c r="B3057" t="s">
        <v>366</v>
      </c>
      <c r="C3057" t="s">
        <v>7341</v>
      </c>
      <c r="D3057">
        <v>0.132942</v>
      </c>
    </row>
    <row r="3058" spans="1:4">
      <c r="A3058" t="s">
        <v>4675</v>
      </c>
      <c r="B3058" t="s">
        <v>366</v>
      </c>
      <c r="C3058" t="s">
        <v>7295</v>
      </c>
      <c r="D3058">
        <v>380.847652</v>
      </c>
    </row>
    <row r="3059" spans="1:4">
      <c r="A3059" t="s">
        <v>4676</v>
      </c>
      <c r="B3059" t="s">
        <v>366</v>
      </c>
      <c r="C3059" t="s">
        <v>7342</v>
      </c>
      <c r="D3059">
        <v>13468.173772</v>
      </c>
    </row>
    <row r="3060" spans="1:4">
      <c r="A3060" t="s">
        <v>4677</v>
      </c>
      <c r="B3060" t="s">
        <v>366</v>
      </c>
      <c r="C3060" t="s">
        <v>7343</v>
      </c>
      <c r="D3060">
        <v>0.340732</v>
      </c>
    </row>
    <row r="3061" spans="1:4">
      <c r="A3061" t="s">
        <v>4678</v>
      </c>
      <c r="B3061" t="s">
        <v>366</v>
      </c>
      <c r="C3061" t="s">
        <v>7344</v>
      </c>
      <c r="D3061">
        <v>45.451096</v>
      </c>
    </row>
    <row r="3062" spans="1:4">
      <c r="A3062" t="s">
        <v>4679</v>
      </c>
      <c r="B3062" t="s">
        <v>366</v>
      </c>
      <c r="C3062" t="s">
        <v>7296</v>
      </c>
      <c r="D3062">
        <v>45.393727</v>
      </c>
    </row>
    <row r="3063" spans="1:4">
      <c r="A3063" t="s">
        <v>4680</v>
      </c>
      <c r="B3063" t="s">
        <v>366</v>
      </c>
      <c r="C3063" t="s">
        <v>7345</v>
      </c>
      <c r="D3063">
        <v>0.08903800000000001</v>
      </c>
    </row>
    <row r="3064" spans="1:4">
      <c r="A3064" t="s">
        <v>4681</v>
      </c>
      <c r="B3064" t="s">
        <v>366</v>
      </c>
      <c r="C3064" t="s">
        <v>7346</v>
      </c>
      <c r="D3064">
        <v>0.6777069999999999</v>
      </c>
    </row>
    <row r="3065" spans="1:4">
      <c r="A3065" t="s">
        <v>4682</v>
      </c>
      <c r="B3065" t="s">
        <v>366</v>
      </c>
      <c r="C3065" t="s">
        <v>7347</v>
      </c>
      <c r="D3065">
        <v>12.834263</v>
      </c>
    </row>
    <row r="3066" spans="1:4">
      <c r="A3066" t="s">
        <v>4683</v>
      </c>
      <c r="B3066" t="s">
        <v>366</v>
      </c>
      <c r="C3066" t="s">
        <v>7348</v>
      </c>
      <c r="D3066">
        <v>3.194668</v>
      </c>
    </row>
    <row r="3067" spans="1:4">
      <c r="A3067" t="s">
        <v>4684</v>
      </c>
      <c r="B3067" t="s">
        <v>366</v>
      </c>
      <c r="C3067" t="s">
        <v>7297</v>
      </c>
      <c r="D3067">
        <v>14.559364</v>
      </c>
    </row>
    <row r="3068" spans="1:4">
      <c r="A3068" t="s">
        <v>4685</v>
      </c>
      <c r="B3068" t="s">
        <v>366</v>
      </c>
      <c r="C3068" t="s">
        <v>7349</v>
      </c>
      <c r="D3068">
        <v>1.733179</v>
      </c>
    </row>
    <row r="3069" spans="1:4">
      <c r="A3069" t="s">
        <v>4686</v>
      </c>
      <c r="B3069" t="s">
        <v>366</v>
      </c>
      <c r="C3069" t="s">
        <v>7298</v>
      </c>
      <c r="D3069">
        <v>47.1971</v>
      </c>
    </row>
    <row r="3070" spans="1:4">
      <c r="A3070" t="s">
        <v>4687</v>
      </c>
      <c r="B3070" t="s">
        <v>366</v>
      </c>
      <c r="C3070" t="s">
        <v>7350</v>
      </c>
      <c r="D3070">
        <v>5.260282</v>
      </c>
    </row>
    <row r="3071" spans="1:4">
      <c r="A3071" t="s">
        <v>4688</v>
      </c>
      <c r="B3071" t="s">
        <v>366</v>
      </c>
      <c r="C3071" t="s">
        <v>7351</v>
      </c>
      <c r="D3071">
        <v>2.303418</v>
      </c>
    </row>
    <row r="3072" spans="1:4">
      <c r="A3072" t="s">
        <v>4689</v>
      </c>
      <c r="B3072" t="s">
        <v>366</v>
      </c>
      <c r="C3072" t="s">
        <v>7352</v>
      </c>
      <c r="D3072">
        <v>6.181464</v>
      </c>
    </row>
    <row r="3073" spans="1:4">
      <c r="A3073" t="s">
        <v>4690</v>
      </c>
      <c r="B3073" t="s">
        <v>366</v>
      </c>
      <c r="C3073" t="s">
        <v>7353</v>
      </c>
      <c r="D3073">
        <v>20.534822</v>
      </c>
    </row>
    <row r="3074" spans="1:4">
      <c r="A3074" t="s">
        <v>4691</v>
      </c>
      <c r="B3074" t="s">
        <v>366</v>
      </c>
      <c r="C3074" t="s">
        <v>7354</v>
      </c>
      <c r="D3074">
        <v>1.914882</v>
      </c>
    </row>
    <row r="3075" spans="1:4">
      <c r="A3075" t="s">
        <v>4692</v>
      </c>
      <c r="B3075" t="s">
        <v>366</v>
      </c>
      <c r="C3075" t="s">
        <v>7355</v>
      </c>
      <c r="D3075">
        <v>137.478027</v>
      </c>
    </row>
    <row r="3076" spans="1:4">
      <c r="A3076" t="s">
        <v>4693</v>
      </c>
      <c r="B3076" t="s">
        <v>366</v>
      </c>
      <c r="C3076" t="s">
        <v>7356</v>
      </c>
      <c r="D3076">
        <v>407.928921</v>
      </c>
    </row>
    <row r="3077" spans="1:4">
      <c r="A3077" t="s">
        <v>4694</v>
      </c>
      <c r="B3077" t="s">
        <v>366</v>
      </c>
      <c r="C3077" t="s">
        <v>7357</v>
      </c>
      <c r="D3077">
        <v>47.197112</v>
      </c>
    </row>
    <row r="3078" spans="1:4">
      <c r="A3078" t="s">
        <v>4695</v>
      </c>
      <c r="B3078" t="s">
        <v>366</v>
      </c>
      <c r="C3078" t="s">
        <v>7299</v>
      </c>
      <c r="D3078">
        <v>407.927504</v>
      </c>
    </row>
    <row r="3079" spans="1:4">
      <c r="A3079" t="s">
        <v>4696</v>
      </c>
      <c r="B3079" t="s">
        <v>366</v>
      </c>
      <c r="C3079" t="s">
        <v>7358</v>
      </c>
      <c r="D3079">
        <v>116.119184</v>
      </c>
    </row>
    <row r="3080" spans="1:4">
      <c r="A3080" t="s">
        <v>4697</v>
      </c>
      <c r="B3080" t="s">
        <v>366</v>
      </c>
      <c r="C3080" t="s">
        <v>7359</v>
      </c>
      <c r="D3080">
        <v>407.928921</v>
      </c>
    </row>
    <row r="3081" spans="1:4">
      <c r="A3081" t="s">
        <v>4698</v>
      </c>
      <c r="B3081" t="s">
        <v>366</v>
      </c>
      <c r="C3081" t="s">
        <v>7360</v>
      </c>
      <c r="D3081">
        <v>27.382902</v>
      </c>
    </row>
    <row r="3082" spans="1:4">
      <c r="A3082" t="s">
        <v>4699</v>
      </c>
      <c r="B3082" t="s">
        <v>366</v>
      </c>
      <c r="C3082" t="s">
        <v>7361</v>
      </c>
      <c r="D3082">
        <v>407.928921</v>
      </c>
    </row>
    <row r="3083" spans="1:4">
      <c r="A3083" t="s">
        <v>4700</v>
      </c>
      <c r="B3083" t="s">
        <v>366</v>
      </c>
      <c r="C3083" t="s">
        <v>7362</v>
      </c>
      <c r="D3083">
        <v>4.14889</v>
      </c>
    </row>
    <row r="3084" spans="1:4">
      <c r="A3084" t="s">
        <v>4701</v>
      </c>
      <c r="B3084" t="s">
        <v>366</v>
      </c>
      <c r="C3084" t="s">
        <v>7363</v>
      </c>
      <c r="D3084">
        <v>0.035079</v>
      </c>
    </row>
    <row r="3085" spans="1:4">
      <c r="A3085" t="s">
        <v>4702</v>
      </c>
      <c r="B3085" t="s">
        <v>366</v>
      </c>
      <c r="C3085" t="s">
        <v>7364</v>
      </c>
      <c r="D3085">
        <v>40.31744</v>
      </c>
    </row>
    <row r="3086" spans="1:4">
      <c r="A3086" t="s">
        <v>4703</v>
      </c>
      <c r="B3086" t="s">
        <v>366</v>
      </c>
      <c r="C3086" t="s">
        <v>7365</v>
      </c>
      <c r="D3086">
        <v>1.470362</v>
      </c>
    </row>
    <row r="3087" spans="1:4">
      <c r="A3087" t="s">
        <v>4704</v>
      </c>
      <c r="B3087" t="s">
        <v>366</v>
      </c>
      <c r="C3087" t="s">
        <v>7300</v>
      </c>
      <c r="D3087">
        <v>39.295107</v>
      </c>
    </row>
    <row r="3088" spans="1:4">
      <c r="A3088" t="s">
        <v>4705</v>
      </c>
      <c r="B3088" t="s">
        <v>366</v>
      </c>
      <c r="C3088" t="s">
        <v>7366</v>
      </c>
      <c r="D3088">
        <v>11.494334</v>
      </c>
    </row>
    <row r="3089" spans="1:4">
      <c r="A3089" t="s">
        <v>4706</v>
      </c>
      <c r="B3089" t="s">
        <v>366</v>
      </c>
      <c r="C3089" t="s">
        <v>7367</v>
      </c>
      <c r="D3089">
        <v>46.752948</v>
      </c>
    </row>
    <row r="3090" spans="1:4">
      <c r="A3090" t="s">
        <v>4707</v>
      </c>
      <c r="B3090" t="s">
        <v>366</v>
      </c>
      <c r="C3090" t="s">
        <v>7368</v>
      </c>
      <c r="D3090">
        <v>2.353978</v>
      </c>
    </row>
    <row r="3091" spans="1:4">
      <c r="A3091" t="s">
        <v>4708</v>
      </c>
      <c r="B3091" t="s">
        <v>366</v>
      </c>
      <c r="C3091" t="s">
        <v>7301</v>
      </c>
      <c r="D3091">
        <v>0.01724</v>
      </c>
    </row>
    <row r="3092" spans="1:4">
      <c r="A3092" t="s">
        <v>4709</v>
      </c>
      <c r="B3092" t="s">
        <v>366</v>
      </c>
      <c r="C3092" t="s">
        <v>7302</v>
      </c>
      <c r="D3092">
        <v>103.660665</v>
      </c>
    </row>
    <row r="3093" spans="1:4">
      <c r="A3093" t="s">
        <v>4710</v>
      </c>
      <c r="B3093" t="s">
        <v>366</v>
      </c>
      <c r="C3093" t="s">
        <v>7369</v>
      </c>
      <c r="D3093">
        <v>407.928921</v>
      </c>
    </row>
    <row r="3094" spans="1:4">
      <c r="A3094" t="s">
        <v>4711</v>
      </c>
      <c r="B3094" t="s">
        <v>366</v>
      </c>
      <c r="C3094" t="s">
        <v>7303</v>
      </c>
      <c r="D3094">
        <v>3.253985</v>
      </c>
    </row>
    <row r="3095" spans="1:4">
      <c r="A3095" t="s">
        <v>4712</v>
      </c>
      <c r="B3095" t="s">
        <v>366</v>
      </c>
      <c r="C3095" t="s">
        <v>7370</v>
      </c>
      <c r="D3095">
        <v>0.234898</v>
      </c>
    </row>
    <row r="3096" spans="1:4">
      <c r="A3096" t="s">
        <v>4713</v>
      </c>
      <c r="B3096" t="s">
        <v>366</v>
      </c>
      <c r="C3096" t="s">
        <v>7371</v>
      </c>
      <c r="D3096">
        <v>0.000224</v>
      </c>
    </row>
    <row r="3097" spans="1:4">
      <c r="A3097" t="s">
        <v>4714</v>
      </c>
      <c r="B3097" t="s">
        <v>366</v>
      </c>
      <c r="C3097" t="s">
        <v>7304</v>
      </c>
      <c r="D3097">
        <v>2.446223</v>
      </c>
    </row>
    <row r="3098" spans="1:4">
      <c r="A3098" t="s">
        <v>4715</v>
      </c>
      <c r="B3098" t="s">
        <v>366</v>
      </c>
      <c r="C3098" t="s">
        <v>7372</v>
      </c>
      <c r="D3098">
        <v>407.928921</v>
      </c>
    </row>
    <row r="3099" spans="1:4">
      <c r="A3099" t="s">
        <v>4716</v>
      </c>
      <c r="B3099" t="s">
        <v>366</v>
      </c>
      <c r="C3099" t="s">
        <v>7373</v>
      </c>
      <c r="D3099">
        <v>1.948393</v>
      </c>
    </row>
    <row r="3100" spans="1:4">
      <c r="A3100" t="s">
        <v>4717</v>
      </c>
      <c r="B3100" t="s">
        <v>366</v>
      </c>
      <c r="C3100" t="s">
        <v>7374</v>
      </c>
      <c r="D3100">
        <v>434.445966</v>
      </c>
    </row>
    <row r="3101" spans="1:4">
      <c r="A3101" t="s">
        <v>4718</v>
      </c>
      <c r="B3101" t="s">
        <v>366</v>
      </c>
      <c r="C3101" t="s">
        <v>7305</v>
      </c>
      <c r="D3101">
        <v>1.905803</v>
      </c>
    </row>
    <row r="3102" spans="1:4">
      <c r="A3102" t="s">
        <v>4719</v>
      </c>
      <c r="B3102" t="s">
        <v>366</v>
      </c>
      <c r="C3102" t="s">
        <v>7375</v>
      </c>
      <c r="D3102">
        <v>2.376572</v>
      </c>
    </row>
    <row r="3103" spans="1:4">
      <c r="A3103" t="s">
        <v>4720</v>
      </c>
      <c r="B3103" t="s">
        <v>366</v>
      </c>
      <c r="C3103" t="s">
        <v>7376</v>
      </c>
      <c r="D3103">
        <v>3.51594</v>
      </c>
    </row>
    <row r="3104" spans="1:4">
      <c r="A3104" t="s">
        <v>4721</v>
      </c>
      <c r="B3104" t="s">
        <v>366</v>
      </c>
      <c r="C3104" t="s">
        <v>7377</v>
      </c>
      <c r="D3104">
        <v>0.07596700000000001</v>
      </c>
    </row>
    <row r="3105" spans="1:4">
      <c r="A3105" t="s">
        <v>4722</v>
      </c>
      <c r="B3105" t="s">
        <v>366</v>
      </c>
      <c r="C3105" t="s">
        <v>7378</v>
      </c>
      <c r="D3105">
        <v>215.58778</v>
      </c>
    </row>
    <row r="3106" spans="1:4">
      <c r="A3106" t="s">
        <v>4723</v>
      </c>
      <c r="B3106" t="s">
        <v>366</v>
      </c>
      <c r="C3106" t="s">
        <v>7379</v>
      </c>
      <c r="D3106">
        <v>0.716023</v>
      </c>
    </row>
    <row r="3107" spans="1:4">
      <c r="A3107" t="s">
        <v>4724</v>
      </c>
      <c r="B3107" t="s">
        <v>366</v>
      </c>
      <c r="C3107" t="s">
        <v>7306</v>
      </c>
      <c r="D3107">
        <v>0.200168</v>
      </c>
    </row>
    <row r="3108" spans="1:4">
      <c r="A3108" t="s">
        <v>4725</v>
      </c>
      <c r="B3108" t="s">
        <v>366</v>
      </c>
      <c r="C3108" t="s">
        <v>7380</v>
      </c>
      <c r="D3108">
        <v>998.319654</v>
      </c>
    </row>
    <row r="3109" spans="1:4">
      <c r="A3109" t="s">
        <v>4726</v>
      </c>
      <c r="B3109" t="s">
        <v>366</v>
      </c>
      <c r="C3109" t="s">
        <v>7381</v>
      </c>
      <c r="D3109">
        <v>369.62701</v>
      </c>
    </row>
    <row r="3110" spans="1:4">
      <c r="A3110" t="s">
        <v>4727</v>
      </c>
      <c r="B3110" t="s">
        <v>366</v>
      </c>
      <c r="C3110" t="s">
        <v>7382</v>
      </c>
      <c r="D3110">
        <v>0.6321369999999999</v>
      </c>
    </row>
    <row r="3111" spans="1:4">
      <c r="A3111" t="s">
        <v>4728</v>
      </c>
      <c r="B3111" t="s">
        <v>366</v>
      </c>
      <c r="C3111" t="s">
        <v>7383</v>
      </c>
      <c r="D3111">
        <v>0.013948</v>
      </c>
    </row>
    <row r="3112" spans="1:4">
      <c r="A3112" t="s">
        <v>4729</v>
      </c>
      <c r="B3112" t="s">
        <v>366</v>
      </c>
      <c r="C3112" t="s">
        <v>7384</v>
      </c>
      <c r="D3112">
        <v>0.003442</v>
      </c>
    </row>
    <row r="3113" spans="1:4">
      <c r="A3113" t="s">
        <v>4730</v>
      </c>
      <c r="B3113" t="s">
        <v>366</v>
      </c>
      <c r="C3113" t="s">
        <v>7385</v>
      </c>
      <c r="D3113">
        <v>0.921388</v>
      </c>
    </row>
    <row r="3114" spans="1:4">
      <c r="A3114" t="s">
        <v>4731</v>
      </c>
      <c r="B3114" t="s">
        <v>366</v>
      </c>
      <c r="C3114" t="s">
        <v>7386</v>
      </c>
      <c r="D3114">
        <v>1.689121</v>
      </c>
    </row>
    <row r="3115" spans="1:4">
      <c r="A3115" t="s">
        <v>4732</v>
      </c>
      <c r="B3115" t="s">
        <v>366</v>
      </c>
      <c r="C3115" t="s">
        <v>7387</v>
      </c>
      <c r="D3115">
        <v>18.785128</v>
      </c>
    </row>
    <row r="3116" spans="1:4">
      <c r="A3116" t="s">
        <v>4733</v>
      </c>
      <c r="B3116" t="s">
        <v>366</v>
      </c>
      <c r="C3116" t="s">
        <v>7388</v>
      </c>
      <c r="D3116">
        <v>48.216068</v>
      </c>
    </row>
    <row r="3117" spans="1:4">
      <c r="A3117" t="s">
        <v>4734</v>
      </c>
      <c r="B3117" t="s">
        <v>366</v>
      </c>
      <c r="C3117" t="s">
        <v>7389</v>
      </c>
      <c r="D3117">
        <v>32.985934</v>
      </c>
    </row>
    <row r="3118" spans="1:4">
      <c r="A3118" t="s">
        <v>4735</v>
      </c>
      <c r="B3118" t="s">
        <v>366</v>
      </c>
      <c r="C3118" t="s">
        <v>7390</v>
      </c>
      <c r="D3118">
        <v>17.517591</v>
      </c>
    </row>
    <row r="3119" spans="1:4">
      <c r="A3119" t="s">
        <v>4736</v>
      </c>
      <c r="B3119" t="s">
        <v>366</v>
      </c>
      <c r="C3119" t="s">
        <v>7391</v>
      </c>
      <c r="D3119">
        <v>0.072976</v>
      </c>
    </row>
    <row r="3120" spans="1:4">
      <c r="A3120" t="s">
        <v>4737</v>
      </c>
      <c r="B3120" t="s">
        <v>366</v>
      </c>
      <c r="C3120" t="s">
        <v>7392</v>
      </c>
      <c r="D3120">
        <v>5.715511</v>
      </c>
    </row>
    <row r="3121" spans="1:4">
      <c r="A3121" t="s">
        <v>4738</v>
      </c>
      <c r="B3121" t="s">
        <v>366</v>
      </c>
      <c r="C3121" t="s">
        <v>7393</v>
      </c>
      <c r="D3121">
        <v>0.146232</v>
      </c>
    </row>
    <row r="3122" spans="1:4">
      <c r="A3122" t="s">
        <v>4739</v>
      </c>
      <c r="B3122" t="s">
        <v>366</v>
      </c>
      <c r="C3122" t="s">
        <v>7394</v>
      </c>
      <c r="D3122">
        <v>0.086129</v>
      </c>
    </row>
    <row r="3123" spans="1:4">
      <c r="A3123" t="s">
        <v>4740</v>
      </c>
      <c r="B3123" t="s">
        <v>366</v>
      </c>
      <c r="C3123" t="s">
        <v>7395</v>
      </c>
      <c r="D3123">
        <v>38.146129</v>
      </c>
    </row>
    <row r="3124" spans="1:4">
      <c r="A3124" t="s">
        <v>4741</v>
      </c>
      <c r="B3124" t="s">
        <v>366</v>
      </c>
      <c r="C3124" t="s">
        <v>7396</v>
      </c>
      <c r="D3124">
        <v>7.705655</v>
      </c>
    </row>
    <row r="3125" spans="1:4">
      <c r="A3125" t="s">
        <v>4742</v>
      </c>
      <c r="B3125" t="s">
        <v>366</v>
      </c>
      <c r="C3125" t="s">
        <v>7397</v>
      </c>
      <c r="D3125">
        <v>6.431068</v>
      </c>
    </row>
    <row r="3126" spans="1:4">
      <c r="A3126" t="s">
        <v>4743</v>
      </c>
      <c r="B3126" t="s">
        <v>366</v>
      </c>
      <c r="C3126" t="s">
        <v>7398</v>
      </c>
      <c r="D3126">
        <v>19.889473</v>
      </c>
    </row>
    <row r="3127" spans="1:4">
      <c r="A3127" t="s">
        <v>4744</v>
      </c>
      <c r="B3127" t="s">
        <v>366</v>
      </c>
      <c r="C3127" t="s">
        <v>7399</v>
      </c>
      <c r="D3127">
        <v>0.176358</v>
      </c>
    </row>
    <row r="3128" spans="1:4">
      <c r="A3128" t="s">
        <v>4745</v>
      </c>
      <c r="B3128" t="s">
        <v>366</v>
      </c>
      <c r="C3128" t="s">
        <v>7307</v>
      </c>
      <c r="D3128">
        <v>17.755983</v>
      </c>
    </row>
    <row r="3129" spans="1:4">
      <c r="A3129" t="s">
        <v>4746</v>
      </c>
      <c r="B3129" t="s">
        <v>366</v>
      </c>
      <c r="C3129" t="s">
        <v>7308</v>
      </c>
      <c r="D3129">
        <v>74.207261</v>
      </c>
    </row>
    <row r="3130" spans="1:4">
      <c r="A3130" t="s">
        <v>4747</v>
      </c>
      <c r="B3130" t="s">
        <v>366</v>
      </c>
      <c r="C3130" t="s">
        <v>7400</v>
      </c>
      <c r="D3130">
        <v>4.825047</v>
      </c>
    </row>
    <row r="3131" spans="1:4">
      <c r="A3131" t="s">
        <v>4748</v>
      </c>
      <c r="B3131" t="s">
        <v>366</v>
      </c>
      <c r="C3131" t="s">
        <v>7401</v>
      </c>
      <c r="D3131">
        <v>18.785128</v>
      </c>
    </row>
    <row r="3132" spans="1:4">
      <c r="A3132" t="s">
        <v>4749</v>
      </c>
      <c r="B3132" t="s">
        <v>366</v>
      </c>
      <c r="C3132" t="s">
        <v>7402</v>
      </c>
      <c r="D3132">
        <v>0.227085</v>
      </c>
    </row>
    <row r="3133" spans="1:4">
      <c r="A3133" t="s">
        <v>4750</v>
      </c>
      <c r="B3133" t="s">
        <v>366</v>
      </c>
      <c r="C3133" t="s">
        <v>7403</v>
      </c>
      <c r="D3133">
        <v>8.355162</v>
      </c>
    </row>
    <row r="3134" spans="1:4">
      <c r="A3134" t="s">
        <v>4751</v>
      </c>
      <c r="B3134" t="s">
        <v>366</v>
      </c>
      <c r="C3134" t="s">
        <v>7309</v>
      </c>
      <c r="D3134">
        <v>31.789979</v>
      </c>
    </row>
    <row r="3135" spans="1:4">
      <c r="A3135" t="s">
        <v>4752</v>
      </c>
      <c r="B3135" t="s">
        <v>366</v>
      </c>
      <c r="C3135" t="s">
        <v>7404</v>
      </c>
      <c r="D3135">
        <v>2.033018</v>
      </c>
    </row>
    <row r="3136" spans="1:4">
      <c r="A3136" t="s">
        <v>4753</v>
      </c>
      <c r="B3136" t="s">
        <v>366</v>
      </c>
      <c r="C3136" t="s">
        <v>7310</v>
      </c>
      <c r="D3136">
        <v>176.142549</v>
      </c>
    </row>
    <row r="3137" spans="1:4">
      <c r="A3137" t="s">
        <v>4754</v>
      </c>
      <c r="B3137" t="s">
        <v>366</v>
      </c>
      <c r="C3137" t="s">
        <v>7405</v>
      </c>
      <c r="D3137">
        <v>801.1045370000001</v>
      </c>
    </row>
    <row r="3138" spans="1:4">
      <c r="A3138" t="s">
        <v>4755</v>
      </c>
      <c r="B3138" t="s">
        <v>366</v>
      </c>
      <c r="C3138" t="s">
        <v>7406</v>
      </c>
      <c r="D3138">
        <v>308.022239</v>
      </c>
    </row>
    <row r="3139" spans="1:4">
      <c r="A3139" t="s">
        <v>4756</v>
      </c>
      <c r="B3139" t="s">
        <v>366</v>
      </c>
      <c r="C3139" t="s">
        <v>7407</v>
      </c>
      <c r="D3139">
        <v>90.96747499999999</v>
      </c>
    </row>
    <row r="3140" spans="1:4">
      <c r="A3140" t="s">
        <v>4757</v>
      </c>
      <c r="B3140" t="s">
        <v>366</v>
      </c>
      <c r="C3140" t="s">
        <v>7408</v>
      </c>
      <c r="D3140">
        <v>69.461674</v>
      </c>
    </row>
    <row r="3141" spans="1:4">
      <c r="A3141" t="s">
        <v>4758</v>
      </c>
      <c r="B3141" t="s">
        <v>366</v>
      </c>
      <c r="C3141" t="s">
        <v>7311</v>
      </c>
      <c r="D3141">
        <v>5.042897</v>
      </c>
    </row>
    <row r="3142" spans="1:4">
      <c r="A3142" t="s">
        <v>4759</v>
      </c>
      <c r="B3142" t="s">
        <v>366</v>
      </c>
      <c r="C3142" t="s">
        <v>7409</v>
      </c>
      <c r="D3142">
        <v>1.107106</v>
      </c>
    </row>
    <row r="3143" spans="1:4">
      <c r="A3143" t="s">
        <v>4760</v>
      </c>
      <c r="B3143" t="s">
        <v>366</v>
      </c>
      <c r="C3143" t="s">
        <v>7312</v>
      </c>
      <c r="D3143">
        <v>82.46286499999999</v>
      </c>
    </row>
    <row r="3144" spans="1:4">
      <c r="A3144" t="s">
        <v>4761</v>
      </c>
      <c r="B3144" t="s">
        <v>366</v>
      </c>
      <c r="C3144" t="s">
        <v>7410</v>
      </c>
      <c r="D3144">
        <v>0.050382</v>
      </c>
    </row>
    <row r="3145" spans="1:4">
      <c r="A3145" t="s">
        <v>4762</v>
      </c>
      <c r="B3145" t="s">
        <v>366</v>
      </c>
      <c r="C3145" t="s">
        <v>7411</v>
      </c>
      <c r="D3145">
        <v>84.62151799999999</v>
      </c>
    </row>
    <row r="3146" spans="1:4">
      <c r="A3146" t="s">
        <v>4763</v>
      </c>
      <c r="B3146" t="s">
        <v>366</v>
      </c>
      <c r="C3146" t="s">
        <v>7313</v>
      </c>
      <c r="D3146">
        <v>67.247191</v>
      </c>
    </row>
    <row r="3147" spans="1:4">
      <c r="A3147" t="s">
        <v>4764</v>
      </c>
      <c r="B3147" t="s">
        <v>366</v>
      </c>
      <c r="C3147" t="s">
        <v>7412</v>
      </c>
      <c r="D3147">
        <v>3.001665</v>
      </c>
    </row>
    <row r="3148" spans="1:4">
      <c r="A3148" t="s">
        <v>4765</v>
      </c>
      <c r="B3148" t="s">
        <v>366</v>
      </c>
      <c r="C3148" t="s">
        <v>7413</v>
      </c>
      <c r="D3148">
        <v>4.159639</v>
      </c>
    </row>
    <row r="3149" spans="1:4">
      <c r="A3149" t="s">
        <v>4766</v>
      </c>
      <c r="B3149" t="s">
        <v>366</v>
      </c>
      <c r="C3149" t="s">
        <v>7414</v>
      </c>
      <c r="D3149">
        <v>0.210083</v>
      </c>
    </row>
    <row r="3150" spans="1:4">
      <c r="A3150" t="s">
        <v>4767</v>
      </c>
      <c r="B3150" t="s">
        <v>366</v>
      </c>
      <c r="C3150" t="s">
        <v>7415</v>
      </c>
      <c r="D3150">
        <v>82.13928799999999</v>
      </c>
    </row>
    <row r="3151" spans="1:4">
      <c r="A3151" t="s">
        <v>4768</v>
      </c>
      <c r="B3151" t="s">
        <v>366</v>
      </c>
      <c r="C3151" t="s">
        <v>7416</v>
      </c>
      <c r="D3151">
        <v>38.361869</v>
      </c>
    </row>
    <row r="3152" spans="1:4">
      <c r="A3152" t="s">
        <v>4769</v>
      </c>
      <c r="B3152" t="s">
        <v>366</v>
      </c>
      <c r="C3152" t="s">
        <v>7417</v>
      </c>
      <c r="D3152">
        <v>21.414565</v>
      </c>
    </row>
    <row r="3153" spans="1:4">
      <c r="A3153" t="s">
        <v>4770</v>
      </c>
      <c r="B3153" t="s">
        <v>366</v>
      </c>
      <c r="C3153" t="s">
        <v>7418</v>
      </c>
      <c r="D3153">
        <v>0.687701</v>
      </c>
    </row>
    <row r="3154" spans="1:4">
      <c r="A3154" t="s">
        <v>4771</v>
      </c>
      <c r="B3154" t="s">
        <v>366</v>
      </c>
      <c r="C3154" t="s">
        <v>7314</v>
      </c>
      <c r="D3154">
        <v>32.042366</v>
      </c>
    </row>
    <row r="3155" spans="1:4">
      <c r="A3155" t="s">
        <v>4772</v>
      </c>
      <c r="B3155" t="s">
        <v>366</v>
      </c>
      <c r="C3155" t="s">
        <v>7315</v>
      </c>
      <c r="D3155">
        <v>238.106883</v>
      </c>
    </row>
    <row r="3156" spans="1:4">
      <c r="A3156" t="s">
        <v>4773</v>
      </c>
      <c r="B3156" t="s">
        <v>366</v>
      </c>
      <c r="C3156" t="s">
        <v>7419</v>
      </c>
      <c r="D3156">
        <v>407.928921</v>
      </c>
    </row>
    <row r="3157" spans="1:4">
      <c r="A3157" t="s">
        <v>4774</v>
      </c>
      <c r="B3157" t="s">
        <v>366</v>
      </c>
      <c r="C3157" t="s">
        <v>7420</v>
      </c>
      <c r="D3157">
        <v>12.251542</v>
      </c>
    </row>
    <row r="3158" spans="1:4">
      <c r="A3158" t="s">
        <v>4775</v>
      </c>
      <c r="B3158" t="s">
        <v>366</v>
      </c>
      <c r="C3158" t="s">
        <v>7421</v>
      </c>
      <c r="D3158">
        <v>0.012251</v>
      </c>
    </row>
    <row r="3159" spans="1:4">
      <c r="A3159" t="s">
        <v>4776</v>
      </c>
      <c r="B3159" t="s">
        <v>366</v>
      </c>
      <c r="C3159" t="s">
        <v>7422</v>
      </c>
      <c r="D3159">
        <v>0.537767</v>
      </c>
    </row>
    <row r="3160" spans="1:4">
      <c r="A3160" t="s">
        <v>4777</v>
      </c>
      <c r="B3160" t="s">
        <v>366</v>
      </c>
      <c r="C3160" t="s">
        <v>7423</v>
      </c>
      <c r="D3160">
        <v>8.17845</v>
      </c>
    </row>
    <row r="3161" spans="1:4">
      <c r="A3161" t="s">
        <v>4778</v>
      </c>
      <c r="B3161" t="s">
        <v>366</v>
      </c>
      <c r="C3161" t="s">
        <v>7424</v>
      </c>
      <c r="D3161">
        <v>0.065387</v>
      </c>
    </row>
    <row r="3162" spans="1:4">
      <c r="A3162" t="s">
        <v>4779</v>
      </c>
      <c r="B3162" t="s">
        <v>366</v>
      </c>
      <c r="C3162" t="s">
        <v>7425</v>
      </c>
      <c r="D3162">
        <v>14.377963</v>
      </c>
    </row>
    <row r="3163" spans="1:4">
      <c r="A3163" t="s">
        <v>4780</v>
      </c>
      <c r="B3163" t="s">
        <v>366</v>
      </c>
      <c r="C3163" t="s">
        <v>7426</v>
      </c>
      <c r="D3163">
        <v>2.738098</v>
      </c>
    </row>
    <row r="3164" spans="1:4">
      <c r="A3164" t="s">
        <v>4781</v>
      </c>
      <c r="B3164" t="s">
        <v>366</v>
      </c>
      <c r="C3164" t="s">
        <v>7427</v>
      </c>
      <c r="D3164">
        <v>18.785128</v>
      </c>
    </row>
    <row r="3165" spans="1:4">
      <c r="A3165" t="s">
        <v>4782</v>
      </c>
      <c r="B3165" t="s">
        <v>366</v>
      </c>
      <c r="C3165" t="s">
        <v>7316</v>
      </c>
      <c r="D3165">
        <v>9.348826000000001</v>
      </c>
    </row>
    <row r="3166" spans="1:4">
      <c r="A3166" t="s">
        <v>4783</v>
      </c>
      <c r="B3166" t="s">
        <v>366</v>
      </c>
      <c r="C3166" t="s">
        <v>7428</v>
      </c>
      <c r="D3166">
        <v>33.094862</v>
      </c>
    </row>
    <row r="3167" spans="1:4">
      <c r="A3167" t="s">
        <v>4784</v>
      </c>
      <c r="B3167" t="s">
        <v>366</v>
      </c>
      <c r="C3167" t="s">
        <v>7429</v>
      </c>
      <c r="D3167">
        <v>87.841049</v>
      </c>
    </row>
    <row r="3168" spans="1:4">
      <c r="A3168" t="s">
        <v>4785</v>
      </c>
      <c r="B3168" t="s">
        <v>366</v>
      </c>
      <c r="C3168" t="s">
        <v>7430</v>
      </c>
      <c r="D3168">
        <v>104.526788</v>
      </c>
    </row>
    <row r="3169" spans="1:4">
      <c r="A3169" t="s">
        <v>4786</v>
      </c>
      <c r="B3169" t="s">
        <v>366</v>
      </c>
      <c r="C3169" t="s">
        <v>7431</v>
      </c>
      <c r="D3169">
        <v>129.072051</v>
      </c>
    </row>
    <row r="3170" spans="1:4">
      <c r="A3170" t="s">
        <v>4787</v>
      </c>
      <c r="B3170" t="s">
        <v>366</v>
      </c>
      <c r="C3170" t="s">
        <v>7317</v>
      </c>
      <c r="D3170">
        <v>6.630133</v>
      </c>
    </row>
    <row r="3171" spans="1:4">
      <c r="A3171" t="s">
        <v>4788</v>
      </c>
      <c r="B3171" t="s">
        <v>366</v>
      </c>
      <c r="C3171" t="s">
        <v>7432</v>
      </c>
      <c r="D3171">
        <v>41.702903</v>
      </c>
    </row>
    <row r="3172" spans="1:4">
      <c r="A3172" t="s">
        <v>4789</v>
      </c>
      <c r="B3172" t="s">
        <v>366</v>
      </c>
      <c r="C3172" t="s">
        <v>7433</v>
      </c>
      <c r="D3172">
        <v>215.58778</v>
      </c>
    </row>
    <row r="3173" spans="1:4">
      <c r="A3173" t="s">
        <v>4790</v>
      </c>
      <c r="B3173" t="s">
        <v>366</v>
      </c>
      <c r="C3173" t="s">
        <v>7434</v>
      </c>
      <c r="D3173">
        <v>9.731588</v>
      </c>
    </row>
    <row r="3174" spans="1:4">
      <c r="A3174" t="s">
        <v>4791</v>
      </c>
      <c r="B3174" t="s">
        <v>366</v>
      </c>
      <c r="C3174" t="s">
        <v>7435</v>
      </c>
      <c r="D3174">
        <v>0.117918</v>
      </c>
    </row>
    <row r="3175" spans="1:4">
      <c r="A3175" t="s">
        <v>4792</v>
      </c>
      <c r="B3175" t="s">
        <v>366</v>
      </c>
      <c r="C3175" t="s">
        <v>7436</v>
      </c>
      <c r="D3175">
        <v>6.841919</v>
      </c>
    </row>
    <row r="3176" spans="1:4">
      <c r="A3176" t="s">
        <v>4793</v>
      </c>
      <c r="B3176" t="s">
        <v>366</v>
      </c>
      <c r="C3176" t="s">
        <v>7437</v>
      </c>
      <c r="D3176">
        <v>0.084951</v>
      </c>
    </row>
    <row r="3177" spans="1:4">
      <c r="A3177" t="s">
        <v>4794</v>
      </c>
      <c r="B3177" t="s">
        <v>366</v>
      </c>
      <c r="C3177" t="s">
        <v>399</v>
      </c>
      <c r="D3177">
        <v>308.0217</v>
      </c>
    </row>
    <row r="3178" spans="1:4">
      <c r="A3178" t="s">
        <v>4795</v>
      </c>
      <c r="B3178" t="s">
        <v>366</v>
      </c>
      <c r="C3178" t="s">
        <v>7438</v>
      </c>
      <c r="D3178">
        <v>7.690438</v>
      </c>
    </row>
    <row r="3179" spans="1:4">
      <c r="A3179" t="s">
        <v>4796</v>
      </c>
      <c r="B3179" t="s">
        <v>366</v>
      </c>
      <c r="C3179" t="s">
        <v>7439</v>
      </c>
      <c r="D3179">
        <v>0.025434</v>
      </c>
    </row>
    <row r="3180" spans="1:4">
      <c r="A3180" t="s">
        <v>4797</v>
      </c>
      <c r="B3180" t="s">
        <v>366</v>
      </c>
      <c r="C3180" t="s">
        <v>7440</v>
      </c>
      <c r="D3180">
        <v>0.501492</v>
      </c>
    </row>
    <row r="3181" spans="1:4">
      <c r="A3181" t="s">
        <v>4798</v>
      </c>
      <c r="B3181" t="s">
        <v>366</v>
      </c>
      <c r="C3181" t="s">
        <v>7441</v>
      </c>
      <c r="D3181">
        <v>0.011736</v>
      </c>
    </row>
    <row r="3182" spans="1:4">
      <c r="A3182" t="s">
        <v>4799</v>
      </c>
      <c r="B3182" t="s">
        <v>366</v>
      </c>
      <c r="C3182" t="s">
        <v>7442</v>
      </c>
      <c r="D3182">
        <v>2.595203</v>
      </c>
    </row>
    <row r="3183" spans="1:4">
      <c r="A3183" t="s">
        <v>4800</v>
      </c>
      <c r="B3183" t="s">
        <v>366</v>
      </c>
      <c r="C3183" t="s">
        <v>7443</v>
      </c>
      <c r="D3183">
        <v>113.086298</v>
      </c>
    </row>
    <row r="3184" spans="1:4">
      <c r="A3184" t="s">
        <v>4801</v>
      </c>
      <c r="B3184" t="s">
        <v>366</v>
      </c>
      <c r="C3184" t="s">
        <v>7444</v>
      </c>
      <c r="D3184">
        <v>0.537017</v>
      </c>
    </row>
    <row r="3185" spans="1:4">
      <c r="A3185" t="s">
        <v>4802</v>
      </c>
      <c r="B3185" t="s">
        <v>366</v>
      </c>
      <c r="C3185" t="s">
        <v>7445</v>
      </c>
      <c r="D3185">
        <v>114.082359</v>
      </c>
    </row>
    <row r="3186" spans="1:4">
      <c r="A3186" t="s">
        <v>4803</v>
      </c>
      <c r="B3186" t="s">
        <v>366</v>
      </c>
      <c r="C3186" t="s">
        <v>7446</v>
      </c>
      <c r="D3186">
        <v>172.079548</v>
      </c>
    </row>
    <row r="3187" spans="1:4">
      <c r="A3187" t="s">
        <v>4804</v>
      </c>
      <c r="B3187" t="s">
        <v>366</v>
      </c>
      <c r="C3187" t="s">
        <v>7447</v>
      </c>
      <c r="D3187">
        <v>417.912461</v>
      </c>
    </row>
    <row r="3188" spans="1:4">
      <c r="A3188" t="s">
        <v>4805</v>
      </c>
      <c r="B3188" t="s">
        <v>366</v>
      </c>
      <c r="C3188" t="s">
        <v>7448</v>
      </c>
      <c r="D3188">
        <v>0.537017</v>
      </c>
    </row>
    <row r="3189" spans="1:4">
      <c r="A3189" t="s">
        <v>4806</v>
      </c>
      <c r="B3189" t="s">
        <v>366</v>
      </c>
      <c r="C3189" t="s">
        <v>7449</v>
      </c>
      <c r="D3189">
        <v>2.951933</v>
      </c>
    </row>
    <row r="3190" spans="1:4">
      <c r="A3190" t="s">
        <v>4807</v>
      </c>
      <c r="B3190" t="s">
        <v>366</v>
      </c>
      <c r="C3190" t="s">
        <v>7450</v>
      </c>
      <c r="D3190">
        <v>1.292319</v>
      </c>
    </row>
    <row r="3191" spans="1:4">
      <c r="A3191" t="s">
        <v>4808</v>
      </c>
      <c r="B3191" t="s">
        <v>366</v>
      </c>
      <c r="C3191" t="s">
        <v>7318</v>
      </c>
      <c r="D3191">
        <v>18.785095</v>
      </c>
    </row>
    <row r="3192" spans="1:4">
      <c r="A3192" t="s">
        <v>4809</v>
      </c>
      <c r="B3192" t="s">
        <v>366</v>
      </c>
      <c r="C3192" t="s">
        <v>7451</v>
      </c>
      <c r="D3192">
        <v>17.202845</v>
      </c>
    </row>
    <row r="3193" spans="1:4">
      <c r="A3193" t="s">
        <v>4810</v>
      </c>
      <c r="B3193" t="s">
        <v>366</v>
      </c>
      <c r="C3193" t="s">
        <v>7452</v>
      </c>
      <c r="D3193">
        <v>11.484033</v>
      </c>
    </row>
    <row r="3194" spans="1:4">
      <c r="A3194" t="s">
        <v>4811</v>
      </c>
      <c r="B3194" t="s">
        <v>366</v>
      </c>
      <c r="C3194" t="s">
        <v>7453</v>
      </c>
      <c r="D3194">
        <v>11.484033</v>
      </c>
    </row>
    <row r="3195" spans="1:4">
      <c r="A3195" t="s">
        <v>4812</v>
      </c>
      <c r="B3195" t="s">
        <v>367</v>
      </c>
      <c r="C3195" t="s">
        <v>397</v>
      </c>
      <c r="D3195">
        <v>355.043551</v>
      </c>
    </row>
    <row r="3196" spans="1:4">
      <c r="A3196" t="s">
        <v>4813</v>
      </c>
      <c r="B3196" t="s">
        <v>367</v>
      </c>
      <c r="C3196" t="s">
        <v>7319</v>
      </c>
      <c r="D3196">
        <v>84.87767100000001</v>
      </c>
    </row>
    <row r="3197" spans="1:4">
      <c r="A3197" t="s">
        <v>4814</v>
      </c>
      <c r="B3197" t="s">
        <v>367</v>
      </c>
      <c r="C3197" t="s">
        <v>7320</v>
      </c>
      <c r="D3197">
        <v>4.866743</v>
      </c>
    </row>
    <row r="3198" spans="1:4">
      <c r="A3198" t="s">
        <v>4815</v>
      </c>
      <c r="B3198" t="s">
        <v>367</v>
      </c>
      <c r="C3198" t="s">
        <v>7321</v>
      </c>
      <c r="D3198">
        <v>3.762011</v>
      </c>
    </row>
    <row r="3199" spans="1:4">
      <c r="A3199" t="s">
        <v>4816</v>
      </c>
      <c r="B3199" t="s">
        <v>367</v>
      </c>
      <c r="C3199" t="s">
        <v>7322</v>
      </c>
      <c r="D3199">
        <v>0.845391</v>
      </c>
    </row>
    <row r="3200" spans="1:4">
      <c r="A3200" t="s">
        <v>4817</v>
      </c>
      <c r="B3200" t="s">
        <v>367</v>
      </c>
      <c r="C3200" t="s">
        <v>7323</v>
      </c>
      <c r="D3200">
        <v>174.141515</v>
      </c>
    </row>
    <row r="3201" spans="1:4">
      <c r="A3201" t="s">
        <v>4818</v>
      </c>
      <c r="B3201" t="s">
        <v>367</v>
      </c>
      <c r="C3201" t="s">
        <v>7324</v>
      </c>
      <c r="D3201">
        <v>0.327486</v>
      </c>
    </row>
    <row r="3202" spans="1:4">
      <c r="A3202" t="s">
        <v>4819</v>
      </c>
      <c r="B3202" t="s">
        <v>367</v>
      </c>
      <c r="C3202" t="s">
        <v>7325</v>
      </c>
      <c r="D3202">
        <v>0.212062</v>
      </c>
    </row>
    <row r="3203" spans="1:4">
      <c r="A3203" t="s">
        <v>4820</v>
      </c>
      <c r="B3203" t="s">
        <v>367</v>
      </c>
      <c r="C3203" t="s">
        <v>7292</v>
      </c>
      <c r="D3203">
        <v>215.84861</v>
      </c>
    </row>
    <row r="3204" spans="1:4">
      <c r="A3204" t="s">
        <v>4821</v>
      </c>
      <c r="B3204" t="s">
        <v>367</v>
      </c>
      <c r="C3204" t="s">
        <v>7326</v>
      </c>
      <c r="D3204">
        <v>174.141515</v>
      </c>
    </row>
    <row r="3205" spans="1:4">
      <c r="A3205" t="s">
        <v>4822</v>
      </c>
      <c r="B3205" t="s">
        <v>367</v>
      </c>
      <c r="C3205" t="s">
        <v>7327</v>
      </c>
      <c r="D3205">
        <v>183.000348</v>
      </c>
    </row>
    <row r="3206" spans="1:4">
      <c r="A3206" t="s">
        <v>4823</v>
      </c>
      <c r="B3206" t="s">
        <v>367</v>
      </c>
      <c r="C3206" t="s">
        <v>7328</v>
      </c>
      <c r="D3206">
        <v>181.530885</v>
      </c>
    </row>
    <row r="3207" spans="1:4">
      <c r="A3207" t="s">
        <v>4824</v>
      </c>
      <c r="B3207" t="s">
        <v>367</v>
      </c>
      <c r="C3207" t="s">
        <v>7329</v>
      </c>
      <c r="D3207">
        <v>155.856615</v>
      </c>
    </row>
    <row r="3208" spans="1:4">
      <c r="A3208" t="s">
        <v>4825</v>
      </c>
      <c r="B3208" t="s">
        <v>367</v>
      </c>
      <c r="C3208" t="s">
        <v>7330</v>
      </c>
      <c r="D3208">
        <v>2.536788</v>
      </c>
    </row>
    <row r="3209" spans="1:4">
      <c r="A3209" t="s">
        <v>4826</v>
      </c>
      <c r="B3209" t="s">
        <v>367</v>
      </c>
      <c r="C3209" t="s">
        <v>398</v>
      </c>
      <c r="D3209">
        <v>181.530885</v>
      </c>
    </row>
    <row r="3210" spans="1:4">
      <c r="A3210" t="s">
        <v>4827</v>
      </c>
      <c r="B3210" t="s">
        <v>367</v>
      </c>
      <c r="C3210" t="s">
        <v>7331</v>
      </c>
      <c r="D3210">
        <v>829.023836</v>
      </c>
    </row>
    <row r="3211" spans="1:4">
      <c r="A3211" t="s">
        <v>4828</v>
      </c>
      <c r="B3211" t="s">
        <v>367</v>
      </c>
      <c r="C3211" t="s">
        <v>7332</v>
      </c>
      <c r="D3211">
        <v>0.103925</v>
      </c>
    </row>
    <row r="3212" spans="1:4">
      <c r="A3212" t="s">
        <v>4829</v>
      </c>
      <c r="B3212" t="s">
        <v>367</v>
      </c>
      <c r="C3212" t="s">
        <v>7333</v>
      </c>
      <c r="D3212">
        <v>311.71323</v>
      </c>
    </row>
    <row r="3213" spans="1:4">
      <c r="A3213" t="s">
        <v>4830</v>
      </c>
      <c r="B3213" t="s">
        <v>367</v>
      </c>
      <c r="C3213" t="s">
        <v>7334</v>
      </c>
      <c r="D3213">
        <v>240.469794</v>
      </c>
    </row>
    <row r="3214" spans="1:4">
      <c r="A3214" t="s">
        <v>4831</v>
      </c>
      <c r="B3214" t="s">
        <v>367</v>
      </c>
      <c r="C3214" t="s">
        <v>7335</v>
      </c>
      <c r="D3214">
        <v>44.977236</v>
      </c>
    </row>
    <row r="3215" spans="1:4">
      <c r="A3215" t="s">
        <v>4832</v>
      </c>
      <c r="B3215" t="s">
        <v>367</v>
      </c>
      <c r="C3215" t="s">
        <v>7293</v>
      </c>
      <c r="D3215">
        <v>60.252884</v>
      </c>
    </row>
    <row r="3216" spans="1:4">
      <c r="A3216" t="s">
        <v>4833</v>
      </c>
      <c r="B3216" t="s">
        <v>367</v>
      </c>
      <c r="C3216" t="s">
        <v>7336</v>
      </c>
      <c r="D3216">
        <v>311.71323</v>
      </c>
    </row>
    <row r="3217" spans="1:4">
      <c r="A3217" t="s">
        <v>4834</v>
      </c>
      <c r="B3217" t="s">
        <v>367</v>
      </c>
      <c r="C3217" t="s">
        <v>7337</v>
      </c>
      <c r="D3217">
        <v>3.291154</v>
      </c>
    </row>
    <row r="3218" spans="1:4">
      <c r="A3218" t="s">
        <v>4835</v>
      </c>
      <c r="B3218" t="s">
        <v>367</v>
      </c>
      <c r="C3218" t="s">
        <v>7338</v>
      </c>
      <c r="D3218">
        <v>22.175209</v>
      </c>
    </row>
    <row r="3219" spans="1:4">
      <c r="A3219" t="s">
        <v>4836</v>
      </c>
      <c r="B3219" t="s">
        <v>367</v>
      </c>
      <c r="C3219" t="s">
        <v>7339</v>
      </c>
      <c r="D3219">
        <v>110.799315</v>
      </c>
    </row>
    <row r="3220" spans="1:4">
      <c r="A3220" t="s">
        <v>4837</v>
      </c>
      <c r="B3220" t="s">
        <v>367</v>
      </c>
      <c r="C3220" t="s">
        <v>7340</v>
      </c>
      <c r="D3220">
        <v>155.856615</v>
      </c>
    </row>
    <row r="3221" spans="1:4">
      <c r="A3221" t="s">
        <v>4838</v>
      </c>
      <c r="B3221" t="s">
        <v>367</v>
      </c>
      <c r="C3221" t="s">
        <v>7294</v>
      </c>
      <c r="D3221">
        <v>219.583011</v>
      </c>
    </row>
    <row r="3222" spans="1:4">
      <c r="A3222" t="s">
        <v>4839</v>
      </c>
      <c r="B3222" t="s">
        <v>367</v>
      </c>
      <c r="C3222" t="s">
        <v>7341</v>
      </c>
      <c r="D3222">
        <v>0.135349</v>
      </c>
    </row>
    <row r="3223" spans="1:4">
      <c r="A3223" t="s">
        <v>4840</v>
      </c>
      <c r="B3223" t="s">
        <v>367</v>
      </c>
      <c r="C3223" t="s">
        <v>7295</v>
      </c>
      <c r="D3223">
        <v>385.046364</v>
      </c>
    </row>
    <row r="3224" spans="1:4">
      <c r="A3224" t="s">
        <v>4841</v>
      </c>
      <c r="B3224" t="s">
        <v>367</v>
      </c>
      <c r="C3224" t="s">
        <v>7342</v>
      </c>
      <c r="D3224">
        <v>13571.482397</v>
      </c>
    </row>
    <row r="3225" spans="1:4">
      <c r="A3225" t="s">
        <v>4842</v>
      </c>
      <c r="B3225" t="s">
        <v>367</v>
      </c>
      <c r="C3225" t="s">
        <v>7343</v>
      </c>
      <c r="D3225">
        <v>0.343353</v>
      </c>
    </row>
    <row r="3226" spans="1:4">
      <c r="A3226" t="s">
        <v>4843</v>
      </c>
      <c r="B3226" t="s">
        <v>367</v>
      </c>
      <c r="C3226" t="s">
        <v>7344</v>
      </c>
      <c r="D3226">
        <v>45.911964</v>
      </c>
    </row>
    <row r="3227" spans="1:4">
      <c r="A3227" t="s">
        <v>4844</v>
      </c>
      <c r="B3227" t="s">
        <v>367</v>
      </c>
      <c r="C3227" t="s">
        <v>7296</v>
      </c>
      <c r="D3227">
        <v>45.854334</v>
      </c>
    </row>
    <row r="3228" spans="1:4">
      <c r="A3228" t="s">
        <v>4845</v>
      </c>
      <c r="B3228" t="s">
        <v>367</v>
      </c>
      <c r="C3228" t="s">
        <v>7345</v>
      </c>
      <c r="D3228">
        <v>0.090729</v>
      </c>
    </row>
    <row r="3229" spans="1:4">
      <c r="A3229" t="s">
        <v>4846</v>
      </c>
      <c r="B3229" t="s">
        <v>367</v>
      </c>
      <c r="C3229" t="s">
        <v>7346</v>
      </c>
      <c r="D3229">
        <v>0.684756</v>
      </c>
    </row>
    <row r="3230" spans="1:4">
      <c r="A3230" t="s">
        <v>4847</v>
      </c>
      <c r="B3230" t="s">
        <v>367</v>
      </c>
      <c r="C3230" t="s">
        <v>7347</v>
      </c>
      <c r="D3230">
        <v>12.988052</v>
      </c>
    </row>
    <row r="3231" spans="1:4">
      <c r="A3231" t="s">
        <v>4848</v>
      </c>
      <c r="B3231" t="s">
        <v>367</v>
      </c>
      <c r="C3231" t="s">
        <v>7348</v>
      </c>
      <c r="D3231">
        <v>3.219912</v>
      </c>
    </row>
    <row r="3232" spans="1:4">
      <c r="A3232" t="s">
        <v>4849</v>
      </c>
      <c r="B3232" t="s">
        <v>367</v>
      </c>
      <c r="C3232" t="s">
        <v>7297</v>
      </c>
      <c r="D3232">
        <v>14.664285</v>
      </c>
    </row>
    <row r="3233" spans="1:4">
      <c r="A3233" t="s">
        <v>4850</v>
      </c>
      <c r="B3233" t="s">
        <v>367</v>
      </c>
      <c r="C3233" t="s">
        <v>7349</v>
      </c>
      <c r="D3233">
        <v>1.753947</v>
      </c>
    </row>
    <row r="3234" spans="1:4">
      <c r="A3234" t="s">
        <v>4851</v>
      </c>
      <c r="B3234" t="s">
        <v>367</v>
      </c>
      <c r="C3234" t="s">
        <v>7298</v>
      </c>
      <c r="D3234">
        <v>47.569752</v>
      </c>
    </row>
    <row r="3235" spans="1:4">
      <c r="A3235" t="s">
        <v>4852</v>
      </c>
      <c r="B3235" t="s">
        <v>367</v>
      </c>
      <c r="C3235" t="s">
        <v>7350</v>
      </c>
      <c r="D3235">
        <v>5.315087</v>
      </c>
    </row>
    <row r="3236" spans="1:4">
      <c r="A3236" t="s">
        <v>4853</v>
      </c>
      <c r="B3236" t="s">
        <v>367</v>
      </c>
      <c r="C3236" t="s">
        <v>7351</v>
      </c>
      <c r="D3236">
        <v>2.329785</v>
      </c>
    </row>
    <row r="3237" spans="1:4">
      <c r="A3237" t="s">
        <v>4854</v>
      </c>
      <c r="B3237" t="s">
        <v>367</v>
      </c>
      <c r="C3237" t="s">
        <v>7352</v>
      </c>
      <c r="D3237">
        <v>6.266787</v>
      </c>
    </row>
    <row r="3238" spans="1:4">
      <c r="A3238" t="s">
        <v>4855</v>
      </c>
      <c r="B3238" t="s">
        <v>367</v>
      </c>
      <c r="C3238" t="s">
        <v>7353</v>
      </c>
      <c r="D3238">
        <v>20.780883</v>
      </c>
    </row>
    <row r="3239" spans="1:4">
      <c r="A3239" t="s">
        <v>4856</v>
      </c>
      <c r="B3239" t="s">
        <v>367</v>
      </c>
      <c r="C3239" t="s">
        <v>7354</v>
      </c>
      <c r="D3239">
        <v>1.911813</v>
      </c>
    </row>
    <row r="3240" spans="1:4">
      <c r="A3240" t="s">
        <v>4857</v>
      </c>
      <c r="B3240" t="s">
        <v>367</v>
      </c>
      <c r="C3240" t="s">
        <v>7355</v>
      </c>
      <c r="D3240">
        <v>138.492131</v>
      </c>
    </row>
    <row r="3241" spans="1:4">
      <c r="A3241" t="s">
        <v>4858</v>
      </c>
      <c r="B3241" t="s">
        <v>367</v>
      </c>
      <c r="C3241" t="s">
        <v>7356</v>
      </c>
      <c r="D3241">
        <v>411.69052</v>
      </c>
    </row>
    <row r="3242" spans="1:4">
      <c r="A3242" t="s">
        <v>4859</v>
      </c>
      <c r="B3242" t="s">
        <v>367</v>
      </c>
      <c r="C3242" t="s">
        <v>7357</v>
      </c>
      <c r="D3242">
        <v>47.569765</v>
      </c>
    </row>
    <row r="3243" spans="1:4">
      <c r="A3243" t="s">
        <v>4860</v>
      </c>
      <c r="B3243" t="s">
        <v>367</v>
      </c>
      <c r="C3243" t="s">
        <v>7299</v>
      </c>
      <c r="D3243">
        <v>411.69052</v>
      </c>
    </row>
    <row r="3244" spans="1:4">
      <c r="A3244" t="s">
        <v>4861</v>
      </c>
      <c r="B3244" t="s">
        <v>367</v>
      </c>
      <c r="C3244" t="s">
        <v>7358</v>
      </c>
      <c r="D3244">
        <v>117.542099</v>
      </c>
    </row>
    <row r="3245" spans="1:4">
      <c r="A3245" t="s">
        <v>4862</v>
      </c>
      <c r="B3245" t="s">
        <v>367</v>
      </c>
      <c r="C3245" t="s">
        <v>7359</v>
      </c>
      <c r="D3245">
        <v>411.69052</v>
      </c>
    </row>
    <row r="3246" spans="1:4">
      <c r="A3246" t="s">
        <v>4863</v>
      </c>
      <c r="B3246" t="s">
        <v>367</v>
      </c>
      <c r="C3246" t="s">
        <v>7360</v>
      </c>
      <c r="D3246">
        <v>27.71379</v>
      </c>
    </row>
    <row r="3247" spans="1:4">
      <c r="A3247" t="s">
        <v>4864</v>
      </c>
      <c r="B3247" t="s">
        <v>367</v>
      </c>
      <c r="C3247" t="s">
        <v>7361</v>
      </c>
      <c r="D3247">
        <v>411.69052</v>
      </c>
    </row>
    <row r="3248" spans="1:4">
      <c r="A3248" t="s">
        <v>4865</v>
      </c>
      <c r="B3248" t="s">
        <v>367</v>
      </c>
      <c r="C3248" t="s">
        <v>7362</v>
      </c>
      <c r="D3248">
        <v>4.19437</v>
      </c>
    </row>
    <row r="3249" spans="1:4">
      <c r="A3249" t="s">
        <v>4866</v>
      </c>
      <c r="B3249" t="s">
        <v>367</v>
      </c>
      <c r="C3249" t="s">
        <v>7363</v>
      </c>
      <c r="D3249">
        <v>0.035469</v>
      </c>
    </row>
    <row r="3250" spans="1:4">
      <c r="A3250" t="s">
        <v>4867</v>
      </c>
      <c r="B3250" t="s">
        <v>367</v>
      </c>
      <c r="C3250" t="s">
        <v>7364</v>
      </c>
      <c r="D3250">
        <v>40.773404</v>
      </c>
    </row>
    <row r="3251" spans="1:4">
      <c r="A3251" t="s">
        <v>4868</v>
      </c>
      <c r="B3251" t="s">
        <v>367</v>
      </c>
      <c r="C3251" t="s">
        <v>7365</v>
      </c>
      <c r="D3251">
        <v>1.484798</v>
      </c>
    </row>
    <row r="3252" spans="1:4">
      <c r="A3252" t="s">
        <v>4869</v>
      </c>
      <c r="B3252" t="s">
        <v>367</v>
      </c>
      <c r="C3252" t="s">
        <v>7300</v>
      </c>
      <c r="D3252">
        <v>39.771276</v>
      </c>
    </row>
    <row r="3253" spans="1:4">
      <c r="A3253" t="s">
        <v>4870</v>
      </c>
      <c r="B3253" t="s">
        <v>367</v>
      </c>
      <c r="C3253" t="s">
        <v>7366</v>
      </c>
      <c r="D3253">
        <v>11.635341</v>
      </c>
    </row>
    <row r="3254" spans="1:4">
      <c r="A3254" t="s">
        <v>4871</v>
      </c>
      <c r="B3254" t="s">
        <v>367</v>
      </c>
      <c r="C3254" t="s">
        <v>7367</v>
      </c>
      <c r="D3254">
        <v>47.122377</v>
      </c>
    </row>
    <row r="3255" spans="1:4">
      <c r="A3255" t="s">
        <v>4872</v>
      </c>
      <c r="B3255" t="s">
        <v>367</v>
      </c>
      <c r="C3255" t="s">
        <v>7368</v>
      </c>
      <c r="D3255">
        <v>2.376687</v>
      </c>
    </row>
    <row r="3256" spans="1:4">
      <c r="A3256" t="s">
        <v>4873</v>
      </c>
      <c r="B3256" t="s">
        <v>367</v>
      </c>
      <c r="C3256" t="s">
        <v>7301</v>
      </c>
      <c r="D3256">
        <v>0.017484</v>
      </c>
    </row>
    <row r="3257" spans="1:4">
      <c r="A3257" t="s">
        <v>4874</v>
      </c>
      <c r="B3257" t="s">
        <v>367</v>
      </c>
      <c r="C3257" t="s">
        <v>7302</v>
      </c>
      <c r="D3257">
        <v>104.1043</v>
      </c>
    </row>
    <row r="3258" spans="1:4">
      <c r="A3258" t="s">
        <v>4875</v>
      </c>
      <c r="B3258" t="s">
        <v>367</v>
      </c>
      <c r="C3258" t="s">
        <v>7369</v>
      </c>
      <c r="D3258">
        <v>411.69052</v>
      </c>
    </row>
    <row r="3259" spans="1:4">
      <c r="A3259" t="s">
        <v>4876</v>
      </c>
      <c r="B3259" t="s">
        <v>367</v>
      </c>
      <c r="C3259" t="s">
        <v>7303</v>
      </c>
      <c r="D3259">
        <v>3.291147</v>
      </c>
    </row>
    <row r="3260" spans="1:4">
      <c r="A3260" t="s">
        <v>4877</v>
      </c>
      <c r="B3260" t="s">
        <v>367</v>
      </c>
      <c r="C3260" t="s">
        <v>7370</v>
      </c>
      <c r="D3260">
        <v>0.237366</v>
      </c>
    </row>
    <row r="3261" spans="1:4">
      <c r="A3261" t="s">
        <v>4878</v>
      </c>
      <c r="B3261" t="s">
        <v>367</v>
      </c>
      <c r="C3261" t="s">
        <v>7371</v>
      </c>
      <c r="D3261">
        <v>0.000227</v>
      </c>
    </row>
    <row r="3262" spans="1:4">
      <c r="A3262" t="s">
        <v>4879</v>
      </c>
      <c r="B3262" t="s">
        <v>367</v>
      </c>
      <c r="C3262" t="s">
        <v>7304</v>
      </c>
      <c r="D3262">
        <v>2.465516</v>
      </c>
    </row>
    <row r="3263" spans="1:4">
      <c r="A3263" t="s">
        <v>4880</v>
      </c>
      <c r="B3263" t="s">
        <v>367</v>
      </c>
      <c r="C3263" t="s">
        <v>7372</v>
      </c>
      <c r="D3263">
        <v>411.69052</v>
      </c>
    </row>
    <row r="3264" spans="1:4">
      <c r="A3264" t="s">
        <v>4881</v>
      </c>
      <c r="B3264" t="s">
        <v>367</v>
      </c>
      <c r="C3264" t="s">
        <v>7373</v>
      </c>
      <c r="D3264">
        <v>1.970669</v>
      </c>
    </row>
    <row r="3265" spans="1:4">
      <c r="A3265" t="s">
        <v>4882</v>
      </c>
      <c r="B3265" t="s">
        <v>367</v>
      </c>
      <c r="C3265" t="s">
        <v>7374</v>
      </c>
      <c r="D3265">
        <v>439.651926</v>
      </c>
    </row>
    <row r="3266" spans="1:4">
      <c r="A3266" t="s">
        <v>4883</v>
      </c>
      <c r="B3266" t="s">
        <v>367</v>
      </c>
      <c r="C3266" t="s">
        <v>7305</v>
      </c>
      <c r="D3266">
        <v>1.929574</v>
      </c>
    </row>
    <row r="3267" spans="1:4">
      <c r="A3267" t="s">
        <v>4884</v>
      </c>
      <c r="B3267" t="s">
        <v>367</v>
      </c>
      <c r="C3267" t="s">
        <v>7375</v>
      </c>
      <c r="D3267">
        <v>2.402844</v>
      </c>
    </row>
    <row r="3268" spans="1:4">
      <c r="A3268" t="s">
        <v>4885</v>
      </c>
      <c r="B3268" t="s">
        <v>367</v>
      </c>
      <c r="C3268" t="s">
        <v>7376</v>
      </c>
      <c r="D3268">
        <v>3.55838</v>
      </c>
    </row>
    <row r="3269" spans="1:4">
      <c r="A3269" t="s">
        <v>4886</v>
      </c>
      <c r="B3269" t="s">
        <v>367</v>
      </c>
      <c r="C3269" t="s">
        <v>7377</v>
      </c>
      <c r="D3269">
        <v>0.076765</v>
      </c>
    </row>
    <row r="3270" spans="1:4">
      <c r="A3270" t="s">
        <v>4887</v>
      </c>
      <c r="B3270" t="s">
        <v>367</v>
      </c>
      <c r="C3270" t="s">
        <v>7378</v>
      </c>
      <c r="D3270">
        <v>215.849135</v>
      </c>
    </row>
    <row r="3271" spans="1:4">
      <c r="A3271" t="s">
        <v>4888</v>
      </c>
      <c r="B3271" t="s">
        <v>367</v>
      </c>
      <c r="C3271" t="s">
        <v>7379</v>
      </c>
      <c r="D3271">
        <v>0.721681</v>
      </c>
    </row>
    <row r="3272" spans="1:4">
      <c r="A3272" t="s">
        <v>4889</v>
      </c>
      <c r="B3272" t="s">
        <v>367</v>
      </c>
      <c r="C3272" t="s">
        <v>7306</v>
      </c>
      <c r="D3272">
        <v>0.202937</v>
      </c>
    </row>
    <row r="3273" spans="1:4">
      <c r="A3273" t="s">
        <v>4890</v>
      </c>
      <c r="B3273" t="s">
        <v>367</v>
      </c>
      <c r="C3273" t="s">
        <v>7380</v>
      </c>
      <c r="D3273">
        <v>1009.592945</v>
      </c>
    </row>
    <row r="3274" spans="1:4">
      <c r="A3274" t="s">
        <v>4891</v>
      </c>
      <c r="B3274" t="s">
        <v>367</v>
      </c>
      <c r="C3274" t="s">
        <v>7381</v>
      </c>
      <c r="D3274">
        <v>374.056073</v>
      </c>
    </row>
    <row r="3275" spans="1:4">
      <c r="A3275" t="s">
        <v>4892</v>
      </c>
      <c r="B3275" t="s">
        <v>367</v>
      </c>
      <c r="C3275" t="s">
        <v>7382</v>
      </c>
      <c r="D3275">
        <v>0.640518</v>
      </c>
    </row>
    <row r="3276" spans="1:4">
      <c r="A3276" t="s">
        <v>4893</v>
      </c>
      <c r="B3276" t="s">
        <v>367</v>
      </c>
      <c r="C3276" t="s">
        <v>7383</v>
      </c>
      <c r="D3276">
        <v>0.0141</v>
      </c>
    </row>
    <row r="3277" spans="1:4">
      <c r="A3277" t="s">
        <v>4894</v>
      </c>
      <c r="B3277" t="s">
        <v>367</v>
      </c>
      <c r="C3277" t="s">
        <v>7384</v>
      </c>
      <c r="D3277">
        <v>0.003483</v>
      </c>
    </row>
    <row r="3278" spans="1:4">
      <c r="A3278" t="s">
        <v>4895</v>
      </c>
      <c r="B3278" t="s">
        <v>367</v>
      </c>
      <c r="C3278" t="s">
        <v>7385</v>
      </c>
      <c r="D3278">
        <v>0.931652</v>
      </c>
    </row>
    <row r="3279" spans="1:4">
      <c r="A3279" t="s">
        <v>4896</v>
      </c>
      <c r="B3279" t="s">
        <v>367</v>
      </c>
      <c r="C3279" t="s">
        <v>7386</v>
      </c>
      <c r="D3279">
        <v>1.707383</v>
      </c>
    </row>
    <row r="3280" spans="1:4">
      <c r="A3280" t="s">
        <v>4897</v>
      </c>
      <c r="B3280" t="s">
        <v>367</v>
      </c>
      <c r="C3280" t="s">
        <v>7387</v>
      </c>
      <c r="D3280">
        <v>18.875471</v>
      </c>
    </row>
    <row r="3281" spans="1:4">
      <c r="A3281" t="s">
        <v>4898</v>
      </c>
      <c r="B3281" t="s">
        <v>367</v>
      </c>
      <c r="C3281" t="s">
        <v>7388</v>
      </c>
      <c r="D3281">
        <v>48.451899</v>
      </c>
    </row>
    <row r="3282" spans="1:4">
      <c r="A3282" t="s">
        <v>4899</v>
      </c>
      <c r="B3282" t="s">
        <v>367</v>
      </c>
      <c r="C3282" t="s">
        <v>7389</v>
      </c>
      <c r="D3282">
        <v>33.261141</v>
      </c>
    </row>
    <row r="3283" spans="1:4">
      <c r="A3283" t="s">
        <v>4900</v>
      </c>
      <c r="B3283" t="s">
        <v>367</v>
      </c>
      <c r="C3283" t="s">
        <v>7390</v>
      </c>
      <c r="D3283">
        <v>17.708076</v>
      </c>
    </row>
    <row r="3284" spans="1:4">
      <c r="A3284" t="s">
        <v>4901</v>
      </c>
      <c r="B3284" t="s">
        <v>367</v>
      </c>
      <c r="C3284" t="s">
        <v>7391</v>
      </c>
      <c r="D3284">
        <v>0.073312</v>
      </c>
    </row>
    <row r="3285" spans="1:4">
      <c r="A3285" t="s">
        <v>4902</v>
      </c>
      <c r="B3285" t="s">
        <v>367</v>
      </c>
      <c r="C3285" t="s">
        <v>7392</v>
      </c>
      <c r="D3285">
        <v>5.759645</v>
      </c>
    </row>
    <row r="3286" spans="1:4">
      <c r="A3286" t="s">
        <v>4903</v>
      </c>
      <c r="B3286" t="s">
        <v>367</v>
      </c>
      <c r="C3286" t="s">
        <v>7393</v>
      </c>
      <c r="D3286">
        <v>0.147916</v>
      </c>
    </row>
    <row r="3287" spans="1:4">
      <c r="A3287" t="s">
        <v>4904</v>
      </c>
      <c r="B3287" t="s">
        <v>367</v>
      </c>
      <c r="C3287" t="s">
        <v>7394</v>
      </c>
      <c r="D3287">
        <v>0.087357</v>
      </c>
    </row>
    <row r="3288" spans="1:4">
      <c r="A3288" t="s">
        <v>4905</v>
      </c>
      <c r="B3288" t="s">
        <v>367</v>
      </c>
      <c r="C3288" t="s">
        <v>7395</v>
      </c>
      <c r="D3288">
        <v>38.612919</v>
      </c>
    </row>
    <row r="3289" spans="1:4">
      <c r="A3289" t="s">
        <v>4906</v>
      </c>
      <c r="B3289" t="s">
        <v>367</v>
      </c>
      <c r="C3289" t="s">
        <v>7396</v>
      </c>
      <c r="D3289">
        <v>7.751253</v>
      </c>
    </row>
    <row r="3290" spans="1:4">
      <c r="A3290" t="s">
        <v>4907</v>
      </c>
      <c r="B3290" t="s">
        <v>367</v>
      </c>
      <c r="C3290" t="s">
        <v>7397</v>
      </c>
      <c r="D3290">
        <v>6.51425</v>
      </c>
    </row>
    <row r="3291" spans="1:4">
      <c r="A3291" t="s">
        <v>4908</v>
      </c>
      <c r="B3291" t="s">
        <v>367</v>
      </c>
      <c r="C3291" t="s">
        <v>7398</v>
      </c>
      <c r="D3291">
        <v>20.115512</v>
      </c>
    </row>
    <row r="3292" spans="1:4">
      <c r="A3292" t="s">
        <v>4909</v>
      </c>
      <c r="B3292" t="s">
        <v>367</v>
      </c>
      <c r="C3292" t="s">
        <v>7399</v>
      </c>
      <c r="D3292">
        <v>0.17832</v>
      </c>
    </row>
    <row r="3293" spans="1:4">
      <c r="A3293" t="s">
        <v>4910</v>
      </c>
      <c r="B3293" t="s">
        <v>367</v>
      </c>
      <c r="C3293" t="s">
        <v>7307</v>
      </c>
      <c r="D3293">
        <v>17.782434</v>
      </c>
    </row>
    <row r="3294" spans="1:4">
      <c r="A3294" t="s">
        <v>4911</v>
      </c>
      <c r="B3294" t="s">
        <v>367</v>
      </c>
      <c r="C3294" t="s">
        <v>7308</v>
      </c>
      <c r="D3294">
        <v>75.238801</v>
      </c>
    </row>
    <row r="3295" spans="1:4">
      <c r="A3295" t="s">
        <v>4912</v>
      </c>
      <c r="B3295" t="s">
        <v>367</v>
      </c>
      <c r="C3295" t="s">
        <v>7400</v>
      </c>
      <c r="D3295">
        <v>4.879003</v>
      </c>
    </row>
    <row r="3296" spans="1:4">
      <c r="A3296" t="s">
        <v>4913</v>
      </c>
      <c r="B3296" t="s">
        <v>367</v>
      </c>
      <c r="C3296" t="s">
        <v>7401</v>
      </c>
      <c r="D3296">
        <v>18.875471</v>
      </c>
    </row>
    <row r="3297" spans="1:4">
      <c r="A3297" t="s">
        <v>4914</v>
      </c>
      <c r="B3297" t="s">
        <v>367</v>
      </c>
      <c r="C3297" t="s">
        <v>7402</v>
      </c>
      <c r="D3297">
        <v>0.2289</v>
      </c>
    </row>
    <row r="3298" spans="1:4">
      <c r="A3298" t="s">
        <v>4915</v>
      </c>
      <c r="B3298" t="s">
        <v>367</v>
      </c>
      <c r="C3298" t="s">
        <v>7403</v>
      </c>
      <c r="D3298">
        <v>8.451361</v>
      </c>
    </row>
    <row r="3299" spans="1:4">
      <c r="A3299" t="s">
        <v>4916</v>
      </c>
      <c r="B3299" t="s">
        <v>367</v>
      </c>
      <c r="C3299" t="s">
        <v>7309</v>
      </c>
      <c r="D3299">
        <v>31.862832</v>
      </c>
    </row>
    <row r="3300" spans="1:4">
      <c r="A3300" t="s">
        <v>4917</v>
      </c>
      <c r="B3300" t="s">
        <v>367</v>
      </c>
      <c r="C3300" t="s">
        <v>7404</v>
      </c>
      <c r="D3300">
        <v>2.056971</v>
      </c>
    </row>
    <row r="3301" spans="1:4">
      <c r="A3301" t="s">
        <v>4918</v>
      </c>
      <c r="B3301" t="s">
        <v>367</v>
      </c>
      <c r="C3301" t="s">
        <v>7310</v>
      </c>
      <c r="D3301">
        <v>176.839617</v>
      </c>
    </row>
    <row r="3302" spans="1:4">
      <c r="A3302" t="s">
        <v>4919</v>
      </c>
      <c r="B3302" t="s">
        <v>367</v>
      </c>
      <c r="C3302" t="s">
        <v>7405</v>
      </c>
      <c r="D3302">
        <v>810.703515</v>
      </c>
    </row>
    <row r="3303" spans="1:4">
      <c r="A3303" t="s">
        <v>4920</v>
      </c>
      <c r="B3303" t="s">
        <v>367</v>
      </c>
      <c r="C3303" t="s">
        <v>7406</v>
      </c>
      <c r="D3303">
        <v>311.71323</v>
      </c>
    </row>
    <row r="3304" spans="1:4">
      <c r="A3304" t="s">
        <v>4921</v>
      </c>
      <c r="B3304" t="s">
        <v>367</v>
      </c>
      <c r="C3304" t="s">
        <v>7407</v>
      </c>
      <c r="D3304">
        <v>91.775744</v>
      </c>
    </row>
    <row r="3305" spans="1:4">
      <c r="A3305" t="s">
        <v>4922</v>
      </c>
      <c r="B3305" t="s">
        <v>367</v>
      </c>
      <c r="C3305" t="s">
        <v>7408</v>
      </c>
      <c r="D3305">
        <v>70.95759200000001</v>
      </c>
    </row>
    <row r="3306" spans="1:4">
      <c r="A3306" t="s">
        <v>4923</v>
      </c>
      <c r="B3306" t="s">
        <v>367</v>
      </c>
      <c r="C3306" t="s">
        <v>7311</v>
      </c>
      <c r="D3306">
        <v>5.097305</v>
      </c>
    </row>
    <row r="3307" spans="1:4">
      <c r="A3307" t="s">
        <v>4924</v>
      </c>
      <c r="B3307" t="s">
        <v>367</v>
      </c>
      <c r="C3307" t="s">
        <v>7409</v>
      </c>
      <c r="D3307">
        <v>1.119625</v>
      </c>
    </row>
    <row r="3308" spans="1:4">
      <c r="A3308" t="s">
        <v>4925</v>
      </c>
      <c r="B3308" t="s">
        <v>367</v>
      </c>
      <c r="C3308" t="s">
        <v>7312</v>
      </c>
      <c r="D3308">
        <v>82.907494</v>
      </c>
    </row>
    <row r="3309" spans="1:4">
      <c r="A3309" t="s">
        <v>4926</v>
      </c>
      <c r="B3309" t="s">
        <v>367</v>
      </c>
      <c r="C3309" t="s">
        <v>7410</v>
      </c>
      <c r="D3309">
        <v>0.051113</v>
      </c>
    </row>
    <row r="3310" spans="1:4">
      <c r="A3310" t="s">
        <v>4927</v>
      </c>
      <c r="B3310" t="s">
        <v>367</v>
      </c>
      <c r="C3310" t="s">
        <v>7411</v>
      </c>
      <c r="D3310">
        <v>85.635513</v>
      </c>
    </row>
    <row r="3311" spans="1:4">
      <c r="A3311" t="s">
        <v>4928</v>
      </c>
      <c r="B3311" t="s">
        <v>367</v>
      </c>
      <c r="C3311" t="s">
        <v>7313</v>
      </c>
      <c r="D3311">
        <v>67.690405</v>
      </c>
    </row>
    <row r="3312" spans="1:4">
      <c r="A3312" t="s">
        <v>4929</v>
      </c>
      <c r="B3312" t="s">
        <v>367</v>
      </c>
      <c r="C3312" t="s">
        <v>7412</v>
      </c>
      <c r="D3312">
        <v>3.025004</v>
      </c>
    </row>
    <row r="3313" spans="1:4">
      <c r="A3313" t="s">
        <v>4930</v>
      </c>
      <c r="B3313" t="s">
        <v>367</v>
      </c>
      <c r="C3313" t="s">
        <v>7413</v>
      </c>
      <c r="D3313">
        <v>4.169379</v>
      </c>
    </row>
    <row r="3314" spans="1:4">
      <c r="A3314" t="s">
        <v>4931</v>
      </c>
      <c r="B3314" t="s">
        <v>367</v>
      </c>
      <c r="C3314" t="s">
        <v>7414</v>
      </c>
      <c r="D3314">
        <v>0.212082</v>
      </c>
    </row>
    <row r="3315" spans="1:4">
      <c r="A3315" t="s">
        <v>4932</v>
      </c>
      <c r="B3315" t="s">
        <v>367</v>
      </c>
      <c r="C3315" t="s">
        <v>7415</v>
      </c>
      <c r="D3315">
        <v>83.12353299999999</v>
      </c>
    </row>
    <row r="3316" spans="1:4">
      <c r="A3316" t="s">
        <v>4933</v>
      </c>
      <c r="B3316" t="s">
        <v>367</v>
      </c>
      <c r="C3316" t="s">
        <v>7416</v>
      </c>
      <c r="D3316">
        <v>38.880398</v>
      </c>
    </row>
    <row r="3317" spans="1:4">
      <c r="A3317" t="s">
        <v>4934</v>
      </c>
      <c r="B3317" t="s">
        <v>367</v>
      </c>
      <c r="C3317" t="s">
        <v>7417</v>
      </c>
      <c r="D3317">
        <v>21.074287</v>
      </c>
    </row>
    <row r="3318" spans="1:4">
      <c r="A3318" t="s">
        <v>4935</v>
      </c>
      <c r="B3318" t="s">
        <v>367</v>
      </c>
      <c r="C3318" t="s">
        <v>7418</v>
      </c>
      <c r="D3318">
        <v>0.694926</v>
      </c>
    </row>
    <row r="3319" spans="1:4">
      <c r="A3319" t="s">
        <v>4936</v>
      </c>
      <c r="B3319" t="s">
        <v>367</v>
      </c>
      <c r="C3319" t="s">
        <v>7314</v>
      </c>
      <c r="D3319">
        <v>32.05465</v>
      </c>
    </row>
    <row r="3320" spans="1:4">
      <c r="A3320" t="s">
        <v>4937</v>
      </c>
      <c r="B3320" t="s">
        <v>367</v>
      </c>
      <c r="C3320" t="s">
        <v>7315</v>
      </c>
      <c r="D3320">
        <v>240.469631</v>
      </c>
    </row>
    <row r="3321" spans="1:4">
      <c r="A3321" t="s">
        <v>4938</v>
      </c>
      <c r="B3321" t="s">
        <v>367</v>
      </c>
      <c r="C3321" t="s">
        <v>7419</v>
      </c>
      <c r="D3321">
        <v>411.69052</v>
      </c>
    </row>
    <row r="3322" spans="1:4">
      <c r="A3322" t="s">
        <v>4939</v>
      </c>
      <c r="B3322" t="s">
        <v>367</v>
      </c>
      <c r="C3322" t="s">
        <v>7420</v>
      </c>
      <c r="D3322">
        <v>12.398348</v>
      </c>
    </row>
    <row r="3323" spans="1:4">
      <c r="A3323" t="s">
        <v>4940</v>
      </c>
      <c r="B3323" t="s">
        <v>367</v>
      </c>
      <c r="C3323" t="s">
        <v>7421</v>
      </c>
      <c r="D3323">
        <v>0.012399</v>
      </c>
    </row>
    <row r="3324" spans="1:4">
      <c r="A3324" t="s">
        <v>4941</v>
      </c>
      <c r="B3324" t="s">
        <v>367</v>
      </c>
      <c r="C3324" t="s">
        <v>7422</v>
      </c>
      <c r="D3324">
        <v>0.543416</v>
      </c>
    </row>
    <row r="3325" spans="1:4">
      <c r="A3325" t="s">
        <v>4942</v>
      </c>
      <c r="B3325" t="s">
        <v>367</v>
      </c>
      <c r="C3325" t="s">
        <v>7423</v>
      </c>
      <c r="D3325">
        <v>8.279517999999999</v>
      </c>
    </row>
    <row r="3326" spans="1:4">
      <c r="A3326" t="s">
        <v>4943</v>
      </c>
      <c r="B3326" t="s">
        <v>367</v>
      </c>
      <c r="C3326" t="s">
        <v>7424</v>
      </c>
      <c r="D3326">
        <v>0.060084</v>
      </c>
    </row>
    <row r="3327" spans="1:4">
      <c r="A3327" t="s">
        <v>4944</v>
      </c>
      <c r="B3327" t="s">
        <v>367</v>
      </c>
      <c r="C3327" t="s">
        <v>7425</v>
      </c>
      <c r="D3327">
        <v>14.491574</v>
      </c>
    </row>
    <row r="3328" spans="1:4">
      <c r="A3328" t="s">
        <v>4945</v>
      </c>
      <c r="B3328" t="s">
        <v>367</v>
      </c>
      <c r="C3328" t="s">
        <v>7426</v>
      </c>
      <c r="D3328">
        <v>2.768678</v>
      </c>
    </row>
    <row r="3329" spans="1:4">
      <c r="A3329" t="s">
        <v>4946</v>
      </c>
      <c r="B3329" t="s">
        <v>367</v>
      </c>
      <c r="C3329" t="s">
        <v>7427</v>
      </c>
      <c r="D3329">
        <v>18.875471</v>
      </c>
    </row>
    <row r="3330" spans="1:4">
      <c r="A3330" t="s">
        <v>4947</v>
      </c>
      <c r="B3330" t="s">
        <v>367</v>
      </c>
      <c r="C3330" t="s">
        <v>7316</v>
      </c>
      <c r="D3330">
        <v>9.382918</v>
      </c>
    </row>
    <row r="3331" spans="1:4">
      <c r="A3331" t="s">
        <v>4948</v>
      </c>
      <c r="B3331" t="s">
        <v>367</v>
      </c>
      <c r="C3331" t="s">
        <v>7428</v>
      </c>
      <c r="D3331">
        <v>33.583509</v>
      </c>
    </row>
    <row r="3332" spans="1:4">
      <c r="A3332" t="s">
        <v>4949</v>
      </c>
      <c r="B3332" t="s">
        <v>367</v>
      </c>
      <c r="C3332" t="s">
        <v>7429</v>
      </c>
      <c r="D3332">
        <v>88.937005</v>
      </c>
    </row>
    <row r="3333" spans="1:4">
      <c r="A3333" t="s">
        <v>4950</v>
      </c>
      <c r="B3333" t="s">
        <v>367</v>
      </c>
      <c r="C3333" t="s">
        <v>7430</v>
      </c>
      <c r="D3333">
        <v>105.616393</v>
      </c>
    </row>
    <row r="3334" spans="1:4">
      <c r="A3334" t="s">
        <v>4951</v>
      </c>
      <c r="B3334" t="s">
        <v>367</v>
      </c>
      <c r="C3334" t="s">
        <v>7431</v>
      </c>
      <c r="D3334">
        <v>130.643782</v>
      </c>
    </row>
    <row r="3335" spans="1:4">
      <c r="A3335" t="s">
        <v>4952</v>
      </c>
      <c r="B3335" t="s">
        <v>367</v>
      </c>
      <c r="C3335" t="s">
        <v>7317</v>
      </c>
      <c r="D3335">
        <v>6.711287</v>
      </c>
    </row>
    <row r="3336" spans="1:4">
      <c r="A3336" t="s">
        <v>4953</v>
      </c>
      <c r="B3336" t="s">
        <v>367</v>
      </c>
      <c r="C3336" t="s">
        <v>7432</v>
      </c>
      <c r="D3336">
        <v>42.401948</v>
      </c>
    </row>
    <row r="3337" spans="1:4">
      <c r="A3337" t="s">
        <v>4954</v>
      </c>
      <c r="B3337" t="s">
        <v>367</v>
      </c>
      <c r="C3337" t="s">
        <v>7433</v>
      </c>
      <c r="D3337">
        <v>215.849135</v>
      </c>
    </row>
    <row r="3338" spans="1:4">
      <c r="A3338" t="s">
        <v>4955</v>
      </c>
      <c r="B3338" t="s">
        <v>367</v>
      </c>
      <c r="C3338" t="s">
        <v>7434</v>
      </c>
      <c r="D3338">
        <v>9.842912999999999</v>
      </c>
    </row>
    <row r="3339" spans="1:4">
      <c r="A3339" t="s">
        <v>4956</v>
      </c>
      <c r="B3339" t="s">
        <v>367</v>
      </c>
      <c r="C3339" t="s">
        <v>7435</v>
      </c>
      <c r="D3339">
        <v>0.119045</v>
      </c>
    </row>
    <row r="3340" spans="1:4">
      <c r="A3340" t="s">
        <v>4957</v>
      </c>
      <c r="B3340" t="s">
        <v>367</v>
      </c>
      <c r="C3340" t="s">
        <v>7436</v>
      </c>
      <c r="D3340">
        <v>6.924931</v>
      </c>
    </row>
    <row r="3341" spans="1:4">
      <c r="A3341" t="s">
        <v>4958</v>
      </c>
      <c r="B3341" t="s">
        <v>367</v>
      </c>
      <c r="C3341" t="s">
        <v>7437</v>
      </c>
      <c r="D3341">
        <v>0.085619</v>
      </c>
    </row>
    <row r="3342" spans="1:4">
      <c r="A3342" t="s">
        <v>4959</v>
      </c>
      <c r="B3342" t="s">
        <v>367</v>
      </c>
      <c r="C3342" t="s">
        <v>399</v>
      </c>
      <c r="D3342">
        <v>311.712683</v>
      </c>
    </row>
    <row r="3343" spans="1:4">
      <c r="A3343" t="s">
        <v>4960</v>
      </c>
      <c r="B3343" t="s">
        <v>367</v>
      </c>
      <c r="C3343" t="s">
        <v>7438</v>
      </c>
      <c r="D3343">
        <v>7.76532</v>
      </c>
    </row>
    <row r="3344" spans="1:4">
      <c r="A3344" t="s">
        <v>4961</v>
      </c>
      <c r="B3344" t="s">
        <v>367</v>
      </c>
      <c r="C3344" t="s">
        <v>7439</v>
      </c>
      <c r="D3344">
        <v>0.026011</v>
      </c>
    </row>
    <row r="3345" spans="1:4">
      <c r="A3345" t="s">
        <v>4962</v>
      </c>
      <c r="B3345" t="s">
        <v>367</v>
      </c>
      <c r="C3345" t="s">
        <v>7440</v>
      </c>
      <c r="D3345">
        <v>0.501872</v>
      </c>
    </row>
    <row r="3346" spans="1:4">
      <c r="A3346" t="s">
        <v>4963</v>
      </c>
      <c r="B3346" t="s">
        <v>367</v>
      </c>
      <c r="C3346" t="s">
        <v>7441</v>
      </c>
      <c r="D3346">
        <v>0.011869</v>
      </c>
    </row>
    <row r="3347" spans="1:4">
      <c r="A3347" t="s">
        <v>4964</v>
      </c>
      <c r="B3347" t="s">
        <v>367</v>
      </c>
      <c r="C3347" t="s">
        <v>7442</v>
      </c>
      <c r="D3347">
        <v>2.626996</v>
      </c>
    </row>
    <row r="3348" spans="1:4">
      <c r="A3348" t="s">
        <v>4965</v>
      </c>
      <c r="B3348" t="s">
        <v>367</v>
      </c>
      <c r="C3348" t="s">
        <v>7443</v>
      </c>
      <c r="D3348">
        <v>114.377834</v>
      </c>
    </row>
    <row r="3349" spans="1:4">
      <c r="A3349" t="s">
        <v>4966</v>
      </c>
      <c r="B3349" t="s">
        <v>367</v>
      </c>
      <c r="C3349" t="s">
        <v>7444</v>
      </c>
      <c r="D3349">
        <v>0.54126</v>
      </c>
    </row>
    <row r="3350" spans="1:4">
      <c r="A3350" t="s">
        <v>4967</v>
      </c>
      <c r="B3350" t="s">
        <v>367</v>
      </c>
      <c r="C3350" t="s">
        <v>7445</v>
      </c>
      <c r="D3350">
        <v>115.449341</v>
      </c>
    </row>
    <row r="3351" spans="1:4">
      <c r="A3351" t="s">
        <v>4968</v>
      </c>
      <c r="B3351" t="s">
        <v>367</v>
      </c>
      <c r="C3351" t="s">
        <v>7446</v>
      </c>
      <c r="D3351">
        <v>174.141515</v>
      </c>
    </row>
    <row r="3352" spans="1:4">
      <c r="A3352" t="s">
        <v>4969</v>
      </c>
      <c r="B3352" t="s">
        <v>367</v>
      </c>
      <c r="C3352" t="s">
        <v>7447</v>
      </c>
      <c r="D3352">
        <v>421.86032</v>
      </c>
    </row>
    <row r="3353" spans="1:4">
      <c r="A3353" t="s">
        <v>4970</v>
      </c>
      <c r="B3353" t="s">
        <v>367</v>
      </c>
      <c r="C3353" t="s">
        <v>7448</v>
      </c>
      <c r="D3353">
        <v>0.54126</v>
      </c>
    </row>
    <row r="3354" spans="1:4">
      <c r="A3354" t="s">
        <v>4971</v>
      </c>
      <c r="B3354" t="s">
        <v>367</v>
      </c>
      <c r="C3354" t="s">
        <v>7449</v>
      </c>
      <c r="D3354">
        <v>2.975259</v>
      </c>
    </row>
    <row r="3355" spans="1:4">
      <c r="A3355" t="s">
        <v>4972</v>
      </c>
      <c r="B3355" t="s">
        <v>367</v>
      </c>
      <c r="C3355" t="s">
        <v>7450</v>
      </c>
      <c r="D3355">
        <v>1.304866</v>
      </c>
    </row>
    <row r="3356" spans="1:4">
      <c r="A3356" t="s">
        <v>4973</v>
      </c>
      <c r="B3356" t="s">
        <v>367</v>
      </c>
      <c r="C3356" t="s">
        <v>7318</v>
      </c>
      <c r="D3356">
        <v>18.875453</v>
      </c>
    </row>
    <row r="3357" spans="1:4">
      <c r="A3357" t="s">
        <v>4974</v>
      </c>
      <c r="B3357" t="s">
        <v>367</v>
      </c>
      <c r="C3357" t="s">
        <v>7451</v>
      </c>
      <c r="D3357">
        <v>17.389471</v>
      </c>
    </row>
    <row r="3358" spans="1:4">
      <c r="A3358" t="s">
        <v>4975</v>
      </c>
      <c r="B3358" t="s">
        <v>367</v>
      </c>
      <c r="C3358" t="s">
        <v>7452</v>
      </c>
      <c r="D3358">
        <v>11.593297</v>
      </c>
    </row>
    <row r="3359" spans="1:4">
      <c r="A3359" t="s">
        <v>4976</v>
      </c>
      <c r="B3359" t="s">
        <v>367</v>
      </c>
      <c r="C3359" t="s">
        <v>7453</v>
      </c>
      <c r="D3359">
        <v>11.593297</v>
      </c>
    </row>
    <row r="3360" spans="1:4">
      <c r="A3360" t="s">
        <v>4977</v>
      </c>
      <c r="B3360" t="s">
        <v>368</v>
      </c>
      <c r="C3360" t="s">
        <v>397</v>
      </c>
      <c r="D3360">
        <v>355.96273</v>
      </c>
    </row>
    <row r="3361" spans="1:4">
      <c r="A3361" t="s">
        <v>4978</v>
      </c>
      <c r="B3361" t="s">
        <v>368</v>
      </c>
      <c r="C3361" t="s">
        <v>7319</v>
      </c>
      <c r="D3361">
        <v>85.373411</v>
      </c>
    </row>
    <row r="3362" spans="1:4">
      <c r="A3362" t="s">
        <v>4979</v>
      </c>
      <c r="B3362" t="s">
        <v>368</v>
      </c>
      <c r="C3362" t="s">
        <v>7320</v>
      </c>
      <c r="D3362">
        <v>4.90201</v>
      </c>
    </row>
    <row r="3363" spans="1:4">
      <c r="A3363" t="s">
        <v>4980</v>
      </c>
      <c r="B3363" t="s">
        <v>368</v>
      </c>
      <c r="C3363" t="s">
        <v>7321</v>
      </c>
      <c r="D3363">
        <v>3.779675</v>
      </c>
    </row>
    <row r="3364" spans="1:4">
      <c r="A3364" t="s">
        <v>4981</v>
      </c>
      <c r="B3364" t="s">
        <v>368</v>
      </c>
      <c r="C3364" t="s">
        <v>7322</v>
      </c>
      <c r="D3364">
        <v>0.85275</v>
      </c>
    </row>
    <row r="3365" spans="1:4">
      <c r="A3365" t="s">
        <v>4982</v>
      </c>
      <c r="B3365" t="s">
        <v>368</v>
      </c>
      <c r="C3365" t="s">
        <v>7323</v>
      </c>
      <c r="D3365">
        <v>175.158597</v>
      </c>
    </row>
    <row r="3366" spans="1:4">
      <c r="A3366" t="s">
        <v>4983</v>
      </c>
      <c r="B3366" t="s">
        <v>368</v>
      </c>
      <c r="C3366" t="s">
        <v>7324</v>
      </c>
      <c r="D3366">
        <v>0.333121</v>
      </c>
    </row>
    <row r="3367" spans="1:4">
      <c r="A3367" t="s">
        <v>4984</v>
      </c>
      <c r="B3367" t="s">
        <v>368</v>
      </c>
      <c r="C3367" t="s">
        <v>7325</v>
      </c>
      <c r="D3367">
        <v>0.212128</v>
      </c>
    </row>
    <row r="3368" spans="1:4">
      <c r="A3368" t="s">
        <v>4985</v>
      </c>
      <c r="B3368" t="s">
        <v>368</v>
      </c>
      <c r="C3368" t="s">
        <v>7292</v>
      </c>
      <c r="D3368">
        <v>216.271604</v>
      </c>
    </row>
    <row r="3369" spans="1:4">
      <c r="A3369" t="s">
        <v>4986</v>
      </c>
      <c r="B3369" t="s">
        <v>368</v>
      </c>
      <c r="C3369" t="s">
        <v>7326</v>
      </c>
      <c r="D3369">
        <v>175.158597</v>
      </c>
    </row>
    <row r="3370" spans="1:4">
      <c r="A3370" t="s">
        <v>4987</v>
      </c>
      <c r="B3370" t="s">
        <v>368</v>
      </c>
      <c r="C3370" t="s">
        <v>7327</v>
      </c>
      <c r="D3370">
        <v>184.626536</v>
      </c>
    </row>
    <row r="3371" spans="1:4">
      <c r="A3371" t="s">
        <v>4988</v>
      </c>
      <c r="B3371" t="s">
        <v>368</v>
      </c>
      <c r="C3371" t="s">
        <v>7328</v>
      </c>
      <c r="D3371">
        <v>182.000854</v>
      </c>
    </row>
    <row r="3372" spans="1:4">
      <c r="A3372" t="s">
        <v>4989</v>
      </c>
      <c r="B3372" t="s">
        <v>368</v>
      </c>
      <c r="C3372" t="s">
        <v>7329</v>
      </c>
      <c r="D3372">
        <v>156.766886</v>
      </c>
    </row>
    <row r="3373" spans="1:4">
      <c r="A3373" t="s">
        <v>4990</v>
      </c>
      <c r="B3373" t="s">
        <v>368</v>
      </c>
      <c r="C3373" t="s">
        <v>7330</v>
      </c>
      <c r="D3373">
        <v>2.54951</v>
      </c>
    </row>
    <row r="3374" spans="1:4">
      <c r="A3374" t="s">
        <v>4991</v>
      </c>
      <c r="B3374" t="s">
        <v>368</v>
      </c>
      <c r="C3374" t="s">
        <v>398</v>
      </c>
      <c r="D3374">
        <v>182.000854</v>
      </c>
    </row>
    <row r="3375" spans="1:4">
      <c r="A3375" t="s">
        <v>4992</v>
      </c>
      <c r="B3375" t="s">
        <v>368</v>
      </c>
      <c r="C3375" t="s">
        <v>7331</v>
      </c>
      <c r="D3375">
        <v>833.866806</v>
      </c>
    </row>
    <row r="3376" spans="1:4">
      <c r="A3376" t="s">
        <v>4993</v>
      </c>
      <c r="B3376" t="s">
        <v>368</v>
      </c>
      <c r="C3376" t="s">
        <v>7332</v>
      </c>
      <c r="D3376">
        <v>0.104679</v>
      </c>
    </row>
    <row r="3377" spans="1:4">
      <c r="A3377" t="s">
        <v>4994</v>
      </c>
      <c r="B3377" t="s">
        <v>368</v>
      </c>
      <c r="C3377" t="s">
        <v>7333</v>
      </c>
      <c r="D3377">
        <v>313.533772</v>
      </c>
    </row>
    <row r="3378" spans="1:4">
      <c r="A3378" t="s">
        <v>4995</v>
      </c>
      <c r="B3378" t="s">
        <v>368</v>
      </c>
      <c r="C3378" t="s">
        <v>7334</v>
      </c>
      <c r="D3378">
        <v>241.627662</v>
      </c>
    </row>
    <row r="3379" spans="1:4">
      <c r="A3379" t="s">
        <v>4996</v>
      </c>
      <c r="B3379" t="s">
        <v>368</v>
      </c>
      <c r="C3379" t="s">
        <v>7335</v>
      </c>
      <c r="D3379">
        <v>45.292639</v>
      </c>
    </row>
    <row r="3380" spans="1:4">
      <c r="A3380" t="s">
        <v>4997</v>
      </c>
      <c r="B3380" t="s">
        <v>368</v>
      </c>
      <c r="C3380" t="s">
        <v>7293</v>
      </c>
      <c r="D3380">
        <v>60.368631</v>
      </c>
    </row>
    <row r="3381" spans="1:4">
      <c r="A3381" t="s">
        <v>4998</v>
      </c>
      <c r="B3381" t="s">
        <v>368</v>
      </c>
      <c r="C3381" t="s">
        <v>7336</v>
      </c>
      <c r="D3381">
        <v>313.533772</v>
      </c>
    </row>
    <row r="3382" spans="1:4">
      <c r="A3382" t="s">
        <v>4999</v>
      </c>
      <c r="B3382" t="s">
        <v>368</v>
      </c>
      <c r="C3382" t="s">
        <v>7337</v>
      </c>
      <c r="D3382">
        <v>3.313806</v>
      </c>
    </row>
    <row r="3383" spans="1:4">
      <c r="A3383" t="s">
        <v>5000</v>
      </c>
      <c r="B3383" t="s">
        <v>368</v>
      </c>
      <c r="C3383" t="s">
        <v>7338</v>
      </c>
      <c r="D3383">
        <v>22.126477</v>
      </c>
    </row>
    <row r="3384" spans="1:4">
      <c r="A3384" t="s">
        <v>5001</v>
      </c>
      <c r="B3384" t="s">
        <v>368</v>
      </c>
      <c r="C3384" t="s">
        <v>7339</v>
      </c>
      <c r="D3384">
        <v>111.58374</v>
      </c>
    </row>
    <row r="3385" spans="1:4">
      <c r="A3385" t="s">
        <v>5002</v>
      </c>
      <c r="B3385" t="s">
        <v>368</v>
      </c>
      <c r="C3385" t="s">
        <v>7340</v>
      </c>
      <c r="D3385">
        <v>156.766886</v>
      </c>
    </row>
    <row r="3386" spans="1:4">
      <c r="A3386" t="s">
        <v>5003</v>
      </c>
      <c r="B3386" t="s">
        <v>368</v>
      </c>
      <c r="C3386" t="s">
        <v>7294</v>
      </c>
      <c r="D3386">
        <v>220.386615</v>
      </c>
    </row>
    <row r="3387" spans="1:4">
      <c r="A3387" t="s">
        <v>5004</v>
      </c>
      <c r="B3387" t="s">
        <v>368</v>
      </c>
      <c r="C3387" t="s">
        <v>7341</v>
      </c>
      <c r="D3387">
        <v>0.136317</v>
      </c>
    </row>
    <row r="3388" spans="1:4">
      <c r="A3388" t="s">
        <v>5005</v>
      </c>
      <c r="B3388" t="s">
        <v>368</v>
      </c>
      <c r="C3388" t="s">
        <v>7295</v>
      </c>
      <c r="D3388">
        <v>385.921424</v>
      </c>
    </row>
    <row r="3389" spans="1:4">
      <c r="A3389" t="s">
        <v>5006</v>
      </c>
      <c r="B3389" t="s">
        <v>368</v>
      </c>
      <c r="C3389" t="s">
        <v>7342</v>
      </c>
      <c r="D3389">
        <v>13564.618931</v>
      </c>
    </row>
    <row r="3390" spans="1:4">
      <c r="A3390" t="s">
        <v>5007</v>
      </c>
      <c r="B3390" t="s">
        <v>368</v>
      </c>
      <c r="C3390" t="s">
        <v>7343</v>
      </c>
      <c r="D3390">
        <v>0.343184</v>
      </c>
    </row>
    <row r="3391" spans="1:4">
      <c r="A3391" t="s">
        <v>5008</v>
      </c>
      <c r="B3391" t="s">
        <v>368</v>
      </c>
      <c r="C3391" t="s">
        <v>7344</v>
      </c>
      <c r="D3391">
        <v>46.031969</v>
      </c>
    </row>
    <row r="3392" spans="1:4">
      <c r="A3392" t="s">
        <v>5009</v>
      </c>
      <c r="B3392" t="s">
        <v>368</v>
      </c>
      <c r="C3392" t="s">
        <v>7296</v>
      </c>
      <c r="D3392">
        <v>46.004662</v>
      </c>
    </row>
    <row r="3393" spans="1:4">
      <c r="A3393" t="s">
        <v>5010</v>
      </c>
      <c r="B3393" t="s">
        <v>368</v>
      </c>
      <c r="C3393" t="s">
        <v>7345</v>
      </c>
      <c r="D3393">
        <v>0.091682</v>
      </c>
    </row>
    <row r="3394" spans="1:4">
      <c r="A3394" t="s">
        <v>5011</v>
      </c>
      <c r="B3394" t="s">
        <v>368</v>
      </c>
      <c r="C3394" t="s">
        <v>7346</v>
      </c>
      <c r="D3394">
        <v>0.689744</v>
      </c>
    </row>
    <row r="3395" spans="1:4">
      <c r="A3395" t="s">
        <v>5012</v>
      </c>
      <c r="B3395" t="s">
        <v>368</v>
      </c>
      <c r="C3395" t="s">
        <v>7347</v>
      </c>
      <c r="D3395">
        <v>13.06391</v>
      </c>
    </row>
    <row r="3396" spans="1:4">
      <c r="A3396" t="s">
        <v>5013</v>
      </c>
      <c r="B3396" t="s">
        <v>368</v>
      </c>
      <c r="C3396" t="s">
        <v>7348</v>
      </c>
      <c r="D3396">
        <v>3.228248</v>
      </c>
    </row>
    <row r="3397" spans="1:4">
      <c r="A3397" t="s">
        <v>5014</v>
      </c>
      <c r="B3397" t="s">
        <v>368</v>
      </c>
      <c r="C3397" t="s">
        <v>7297</v>
      </c>
      <c r="D3397">
        <v>14.687257</v>
      </c>
    </row>
    <row r="3398" spans="1:4">
      <c r="A3398" t="s">
        <v>5015</v>
      </c>
      <c r="B3398" t="s">
        <v>368</v>
      </c>
      <c r="C3398" t="s">
        <v>7349</v>
      </c>
      <c r="D3398">
        <v>1.764191</v>
      </c>
    </row>
    <row r="3399" spans="1:4">
      <c r="A3399" t="s">
        <v>5016</v>
      </c>
      <c r="B3399" t="s">
        <v>368</v>
      </c>
      <c r="C3399" t="s">
        <v>7298</v>
      </c>
      <c r="D3399">
        <v>47.692044</v>
      </c>
    </row>
    <row r="3400" spans="1:4">
      <c r="A3400" t="s">
        <v>5017</v>
      </c>
      <c r="B3400" t="s">
        <v>368</v>
      </c>
      <c r="C3400" t="s">
        <v>7350</v>
      </c>
      <c r="D3400">
        <v>5.349071</v>
      </c>
    </row>
    <row r="3401" spans="1:4">
      <c r="A3401" t="s">
        <v>5018</v>
      </c>
      <c r="B3401" t="s">
        <v>368</v>
      </c>
      <c r="C3401" t="s">
        <v>7351</v>
      </c>
      <c r="D3401">
        <v>2.351335</v>
      </c>
    </row>
    <row r="3402" spans="1:4">
      <c r="A3402" t="s">
        <v>5019</v>
      </c>
      <c r="B3402" t="s">
        <v>368</v>
      </c>
      <c r="C3402" t="s">
        <v>7352</v>
      </c>
      <c r="D3402">
        <v>6.325689</v>
      </c>
    </row>
    <row r="3403" spans="1:4">
      <c r="A3403" t="s">
        <v>5020</v>
      </c>
      <c r="B3403" t="s">
        <v>368</v>
      </c>
      <c r="C3403" t="s">
        <v>7353</v>
      </c>
      <c r="D3403">
        <v>20.902255</v>
      </c>
    </row>
    <row r="3404" spans="1:4">
      <c r="A3404" t="s">
        <v>5021</v>
      </c>
      <c r="B3404" t="s">
        <v>368</v>
      </c>
      <c r="C3404" t="s">
        <v>7354</v>
      </c>
      <c r="D3404">
        <v>1.91626</v>
      </c>
    </row>
    <row r="3405" spans="1:4">
      <c r="A3405" t="s">
        <v>5022</v>
      </c>
      <c r="B3405" t="s">
        <v>368</v>
      </c>
      <c r="C3405" t="s">
        <v>7355</v>
      </c>
      <c r="D3405">
        <v>139.807819</v>
      </c>
    </row>
    <row r="3406" spans="1:4">
      <c r="A3406" t="s">
        <v>5023</v>
      </c>
      <c r="B3406" t="s">
        <v>368</v>
      </c>
      <c r="C3406" t="s">
        <v>7356</v>
      </c>
      <c r="D3406">
        <v>412.830551</v>
      </c>
    </row>
    <row r="3407" spans="1:4">
      <c r="A3407" t="s">
        <v>5024</v>
      </c>
      <c r="B3407" t="s">
        <v>368</v>
      </c>
      <c r="C3407" t="s">
        <v>7357</v>
      </c>
      <c r="D3407">
        <v>47.692063</v>
      </c>
    </row>
    <row r="3408" spans="1:4">
      <c r="A3408" t="s">
        <v>5025</v>
      </c>
      <c r="B3408" t="s">
        <v>368</v>
      </c>
      <c r="C3408" t="s">
        <v>7299</v>
      </c>
      <c r="D3408">
        <v>412.830072</v>
      </c>
    </row>
    <row r="3409" spans="1:4">
      <c r="A3409" t="s">
        <v>5026</v>
      </c>
      <c r="B3409" t="s">
        <v>368</v>
      </c>
      <c r="C3409" t="s">
        <v>7358</v>
      </c>
      <c r="D3409">
        <v>118.600201</v>
      </c>
    </row>
    <row r="3410" spans="1:4">
      <c r="A3410" t="s">
        <v>5027</v>
      </c>
      <c r="B3410" t="s">
        <v>368</v>
      </c>
      <c r="C3410" t="s">
        <v>7359</v>
      </c>
      <c r="D3410">
        <v>412.830551</v>
      </c>
    </row>
    <row r="3411" spans="1:4">
      <c r="A3411" t="s">
        <v>5028</v>
      </c>
      <c r="B3411" t="s">
        <v>368</v>
      </c>
      <c r="C3411" t="s">
        <v>7360</v>
      </c>
      <c r="D3411">
        <v>27.820393</v>
      </c>
    </row>
    <row r="3412" spans="1:4">
      <c r="A3412" t="s">
        <v>5029</v>
      </c>
      <c r="B3412" t="s">
        <v>368</v>
      </c>
      <c r="C3412" t="s">
        <v>7361</v>
      </c>
      <c r="D3412">
        <v>412.830551</v>
      </c>
    </row>
    <row r="3413" spans="1:4">
      <c r="A3413" t="s">
        <v>5030</v>
      </c>
      <c r="B3413" t="s">
        <v>368</v>
      </c>
      <c r="C3413" t="s">
        <v>7362</v>
      </c>
      <c r="D3413">
        <v>4.224217</v>
      </c>
    </row>
    <row r="3414" spans="1:4">
      <c r="A3414" t="s">
        <v>5031</v>
      </c>
      <c r="B3414" t="s">
        <v>368</v>
      </c>
      <c r="C3414" t="s">
        <v>7363</v>
      </c>
      <c r="D3414">
        <v>0.035716</v>
      </c>
    </row>
    <row r="3415" spans="1:4">
      <c r="A3415" t="s">
        <v>5032</v>
      </c>
      <c r="B3415" t="s">
        <v>368</v>
      </c>
      <c r="C3415" t="s">
        <v>7364</v>
      </c>
      <c r="D3415">
        <v>41.142976</v>
      </c>
    </row>
    <row r="3416" spans="1:4">
      <c r="A3416" t="s">
        <v>5033</v>
      </c>
      <c r="B3416" t="s">
        <v>368</v>
      </c>
      <c r="C3416" t="s">
        <v>7365</v>
      </c>
      <c r="D3416">
        <v>1.49745</v>
      </c>
    </row>
    <row r="3417" spans="1:4">
      <c r="A3417" t="s">
        <v>5034</v>
      </c>
      <c r="B3417" t="s">
        <v>368</v>
      </c>
      <c r="C3417" t="s">
        <v>7300</v>
      </c>
      <c r="D3417">
        <v>39.997498</v>
      </c>
    </row>
    <row r="3418" spans="1:4">
      <c r="A3418" t="s">
        <v>5035</v>
      </c>
      <c r="B3418" t="s">
        <v>368</v>
      </c>
      <c r="C3418" t="s">
        <v>7366</v>
      </c>
      <c r="D3418">
        <v>11.737773</v>
      </c>
    </row>
    <row r="3419" spans="1:4">
      <c r="A3419" t="s">
        <v>5036</v>
      </c>
      <c r="B3419" t="s">
        <v>368</v>
      </c>
      <c r="C3419" t="s">
        <v>7367</v>
      </c>
      <c r="D3419">
        <v>47.244373</v>
      </c>
    </row>
    <row r="3420" spans="1:4">
      <c r="A3420" t="s">
        <v>5037</v>
      </c>
      <c r="B3420" t="s">
        <v>368</v>
      </c>
      <c r="C3420" t="s">
        <v>7368</v>
      </c>
      <c r="D3420">
        <v>2.395716</v>
      </c>
    </row>
    <row r="3421" spans="1:4">
      <c r="A3421" t="s">
        <v>5038</v>
      </c>
      <c r="B3421" t="s">
        <v>368</v>
      </c>
      <c r="C3421" t="s">
        <v>7301</v>
      </c>
      <c r="D3421">
        <v>0.017458</v>
      </c>
    </row>
    <row r="3422" spans="1:4">
      <c r="A3422" t="s">
        <v>5039</v>
      </c>
      <c r="B3422" t="s">
        <v>368</v>
      </c>
      <c r="C3422" t="s">
        <v>7302</v>
      </c>
      <c r="D3422">
        <v>105.070393</v>
      </c>
    </row>
    <row r="3423" spans="1:4">
      <c r="A3423" t="s">
        <v>5040</v>
      </c>
      <c r="B3423" t="s">
        <v>368</v>
      </c>
      <c r="C3423" t="s">
        <v>7369</v>
      </c>
      <c r="D3423">
        <v>412.830551</v>
      </c>
    </row>
    <row r="3424" spans="1:4">
      <c r="A3424" t="s">
        <v>5041</v>
      </c>
      <c r="B3424" t="s">
        <v>368</v>
      </c>
      <c r="C3424" t="s">
        <v>7303</v>
      </c>
      <c r="D3424">
        <v>3.313803</v>
      </c>
    </row>
    <row r="3425" spans="1:4">
      <c r="A3425" t="s">
        <v>5042</v>
      </c>
      <c r="B3425" t="s">
        <v>368</v>
      </c>
      <c r="C3425" t="s">
        <v>7370</v>
      </c>
      <c r="D3425">
        <v>0.239063</v>
      </c>
    </row>
    <row r="3426" spans="1:4">
      <c r="A3426" t="s">
        <v>5043</v>
      </c>
      <c r="B3426" t="s">
        <v>368</v>
      </c>
      <c r="C3426" t="s">
        <v>7371</v>
      </c>
      <c r="D3426">
        <v>0.000229</v>
      </c>
    </row>
    <row r="3427" spans="1:4">
      <c r="A3427" t="s">
        <v>5044</v>
      </c>
      <c r="B3427" t="s">
        <v>368</v>
      </c>
      <c r="C3427" t="s">
        <v>7304</v>
      </c>
      <c r="D3427">
        <v>2.474026</v>
      </c>
    </row>
    <row r="3428" spans="1:4">
      <c r="A3428" t="s">
        <v>5045</v>
      </c>
      <c r="B3428" t="s">
        <v>368</v>
      </c>
      <c r="C3428" t="s">
        <v>7372</v>
      </c>
      <c r="D3428">
        <v>412.830551</v>
      </c>
    </row>
    <row r="3429" spans="1:4">
      <c r="A3429" t="s">
        <v>5046</v>
      </c>
      <c r="B3429" t="s">
        <v>368</v>
      </c>
      <c r="C3429" t="s">
        <v>7373</v>
      </c>
      <c r="D3429">
        <v>1.986856</v>
      </c>
    </row>
    <row r="3430" spans="1:4">
      <c r="A3430" t="s">
        <v>5047</v>
      </c>
      <c r="B3430" t="s">
        <v>368</v>
      </c>
      <c r="C3430" t="s">
        <v>7374</v>
      </c>
      <c r="D3430">
        <v>442.21994</v>
      </c>
    </row>
    <row r="3431" spans="1:4">
      <c r="A3431" t="s">
        <v>5048</v>
      </c>
      <c r="B3431" t="s">
        <v>368</v>
      </c>
      <c r="C3431" t="s">
        <v>7305</v>
      </c>
      <c r="D3431">
        <v>1.938509</v>
      </c>
    </row>
    <row r="3432" spans="1:4">
      <c r="A3432" t="s">
        <v>5049</v>
      </c>
      <c r="B3432" t="s">
        <v>368</v>
      </c>
      <c r="C3432" t="s">
        <v>7375</v>
      </c>
      <c r="D3432">
        <v>2.421117</v>
      </c>
    </row>
    <row r="3433" spans="1:4">
      <c r="A3433" t="s">
        <v>5050</v>
      </c>
      <c r="B3433" t="s">
        <v>368</v>
      </c>
      <c r="C3433" t="s">
        <v>7376</v>
      </c>
      <c r="D3433">
        <v>3.585907</v>
      </c>
    </row>
    <row r="3434" spans="1:4">
      <c r="A3434" t="s">
        <v>5051</v>
      </c>
      <c r="B3434" t="s">
        <v>368</v>
      </c>
      <c r="C3434" t="s">
        <v>7377</v>
      </c>
      <c r="D3434">
        <v>0.078331</v>
      </c>
    </row>
    <row r="3435" spans="1:4">
      <c r="A3435" t="s">
        <v>5052</v>
      </c>
      <c r="B3435" t="s">
        <v>368</v>
      </c>
      <c r="C3435" t="s">
        <v>7378</v>
      </c>
      <c r="D3435">
        <v>216.271735</v>
      </c>
    </row>
    <row r="3436" spans="1:4">
      <c r="A3436" t="s">
        <v>5053</v>
      </c>
      <c r="B3436" t="s">
        <v>368</v>
      </c>
      <c r="C3436" t="s">
        <v>7379</v>
      </c>
      <c r="D3436">
        <v>0.723549</v>
      </c>
    </row>
    <row r="3437" spans="1:4">
      <c r="A3437" t="s">
        <v>5054</v>
      </c>
      <c r="B3437" t="s">
        <v>368</v>
      </c>
      <c r="C3437" t="s">
        <v>7306</v>
      </c>
      <c r="D3437">
        <v>0.203171</v>
      </c>
    </row>
    <row r="3438" spans="1:4">
      <c r="A3438" t="s">
        <v>5055</v>
      </c>
      <c r="B3438" t="s">
        <v>368</v>
      </c>
      <c r="C3438" t="s">
        <v>7380</v>
      </c>
      <c r="D3438">
        <v>1015.805795</v>
      </c>
    </row>
    <row r="3439" spans="1:4">
      <c r="A3439" t="s">
        <v>5056</v>
      </c>
      <c r="B3439" t="s">
        <v>368</v>
      </c>
      <c r="C3439" t="s">
        <v>7381</v>
      </c>
      <c r="D3439">
        <v>376.240593</v>
      </c>
    </row>
    <row r="3440" spans="1:4">
      <c r="A3440" t="s">
        <v>5057</v>
      </c>
      <c r="B3440" t="s">
        <v>368</v>
      </c>
      <c r="C3440" t="s">
        <v>7382</v>
      </c>
      <c r="D3440">
        <v>0.644783</v>
      </c>
    </row>
    <row r="3441" spans="1:4">
      <c r="A3441" t="s">
        <v>5058</v>
      </c>
      <c r="B3441" t="s">
        <v>368</v>
      </c>
      <c r="C3441" t="s">
        <v>7383</v>
      </c>
      <c r="D3441">
        <v>0.014187</v>
      </c>
    </row>
    <row r="3442" spans="1:4">
      <c r="A3442" t="s">
        <v>5059</v>
      </c>
      <c r="B3442" t="s">
        <v>368</v>
      </c>
      <c r="C3442" t="s">
        <v>7384</v>
      </c>
      <c r="D3442">
        <v>0.003503</v>
      </c>
    </row>
    <row r="3443" spans="1:4">
      <c r="A3443" t="s">
        <v>5060</v>
      </c>
      <c r="B3443" t="s">
        <v>368</v>
      </c>
      <c r="C3443" t="s">
        <v>7385</v>
      </c>
      <c r="D3443">
        <v>0.933893</v>
      </c>
    </row>
    <row r="3444" spans="1:4">
      <c r="A3444" t="s">
        <v>5061</v>
      </c>
      <c r="B3444" t="s">
        <v>368</v>
      </c>
      <c r="C3444" t="s">
        <v>7386</v>
      </c>
      <c r="D3444">
        <v>1.721846</v>
      </c>
    </row>
    <row r="3445" spans="1:4">
      <c r="A3445" t="s">
        <v>5062</v>
      </c>
      <c r="B3445" t="s">
        <v>368</v>
      </c>
      <c r="C3445" t="s">
        <v>7387</v>
      </c>
      <c r="D3445">
        <v>18.913155</v>
      </c>
    </row>
    <row r="3446" spans="1:4">
      <c r="A3446" t="s">
        <v>5063</v>
      </c>
      <c r="B3446" t="s">
        <v>368</v>
      </c>
      <c r="C3446" t="s">
        <v>7388</v>
      </c>
      <c r="D3446">
        <v>48.940766</v>
      </c>
    </row>
    <row r="3447" spans="1:4">
      <c r="A3447" t="s">
        <v>5064</v>
      </c>
      <c r="B3447" t="s">
        <v>368</v>
      </c>
      <c r="C3447" t="s">
        <v>7389</v>
      </c>
      <c r="D3447">
        <v>33.357701</v>
      </c>
    </row>
    <row r="3448" spans="1:4">
      <c r="A3448" t="s">
        <v>5065</v>
      </c>
      <c r="B3448" t="s">
        <v>368</v>
      </c>
      <c r="C3448" t="s">
        <v>7390</v>
      </c>
      <c r="D3448">
        <v>17.817921</v>
      </c>
    </row>
    <row r="3449" spans="1:4">
      <c r="A3449" t="s">
        <v>5066</v>
      </c>
      <c r="B3449" t="s">
        <v>368</v>
      </c>
      <c r="C3449" t="s">
        <v>7391</v>
      </c>
      <c r="D3449">
        <v>0.07402599999999999</v>
      </c>
    </row>
    <row r="3450" spans="1:4">
      <c r="A3450" t="s">
        <v>5067</v>
      </c>
      <c r="B3450" t="s">
        <v>368</v>
      </c>
      <c r="C3450" t="s">
        <v>7392</v>
      </c>
      <c r="D3450">
        <v>5.771242</v>
      </c>
    </row>
    <row r="3451" spans="1:4">
      <c r="A3451" t="s">
        <v>5068</v>
      </c>
      <c r="B3451" t="s">
        <v>368</v>
      </c>
      <c r="C3451" t="s">
        <v>7393</v>
      </c>
      <c r="D3451">
        <v>0.149602</v>
      </c>
    </row>
    <row r="3452" spans="1:4">
      <c r="A3452" t="s">
        <v>5069</v>
      </c>
      <c r="B3452" t="s">
        <v>368</v>
      </c>
      <c r="C3452" t="s">
        <v>7394</v>
      </c>
      <c r="D3452">
        <v>0.087381</v>
      </c>
    </row>
    <row r="3453" spans="1:4">
      <c r="A3453" t="s">
        <v>5070</v>
      </c>
      <c r="B3453" t="s">
        <v>368</v>
      </c>
      <c r="C3453" t="s">
        <v>7395</v>
      </c>
      <c r="D3453">
        <v>38.832538</v>
      </c>
    </row>
    <row r="3454" spans="1:4">
      <c r="A3454" t="s">
        <v>5071</v>
      </c>
      <c r="B3454" t="s">
        <v>368</v>
      </c>
      <c r="C3454" t="s">
        <v>7396</v>
      </c>
      <c r="D3454">
        <v>7.848387</v>
      </c>
    </row>
    <row r="3455" spans="1:4">
      <c r="A3455" t="s">
        <v>5072</v>
      </c>
      <c r="B3455" t="s">
        <v>368</v>
      </c>
      <c r="C3455" t="s">
        <v>7397</v>
      </c>
      <c r="D3455">
        <v>6.522129</v>
      </c>
    </row>
    <row r="3456" spans="1:4">
      <c r="A3456" t="s">
        <v>5073</v>
      </c>
      <c r="B3456" t="s">
        <v>368</v>
      </c>
      <c r="C3456" t="s">
        <v>7398</v>
      </c>
      <c r="D3456">
        <v>20.301853</v>
      </c>
    </row>
    <row r="3457" spans="1:4">
      <c r="A3457" t="s">
        <v>5074</v>
      </c>
      <c r="B3457" t="s">
        <v>368</v>
      </c>
      <c r="C3457" t="s">
        <v>7399</v>
      </c>
      <c r="D3457">
        <v>0.180001</v>
      </c>
    </row>
    <row r="3458" spans="1:4">
      <c r="A3458" t="s">
        <v>5075</v>
      </c>
      <c r="B3458" t="s">
        <v>368</v>
      </c>
      <c r="C3458" t="s">
        <v>7307</v>
      </c>
      <c r="D3458">
        <v>17.797701</v>
      </c>
    </row>
    <row r="3459" spans="1:4">
      <c r="A3459" t="s">
        <v>5076</v>
      </c>
      <c r="B3459" t="s">
        <v>368</v>
      </c>
      <c r="C3459" t="s">
        <v>7308</v>
      </c>
      <c r="D3459">
        <v>75.77942899999999</v>
      </c>
    </row>
    <row r="3460" spans="1:4">
      <c r="A3460" t="s">
        <v>5077</v>
      </c>
      <c r="B3460" t="s">
        <v>368</v>
      </c>
      <c r="C3460" t="s">
        <v>7400</v>
      </c>
      <c r="D3460">
        <v>4.915294</v>
      </c>
    </row>
    <row r="3461" spans="1:4">
      <c r="A3461" t="s">
        <v>5078</v>
      </c>
      <c r="B3461" t="s">
        <v>368</v>
      </c>
      <c r="C3461" t="s">
        <v>7401</v>
      </c>
      <c r="D3461">
        <v>18.913155</v>
      </c>
    </row>
    <row r="3462" spans="1:4">
      <c r="A3462" t="s">
        <v>5079</v>
      </c>
      <c r="B3462" t="s">
        <v>368</v>
      </c>
      <c r="C3462" t="s">
        <v>7402</v>
      </c>
      <c r="D3462">
        <v>0.230553</v>
      </c>
    </row>
    <row r="3463" spans="1:4">
      <c r="A3463" t="s">
        <v>5080</v>
      </c>
      <c r="B3463" t="s">
        <v>368</v>
      </c>
      <c r="C3463" t="s">
        <v>7403</v>
      </c>
      <c r="D3463">
        <v>8.524590999999999</v>
      </c>
    </row>
    <row r="3464" spans="1:4">
      <c r="A3464" t="s">
        <v>5081</v>
      </c>
      <c r="B3464" t="s">
        <v>368</v>
      </c>
      <c r="C3464" t="s">
        <v>7309</v>
      </c>
      <c r="D3464">
        <v>31.832691</v>
      </c>
    </row>
    <row r="3465" spans="1:4">
      <c r="A3465" t="s">
        <v>5082</v>
      </c>
      <c r="B3465" t="s">
        <v>368</v>
      </c>
      <c r="C3465" t="s">
        <v>7404</v>
      </c>
      <c r="D3465">
        <v>2.071128</v>
      </c>
    </row>
    <row r="3466" spans="1:4">
      <c r="A3466" t="s">
        <v>5083</v>
      </c>
      <c r="B3466" t="s">
        <v>368</v>
      </c>
      <c r="C3466" t="s">
        <v>7310</v>
      </c>
      <c r="D3466">
        <v>177.010199</v>
      </c>
    </row>
    <row r="3467" spans="1:4">
      <c r="A3467" t="s">
        <v>5084</v>
      </c>
      <c r="B3467" t="s">
        <v>368</v>
      </c>
      <c r="C3467" t="s">
        <v>7405</v>
      </c>
      <c r="D3467">
        <v>815.438906</v>
      </c>
    </row>
    <row r="3468" spans="1:4">
      <c r="A3468" t="s">
        <v>5085</v>
      </c>
      <c r="B3468" t="s">
        <v>368</v>
      </c>
      <c r="C3468" t="s">
        <v>7406</v>
      </c>
      <c r="D3468">
        <v>313.533772</v>
      </c>
    </row>
    <row r="3469" spans="1:4">
      <c r="A3469" t="s">
        <v>5086</v>
      </c>
      <c r="B3469" t="s">
        <v>368</v>
      </c>
      <c r="C3469" t="s">
        <v>7407</v>
      </c>
      <c r="D3469">
        <v>92.096189</v>
      </c>
    </row>
    <row r="3470" spans="1:4">
      <c r="A3470" t="s">
        <v>5087</v>
      </c>
      <c r="B3470" t="s">
        <v>368</v>
      </c>
      <c r="C3470" t="s">
        <v>7408</v>
      </c>
      <c r="D3470">
        <v>71.567949</v>
      </c>
    </row>
    <row r="3471" spans="1:4">
      <c r="A3471" t="s">
        <v>5088</v>
      </c>
      <c r="B3471" t="s">
        <v>368</v>
      </c>
      <c r="C3471" t="s">
        <v>7311</v>
      </c>
      <c r="D3471">
        <v>5.118885</v>
      </c>
    </row>
    <row r="3472" spans="1:4">
      <c r="A3472" t="s">
        <v>5089</v>
      </c>
      <c r="B3472" t="s">
        <v>368</v>
      </c>
      <c r="C3472" t="s">
        <v>7409</v>
      </c>
      <c r="D3472">
        <v>1.127264</v>
      </c>
    </row>
    <row r="3473" spans="1:4">
      <c r="A3473" t="s">
        <v>5090</v>
      </c>
      <c r="B3473" t="s">
        <v>368</v>
      </c>
      <c r="C3473" t="s">
        <v>7312</v>
      </c>
      <c r="D3473">
        <v>83.021112</v>
      </c>
    </row>
    <row r="3474" spans="1:4">
      <c r="A3474" t="s">
        <v>5091</v>
      </c>
      <c r="B3474" t="s">
        <v>368</v>
      </c>
      <c r="C3474" t="s">
        <v>7410</v>
      </c>
      <c r="D3474">
        <v>0.051582</v>
      </c>
    </row>
    <row r="3475" spans="1:4">
      <c r="A3475" t="s">
        <v>5092</v>
      </c>
      <c r="B3475" t="s">
        <v>368</v>
      </c>
      <c r="C3475" t="s">
        <v>7411</v>
      </c>
      <c r="D3475">
        <v>86.135673</v>
      </c>
    </row>
    <row r="3476" spans="1:4">
      <c r="A3476" t="s">
        <v>5093</v>
      </c>
      <c r="B3476" t="s">
        <v>368</v>
      </c>
      <c r="C3476" t="s">
        <v>7313</v>
      </c>
      <c r="D3476">
        <v>67.944902</v>
      </c>
    </row>
    <row r="3477" spans="1:4">
      <c r="A3477" t="s">
        <v>5094</v>
      </c>
      <c r="B3477" t="s">
        <v>368</v>
      </c>
      <c r="C3477" t="s">
        <v>7412</v>
      </c>
      <c r="D3477">
        <v>3.033732</v>
      </c>
    </row>
    <row r="3478" spans="1:4">
      <c r="A3478" t="s">
        <v>5095</v>
      </c>
      <c r="B3478" t="s">
        <v>368</v>
      </c>
      <c r="C3478" t="s">
        <v>7413</v>
      </c>
      <c r="D3478">
        <v>4.187434</v>
      </c>
    </row>
    <row r="3479" spans="1:4">
      <c r="A3479" t="s">
        <v>5096</v>
      </c>
      <c r="B3479" t="s">
        <v>368</v>
      </c>
      <c r="C3479" t="s">
        <v>7414</v>
      </c>
      <c r="D3479">
        <v>0.213655</v>
      </c>
    </row>
    <row r="3480" spans="1:4">
      <c r="A3480" t="s">
        <v>5097</v>
      </c>
      <c r="B3480" t="s">
        <v>368</v>
      </c>
      <c r="C3480" t="s">
        <v>7415</v>
      </c>
      <c r="D3480">
        <v>83.609021</v>
      </c>
    </row>
    <row r="3481" spans="1:4">
      <c r="A3481" t="s">
        <v>5098</v>
      </c>
      <c r="B3481" t="s">
        <v>368</v>
      </c>
      <c r="C3481" t="s">
        <v>7416</v>
      </c>
      <c r="D3481">
        <v>39.348233</v>
      </c>
    </row>
    <row r="3482" spans="1:4">
      <c r="A3482" t="s">
        <v>5099</v>
      </c>
      <c r="B3482" t="s">
        <v>368</v>
      </c>
      <c r="C3482" t="s">
        <v>7417</v>
      </c>
      <c r="D3482">
        <v>21.428489</v>
      </c>
    </row>
    <row r="3483" spans="1:4">
      <c r="A3483" t="s">
        <v>5100</v>
      </c>
      <c r="B3483" t="s">
        <v>368</v>
      </c>
      <c r="C3483" t="s">
        <v>7418</v>
      </c>
      <c r="D3483">
        <v>0.700912</v>
      </c>
    </row>
    <row r="3484" spans="1:4">
      <c r="A3484" t="s">
        <v>5101</v>
      </c>
      <c r="B3484" t="s">
        <v>368</v>
      </c>
      <c r="C3484" t="s">
        <v>7314</v>
      </c>
      <c r="D3484">
        <v>32.119883</v>
      </c>
    </row>
    <row r="3485" spans="1:4">
      <c r="A3485" t="s">
        <v>5102</v>
      </c>
      <c r="B3485" t="s">
        <v>368</v>
      </c>
      <c r="C3485" t="s">
        <v>7315</v>
      </c>
      <c r="D3485">
        <v>241.627662</v>
      </c>
    </row>
    <row r="3486" spans="1:4">
      <c r="A3486" t="s">
        <v>5103</v>
      </c>
      <c r="B3486" t="s">
        <v>368</v>
      </c>
      <c r="C3486" t="s">
        <v>7419</v>
      </c>
      <c r="D3486">
        <v>412.830551</v>
      </c>
    </row>
    <row r="3487" spans="1:4">
      <c r="A3487" t="s">
        <v>5104</v>
      </c>
      <c r="B3487" t="s">
        <v>368</v>
      </c>
      <c r="C3487" t="s">
        <v>7420</v>
      </c>
      <c r="D3487">
        <v>12.681126</v>
      </c>
    </row>
    <row r="3488" spans="1:4">
      <c r="A3488" t="s">
        <v>5105</v>
      </c>
      <c r="B3488" t="s">
        <v>368</v>
      </c>
      <c r="C3488" t="s">
        <v>7421</v>
      </c>
      <c r="D3488">
        <v>0.012681</v>
      </c>
    </row>
    <row r="3489" spans="1:4">
      <c r="A3489" t="s">
        <v>5106</v>
      </c>
      <c r="B3489" t="s">
        <v>368</v>
      </c>
      <c r="C3489" t="s">
        <v>7422</v>
      </c>
      <c r="D3489">
        <v>0.548319</v>
      </c>
    </row>
    <row r="3490" spans="1:4">
      <c r="A3490" t="s">
        <v>5107</v>
      </c>
      <c r="B3490" t="s">
        <v>368</v>
      </c>
      <c r="C3490" t="s">
        <v>7423</v>
      </c>
      <c r="D3490">
        <v>8.323461</v>
      </c>
    </row>
    <row r="3491" spans="1:4">
      <c r="A3491" t="s">
        <v>5108</v>
      </c>
      <c r="B3491" t="s">
        <v>368</v>
      </c>
      <c r="C3491" t="s">
        <v>7424</v>
      </c>
      <c r="D3491">
        <v>0.060496</v>
      </c>
    </row>
    <row r="3492" spans="1:4">
      <c r="A3492" t="s">
        <v>5109</v>
      </c>
      <c r="B3492" t="s">
        <v>368</v>
      </c>
      <c r="C3492" t="s">
        <v>7425</v>
      </c>
      <c r="D3492">
        <v>14.529091</v>
      </c>
    </row>
    <row r="3493" spans="1:4">
      <c r="A3493" t="s">
        <v>5110</v>
      </c>
      <c r="B3493" t="s">
        <v>368</v>
      </c>
      <c r="C3493" t="s">
        <v>7426</v>
      </c>
      <c r="D3493">
        <v>2.794766</v>
      </c>
    </row>
    <row r="3494" spans="1:4">
      <c r="A3494" t="s">
        <v>5111</v>
      </c>
      <c r="B3494" t="s">
        <v>368</v>
      </c>
      <c r="C3494" t="s">
        <v>7427</v>
      </c>
      <c r="D3494">
        <v>18.913155</v>
      </c>
    </row>
    <row r="3495" spans="1:4">
      <c r="A3495" t="s">
        <v>5112</v>
      </c>
      <c r="B3495" t="s">
        <v>368</v>
      </c>
      <c r="C3495" t="s">
        <v>7316</v>
      </c>
      <c r="D3495">
        <v>9.385783</v>
      </c>
    </row>
    <row r="3496" spans="1:4">
      <c r="A3496" t="s">
        <v>5113</v>
      </c>
      <c r="B3496" t="s">
        <v>368</v>
      </c>
      <c r="C3496" t="s">
        <v>7428</v>
      </c>
      <c r="D3496">
        <v>33.84299</v>
      </c>
    </row>
    <row r="3497" spans="1:4">
      <c r="A3497" t="s">
        <v>5114</v>
      </c>
      <c r="B3497" t="s">
        <v>368</v>
      </c>
      <c r="C3497" t="s">
        <v>7429</v>
      </c>
      <c r="D3497">
        <v>89.65299400000001</v>
      </c>
    </row>
    <row r="3498" spans="1:4">
      <c r="A3498" t="s">
        <v>5115</v>
      </c>
      <c r="B3498" t="s">
        <v>368</v>
      </c>
      <c r="C3498" t="s">
        <v>7430</v>
      </c>
      <c r="D3498">
        <v>106.114008</v>
      </c>
    </row>
    <row r="3499" spans="1:4">
      <c r="A3499" t="s">
        <v>5116</v>
      </c>
      <c r="B3499" t="s">
        <v>368</v>
      </c>
      <c r="C3499" t="s">
        <v>7431</v>
      </c>
      <c r="D3499">
        <v>131.54728</v>
      </c>
    </row>
    <row r="3500" spans="1:4">
      <c r="A3500" t="s">
        <v>5117</v>
      </c>
      <c r="B3500" t="s">
        <v>368</v>
      </c>
      <c r="C3500" t="s">
        <v>7317</v>
      </c>
      <c r="D3500">
        <v>6.740505</v>
      </c>
    </row>
    <row r="3501" spans="1:4">
      <c r="A3501" t="s">
        <v>5118</v>
      </c>
      <c r="B3501" t="s">
        <v>368</v>
      </c>
      <c r="C3501" t="s">
        <v>7432</v>
      </c>
      <c r="D3501">
        <v>43.375775</v>
      </c>
    </row>
    <row r="3502" spans="1:4">
      <c r="A3502" t="s">
        <v>5119</v>
      </c>
      <c r="B3502" t="s">
        <v>368</v>
      </c>
      <c r="C3502" t="s">
        <v>7433</v>
      </c>
      <c r="D3502">
        <v>216.271735</v>
      </c>
    </row>
    <row r="3503" spans="1:4">
      <c r="A3503" t="s">
        <v>5120</v>
      </c>
      <c r="B3503" t="s">
        <v>368</v>
      </c>
      <c r="C3503" t="s">
        <v>7434</v>
      </c>
      <c r="D3503">
        <v>9.881872</v>
      </c>
    </row>
    <row r="3504" spans="1:4">
      <c r="A3504" t="s">
        <v>5121</v>
      </c>
      <c r="B3504" t="s">
        <v>368</v>
      </c>
      <c r="C3504" t="s">
        <v>7435</v>
      </c>
      <c r="D3504">
        <v>0.120058</v>
      </c>
    </row>
    <row r="3505" spans="1:4">
      <c r="A3505" t="s">
        <v>5122</v>
      </c>
      <c r="B3505" t="s">
        <v>368</v>
      </c>
      <c r="C3505" t="s">
        <v>7436</v>
      </c>
      <c r="D3505">
        <v>6.990021</v>
      </c>
    </row>
    <row r="3506" spans="1:4">
      <c r="A3506" t="s">
        <v>5123</v>
      </c>
      <c r="B3506" t="s">
        <v>368</v>
      </c>
      <c r="C3506" t="s">
        <v>7437</v>
      </c>
      <c r="D3506">
        <v>0.086337</v>
      </c>
    </row>
    <row r="3507" spans="1:4">
      <c r="A3507" t="s">
        <v>5124</v>
      </c>
      <c r="B3507" t="s">
        <v>368</v>
      </c>
      <c r="C3507" t="s">
        <v>399</v>
      </c>
      <c r="D3507">
        <v>313.53322</v>
      </c>
    </row>
    <row r="3508" spans="1:4">
      <c r="A3508" t="s">
        <v>5125</v>
      </c>
      <c r="B3508" t="s">
        <v>368</v>
      </c>
      <c r="C3508" t="s">
        <v>7438</v>
      </c>
      <c r="D3508">
        <v>7.830579</v>
      </c>
    </row>
    <row r="3509" spans="1:4">
      <c r="A3509" t="s">
        <v>5126</v>
      </c>
      <c r="B3509" t="s">
        <v>368</v>
      </c>
      <c r="C3509" t="s">
        <v>7439</v>
      </c>
      <c r="D3509">
        <v>0.026209</v>
      </c>
    </row>
    <row r="3510" spans="1:4">
      <c r="A3510" t="s">
        <v>5127</v>
      </c>
      <c r="B3510" t="s">
        <v>368</v>
      </c>
      <c r="C3510" t="s">
        <v>7440</v>
      </c>
      <c r="D3510">
        <v>0.503172</v>
      </c>
    </row>
    <row r="3511" spans="1:4">
      <c r="A3511" t="s">
        <v>5128</v>
      </c>
      <c r="B3511" t="s">
        <v>368</v>
      </c>
      <c r="C3511" t="s">
        <v>7441</v>
      </c>
      <c r="D3511">
        <v>0.011942</v>
      </c>
    </row>
    <row r="3512" spans="1:4">
      <c r="A3512" t="s">
        <v>5129</v>
      </c>
      <c r="B3512" t="s">
        <v>368</v>
      </c>
      <c r="C3512" t="s">
        <v>7442</v>
      </c>
      <c r="D3512">
        <v>2.623886</v>
      </c>
    </row>
    <row r="3513" spans="1:4">
      <c r="A3513" t="s">
        <v>5130</v>
      </c>
      <c r="B3513" t="s">
        <v>368</v>
      </c>
      <c r="C3513" t="s">
        <v>7443</v>
      </c>
      <c r="D3513">
        <v>114.748029</v>
      </c>
    </row>
    <row r="3514" spans="1:4">
      <c r="A3514" t="s">
        <v>5131</v>
      </c>
      <c r="B3514" t="s">
        <v>368</v>
      </c>
      <c r="C3514" t="s">
        <v>7444</v>
      </c>
      <c r="D3514">
        <v>0.542662</v>
      </c>
    </row>
    <row r="3515" spans="1:4">
      <c r="A3515" t="s">
        <v>5132</v>
      </c>
      <c r="B3515" t="s">
        <v>368</v>
      </c>
      <c r="C3515" t="s">
        <v>7445</v>
      </c>
      <c r="D3515">
        <v>116.123638</v>
      </c>
    </row>
    <row r="3516" spans="1:4">
      <c r="A3516" t="s">
        <v>5133</v>
      </c>
      <c r="B3516" t="s">
        <v>368</v>
      </c>
      <c r="C3516" t="s">
        <v>7446</v>
      </c>
      <c r="D3516">
        <v>175.158597</v>
      </c>
    </row>
    <row r="3517" spans="1:4">
      <c r="A3517" t="s">
        <v>5134</v>
      </c>
      <c r="B3517" t="s">
        <v>368</v>
      </c>
      <c r="C3517" t="s">
        <v>7447</v>
      </c>
      <c r="D3517">
        <v>424.601215</v>
      </c>
    </row>
    <row r="3518" spans="1:4">
      <c r="A3518" t="s">
        <v>5135</v>
      </c>
      <c r="B3518" t="s">
        <v>368</v>
      </c>
      <c r="C3518" t="s">
        <v>7448</v>
      </c>
      <c r="D3518">
        <v>0.542662</v>
      </c>
    </row>
    <row r="3519" spans="1:4">
      <c r="A3519" t="s">
        <v>5136</v>
      </c>
      <c r="B3519" t="s">
        <v>368</v>
      </c>
      <c r="C3519" t="s">
        <v>7449</v>
      </c>
      <c r="D3519">
        <v>2.982961</v>
      </c>
    </row>
    <row r="3520" spans="1:4">
      <c r="A3520" t="s">
        <v>5137</v>
      </c>
      <c r="B3520" t="s">
        <v>368</v>
      </c>
      <c r="C3520" t="s">
        <v>7450</v>
      </c>
      <c r="D3520">
        <v>1.315196</v>
      </c>
    </row>
    <row r="3521" spans="1:4">
      <c r="A3521" t="s">
        <v>5138</v>
      </c>
      <c r="B3521" t="s">
        <v>368</v>
      </c>
      <c r="C3521" t="s">
        <v>7318</v>
      </c>
      <c r="D3521">
        <v>18.917983</v>
      </c>
    </row>
    <row r="3522" spans="1:4">
      <c r="A3522" t="s">
        <v>5139</v>
      </c>
      <c r="B3522" t="s">
        <v>368</v>
      </c>
      <c r="C3522" t="s">
        <v>7451</v>
      </c>
      <c r="D3522">
        <v>17.400099</v>
      </c>
    </row>
    <row r="3523" spans="1:4">
      <c r="A3523" t="s">
        <v>5140</v>
      </c>
      <c r="B3523" t="s">
        <v>368</v>
      </c>
      <c r="C3523" t="s">
        <v>7452</v>
      </c>
      <c r="D3523">
        <v>11.667543</v>
      </c>
    </row>
    <row r="3524" spans="1:4">
      <c r="A3524" t="s">
        <v>5141</v>
      </c>
      <c r="B3524" t="s">
        <v>368</v>
      </c>
      <c r="C3524" t="s">
        <v>7453</v>
      </c>
      <c r="D3524">
        <v>11.667543</v>
      </c>
    </row>
    <row r="3525" spans="1:4">
      <c r="A3525" t="s">
        <v>5142</v>
      </c>
      <c r="B3525" t="s">
        <v>369</v>
      </c>
      <c r="C3525" t="s">
        <v>397</v>
      </c>
      <c r="D3525">
        <v>354.084581</v>
      </c>
    </row>
    <row r="3526" spans="1:4">
      <c r="A3526" t="s">
        <v>5143</v>
      </c>
      <c r="B3526" t="s">
        <v>369</v>
      </c>
      <c r="C3526" t="s">
        <v>7319</v>
      </c>
      <c r="D3526">
        <v>84.65436699999999</v>
      </c>
    </row>
    <row r="3527" spans="1:4">
      <c r="A3527" t="s">
        <v>5144</v>
      </c>
      <c r="B3527" t="s">
        <v>369</v>
      </c>
      <c r="C3527" t="s">
        <v>7320</v>
      </c>
      <c r="D3527">
        <v>4.843793</v>
      </c>
    </row>
    <row r="3528" spans="1:4">
      <c r="A3528" t="s">
        <v>5145</v>
      </c>
      <c r="B3528" t="s">
        <v>369</v>
      </c>
      <c r="C3528" t="s">
        <v>7321</v>
      </c>
      <c r="D3528">
        <v>3.7504</v>
      </c>
    </row>
    <row r="3529" spans="1:4">
      <c r="A3529" t="s">
        <v>5146</v>
      </c>
      <c r="B3529" t="s">
        <v>369</v>
      </c>
      <c r="C3529" t="s">
        <v>7322</v>
      </c>
      <c r="D3529">
        <v>0.844278</v>
      </c>
    </row>
    <row r="3530" spans="1:4">
      <c r="A3530" t="s">
        <v>5147</v>
      </c>
      <c r="B3530" t="s">
        <v>369</v>
      </c>
      <c r="C3530" t="s">
        <v>7323</v>
      </c>
      <c r="D3530">
        <v>173.683342</v>
      </c>
    </row>
    <row r="3531" spans="1:4">
      <c r="A3531" t="s">
        <v>5148</v>
      </c>
      <c r="B3531" t="s">
        <v>369</v>
      </c>
      <c r="C3531" t="s">
        <v>7324</v>
      </c>
      <c r="D3531">
        <v>0.328742</v>
      </c>
    </row>
    <row r="3532" spans="1:4">
      <c r="A3532" t="s">
        <v>5149</v>
      </c>
      <c r="B3532" t="s">
        <v>369</v>
      </c>
      <c r="C3532" t="s">
        <v>7325</v>
      </c>
      <c r="D3532">
        <v>0.210815</v>
      </c>
    </row>
    <row r="3533" spans="1:4">
      <c r="A3533" t="s">
        <v>5150</v>
      </c>
      <c r="B3533" t="s">
        <v>369</v>
      </c>
      <c r="C3533" t="s">
        <v>7292</v>
      </c>
      <c r="D3533">
        <v>214.392199</v>
      </c>
    </row>
    <row r="3534" spans="1:4">
      <c r="A3534" t="s">
        <v>5151</v>
      </c>
      <c r="B3534" t="s">
        <v>369</v>
      </c>
      <c r="C3534" t="s">
        <v>7326</v>
      </c>
      <c r="D3534">
        <v>173.683342</v>
      </c>
    </row>
    <row r="3535" spans="1:4">
      <c r="A3535" t="s">
        <v>5152</v>
      </c>
      <c r="B3535" t="s">
        <v>369</v>
      </c>
      <c r="C3535" t="s">
        <v>7327</v>
      </c>
      <c r="D3535">
        <v>182.880853</v>
      </c>
    </row>
    <row r="3536" spans="1:4">
      <c r="A3536" t="s">
        <v>5153</v>
      </c>
      <c r="B3536" t="s">
        <v>369</v>
      </c>
      <c r="C3536" t="s">
        <v>7328</v>
      </c>
      <c r="D3536">
        <v>181.040572</v>
      </c>
    </row>
    <row r="3537" spans="1:4">
      <c r="A3537" t="s">
        <v>5154</v>
      </c>
      <c r="B3537" t="s">
        <v>369</v>
      </c>
      <c r="C3537" t="s">
        <v>7329</v>
      </c>
      <c r="D3537">
        <v>155.446565</v>
      </c>
    </row>
    <row r="3538" spans="1:4">
      <c r="A3538" t="s">
        <v>5155</v>
      </c>
      <c r="B3538" t="s">
        <v>369</v>
      </c>
      <c r="C3538" t="s">
        <v>7330</v>
      </c>
      <c r="D3538">
        <v>2.527924</v>
      </c>
    </row>
    <row r="3539" spans="1:4">
      <c r="A3539" t="s">
        <v>5156</v>
      </c>
      <c r="B3539" t="s">
        <v>369</v>
      </c>
      <c r="C3539" t="s">
        <v>398</v>
      </c>
      <c r="D3539">
        <v>181.040572</v>
      </c>
    </row>
    <row r="3540" spans="1:4">
      <c r="A3540" t="s">
        <v>5157</v>
      </c>
      <c r="B3540" t="s">
        <v>369</v>
      </c>
      <c r="C3540" t="s">
        <v>7331</v>
      </c>
      <c r="D3540">
        <v>826.842568</v>
      </c>
    </row>
    <row r="3541" spans="1:4">
      <c r="A3541" t="s">
        <v>5158</v>
      </c>
      <c r="B3541" t="s">
        <v>369</v>
      </c>
      <c r="C3541" t="s">
        <v>7332</v>
      </c>
      <c r="D3541">
        <v>0.103976</v>
      </c>
    </row>
    <row r="3542" spans="1:4">
      <c r="A3542" t="s">
        <v>5159</v>
      </c>
      <c r="B3542" t="s">
        <v>369</v>
      </c>
      <c r="C3542" t="s">
        <v>7333</v>
      </c>
      <c r="D3542">
        <v>310.893131</v>
      </c>
    </row>
    <row r="3543" spans="1:4">
      <c r="A3543" t="s">
        <v>5160</v>
      </c>
      <c r="B3543" t="s">
        <v>369</v>
      </c>
      <c r="C3543" t="s">
        <v>7334</v>
      </c>
      <c r="D3543">
        <v>240.192176</v>
      </c>
    </row>
    <row r="3544" spans="1:4">
      <c r="A3544" t="s">
        <v>5161</v>
      </c>
      <c r="B3544" t="s">
        <v>369</v>
      </c>
      <c r="C3544" t="s">
        <v>7335</v>
      </c>
      <c r="D3544">
        <v>45.031833</v>
      </c>
    </row>
    <row r="3545" spans="1:4">
      <c r="A3545" t="s">
        <v>5162</v>
      </c>
      <c r="B3545" t="s">
        <v>369</v>
      </c>
      <c r="C3545" t="s">
        <v>7293</v>
      </c>
      <c r="D3545">
        <v>60.026219</v>
      </c>
    </row>
    <row r="3546" spans="1:4">
      <c r="A3546" t="s">
        <v>5163</v>
      </c>
      <c r="B3546" t="s">
        <v>369</v>
      </c>
      <c r="C3546" t="s">
        <v>7336</v>
      </c>
      <c r="D3546">
        <v>310.893131</v>
      </c>
    </row>
    <row r="3547" spans="1:4">
      <c r="A3547" t="s">
        <v>5164</v>
      </c>
      <c r="B3547" t="s">
        <v>369</v>
      </c>
      <c r="C3547" t="s">
        <v>7337</v>
      </c>
      <c r="D3547">
        <v>3.29167</v>
      </c>
    </row>
    <row r="3548" spans="1:4">
      <c r="A3548" t="s">
        <v>5165</v>
      </c>
      <c r="B3548" t="s">
        <v>369</v>
      </c>
      <c r="C3548" t="s">
        <v>7338</v>
      </c>
      <c r="D3548">
        <v>21.577093</v>
      </c>
    </row>
    <row r="3549" spans="1:4">
      <c r="A3549" t="s">
        <v>5166</v>
      </c>
      <c r="B3549" t="s">
        <v>369</v>
      </c>
      <c r="C3549" t="s">
        <v>7339</v>
      </c>
      <c r="D3549">
        <v>108.055928</v>
      </c>
    </row>
    <row r="3550" spans="1:4">
      <c r="A3550" t="s">
        <v>5167</v>
      </c>
      <c r="B3550" t="s">
        <v>369</v>
      </c>
      <c r="C3550" t="s">
        <v>7340</v>
      </c>
      <c r="D3550">
        <v>155.446565</v>
      </c>
    </row>
    <row r="3551" spans="1:4">
      <c r="A3551" t="s">
        <v>5168</v>
      </c>
      <c r="B3551" t="s">
        <v>369</v>
      </c>
      <c r="C3551" t="s">
        <v>7294</v>
      </c>
      <c r="D3551">
        <v>219.123</v>
      </c>
    </row>
    <row r="3552" spans="1:4">
      <c r="A3552" t="s">
        <v>5169</v>
      </c>
      <c r="B3552" t="s">
        <v>369</v>
      </c>
      <c r="C3552" t="s">
        <v>7341</v>
      </c>
      <c r="D3552">
        <v>0.135532</v>
      </c>
    </row>
    <row r="3553" spans="1:4">
      <c r="A3553" t="s">
        <v>5170</v>
      </c>
      <c r="B3553" t="s">
        <v>369</v>
      </c>
      <c r="C3553" t="s">
        <v>7295</v>
      </c>
      <c r="D3553">
        <v>384.042175</v>
      </c>
    </row>
    <row r="3554" spans="1:4">
      <c r="A3554" t="s">
        <v>5171</v>
      </c>
      <c r="B3554" t="s">
        <v>369</v>
      </c>
      <c r="C3554" t="s">
        <v>7342</v>
      </c>
      <c r="D3554">
        <v>13344.560978</v>
      </c>
    </row>
    <row r="3555" spans="1:4">
      <c r="A3555" t="s">
        <v>5172</v>
      </c>
      <c r="B3555" t="s">
        <v>369</v>
      </c>
      <c r="C3555" t="s">
        <v>7343</v>
      </c>
      <c r="D3555">
        <v>0.337609</v>
      </c>
    </row>
    <row r="3556" spans="1:4">
      <c r="A3556" t="s">
        <v>5173</v>
      </c>
      <c r="B3556" t="s">
        <v>369</v>
      </c>
      <c r="C3556" t="s">
        <v>7344</v>
      </c>
      <c r="D3556">
        <v>45.697885</v>
      </c>
    </row>
    <row r="3557" spans="1:4">
      <c r="A3557" t="s">
        <v>5174</v>
      </c>
      <c r="B3557" t="s">
        <v>369</v>
      </c>
      <c r="C3557" t="s">
        <v>7296</v>
      </c>
      <c r="D3557">
        <v>45.670984</v>
      </c>
    </row>
    <row r="3558" spans="1:4">
      <c r="A3558" t="s">
        <v>5175</v>
      </c>
      <c r="B3558" t="s">
        <v>369</v>
      </c>
      <c r="C3558" t="s">
        <v>7345</v>
      </c>
      <c r="D3558">
        <v>0.090895</v>
      </c>
    </row>
    <row r="3559" spans="1:4">
      <c r="A3559" t="s">
        <v>5176</v>
      </c>
      <c r="B3559" t="s">
        <v>369</v>
      </c>
      <c r="C3559" t="s">
        <v>7346</v>
      </c>
      <c r="D3559">
        <v>0.684122</v>
      </c>
    </row>
    <row r="3560" spans="1:4">
      <c r="A3560" t="s">
        <v>5177</v>
      </c>
      <c r="B3560" t="s">
        <v>369</v>
      </c>
      <c r="C3560" t="s">
        <v>7347</v>
      </c>
      <c r="D3560">
        <v>12.953881</v>
      </c>
    </row>
    <row r="3561" spans="1:4">
      <c r="A3561" t="s">
        <v>5178</v>
      </c>
      <c r="B3561" t="s">
        <v>369</v>
      </c>
      <c r="C3561" t="s">
        <v>7348</v>
      </c>
      <c r="D3561">
        <v>3.211215</v>
      </c>
    </row>
    <row r="3562" spans="1:4">
      <c r="A3562" t="s">
        <v>5179</v>
      </c>
      <c r="B3562" t="s">
        <v>369</v>
      </c>
      <c r="C3562" t="s">
        <v>7297</v>
      </c>
      <c r="D3562">
        <v>14.595254</v>
      </c>
    </row>
    <row r="3563" spans="1:4">
      <c r="A3563" t="s">
        <v>5180</v>
      </c>
      <c r="B3563" t="s">
        <v>369</v>
      </c>
      <c r="C3563" t="s">
        <v>7349</v>
      </c>
      <c r="D3563">
        <v>1.749333</v>
      </c>
    </row>
    <row r="3564" spans="1:4">
      <c r="A3564" t="s">
        <v>5181</v>
      </c>
      <c r="B3564" t="s">
        <v>369</v>
      </c>
      <c r="C3564" t="s">
        <v>7298</v>
      </c>
      <c r="D3564">
        <v>47.453906</v>
      </c>
    </row>
    <row r="3565" spans="1:4">
      <c r="A3565" t="s">
        <v>5182</v>
      </c>
      <c r="B3565" t="s">
        <v>369</v>
      </c>
      <c r="C3565" t="s">
        <v>7350</v>
      </c>
      <c r="D3565">
        <v>5.29996</v>
      </c>
    </row>
    <row r="3566" spans="1:4">
      <c r="A3566" t="s">
        <v>5183</v>
      </c>
      <c r="B3566" t="s">
        <v>369</v>
      </c>
      <c r="C3566" t="s">
        <v>7351</v>
      </c>
      <c r="D3566">
        <v>2.334322</v>
      </c>
    </row>
    <row r="3567" spans="1:4">
      <c r="A3567" t="s">
        <v>5184</v>
      </c>
      <c r="B3567" t="s">
        <v>369</v>
      </c>
      <c r="C3567" t="s">
        <v>7352</v>
      </c>
      <c r="D3567">
        <v>6.28241</v>
      </c>
    </row>
    <row r="3568" spans="1:4">
      <c r="A3568" t="s">
        <v>5185</v>
      </c>
      <c r="B3568" t="s">
        <v>369</v>
      </c>
      <c r="C3568" t="s">
        <v>7353</v>
      </c>
      <c r="D3568">
        <v>20.726209</v>
      </c>
    </row>
    <row r="3569" spans="1:4">
      <c r="A3569" t="s">
        <v>5186</v>
      </c>
      <c r="B3569" t="s">
        <v>369</v>
      </c>
      <c r="C3569" t="s">
        <v>7354</v>
      </c>
      <c r="D3569">
        <v>1.884374</v>
      </c>
    </row>
    <row r="3570" spans="1:4">
      <c r="A3570" t="s">
        <v>5187</v>
      </c>
      <c r="B3570" t="s">
        <v>369</v>
      </c>
      <c r="C3570" t="s">
        <v>7355</v>
      </c>
      <c r="D3570">
        <v>137.543509</v>
      </c>
    </row>
    <row r="3571" spans="1:4">
      <c r="A3571" t="s">
        <v>5188</v>
      </c>
      <c r="B3571" t="s">
        <v>369</v>
      </c>
      <c r="C3571" t="s">
        <v>7356</v>
      </c>
      <c r="D3571">
        <v>410.461463</v>
      </c>
    </row>
    <row r="3572" spans="1:4">
      <c r="A3572" t="s">
        <v>5189</v>
      </c>
      <c r="B3572" t="s">
        <v>369</v>
      </c>
      <c r="C3572" t="s">
        <v>7357</v>
      </c>
      <c r="D3572">
        <v>47.453912</v>
      </c>
    </row>
    <row r="3573" spans="1:4">
      <c r="A3573" t="s">
        <v>5190</v>
      </c>
      <c r="B3573" t="s">
        <v>369</v>
      </c>
      <c r="C3573" t="s">
        <v>7299</v>
      </c>
      <c r="D3573">
        <v>410.460987</v>
      </c>
    </row>
    <row r="3574" spans="1:4">
      <c r="A3574" t="s">
        <v>5191</v>
      </c>
      <c r="B3574" t="s">
        <v>369</v>
      </c>
      <c r="C3574" t="s">
        <v>7358</v>
      </c>
      <c r="D3574">
        <v>117.412288</v>
      </c>
    </row>
    <row r="3575" spans="1:4">
      <c r="A3575" t="s">
        <v>5192</v>
      </c>
      <c r="B3575" t="s">
        <v>369</v>
      </c>
      <c r="C3575" t="s">
        <v>7359</v>
      </c>
      <c r="D3575">
        <v>410.461463</v>
      </c>
    </row>
    <row r="3576" spans="1:4">
      <c r="A3576" t="s">
        <v>5193</v>
      </c>
      <c r="B3576" t="s">
        <v>369</v>
      </c>
      <c r="C3576" t="s">
        <v>7360</v>
      </c>
      <c r="D3576">
        <v>27.514636</v>
      </c>
    </row>
    <row r="3577" spans="1:4">
      <c r="A3577" t="s">
        <v>5194</v>
      </c>
      <c r="B3577" t="s">
        <v>369</v>
      </c>
      <c r="C3577" t="s">
        <v>7361</v>
      </c>
      <c r="D3577">
        <v>410.461463</v>
      </c>
    </row>
    <row r="3578" spans="1:4">
      <c r="A3578" t="s">
        <v>5195</v>
      </c>
      <c r="B3578" t="s">
        <v>369</v>
      </c>
      <c r="C3578" t="s">
        <v>7362</v>
      </c>
      <c r="D3578">
        <v>4.18046</v>
      </c>
    </row>
    <row r="3579" spans="1:4">
      <c r="A3579" t="s">
        <v>5196</v>
      </c>
      <c r="B3579" t="s">
        <v>369</v>
      </c>
      <c r="C3579" t="s">
        <v>7363</v>
      </c>
      <c r="D3579">
        <v>0.035374</v>
      </c>
    </row>
    <row r="3580" spans="1:4">
      <c r="A3580" t="s">
        <v>5197</v>
      </c>
      <c r="B3580" t="s">
        <v>369</v>
      </c>
      <c r="C3580" t="s">
        <v>7364</v>
      </c>
      <c r="D3580">
        <v>40.840125</v>
      </c>
    </row>
    <row r="3581" spans="1:4">
      <c r="A3581" t="s">
        <v>5198</v>
      </c>
      <c r="B3581" t="s">
        <v>369</v>
      </c>
      <c r="C3581" t="s">
        <v>7365</v>
      </c>
      <c r="D3581">
        <v>1.48883</v>
      </c>
    </row>
    <row r="3582" spans="1:4">
      <c r="A3582" t="s">
        <v>5199</v>
      </c>
      <c r="B3582" t="s">
        <v>369</v>
      </c>
      <c r="C3582" t="s">
        <v>7300</v>
      </c>
      <c r="D3582">
        <v>39.651546</v>
      </c>
    </row>
    <row r="3583" spans="1:4">
      <c r="A3583" t="s">
        <v>5200</v>
      </c>
      <c r="B3583" t="s">
        <v>369</v>
      </c>
      <c r="C3583" t="s">
        <v>7366</v>
      </c>
      <c r="D3583">
        <v>11.639856</v>
      </c>
    </row>
    <row r="3584" spans="1:4">
      <c r="A3584" t="s">
        <v>5201</v>
      </c>
      <c r="B3584" t="s">
        <v>369</v>
      </c>
      <c r="C3584" t="s">
        <v>7367</v>
      </c>
      <c r="D3584">
        <v>46.9951</v>
      </c>
    </row>
    <row r="3585" spans="1:4">
      <c r="A3585" t="s">
        <v>5202</v>
      </c>
      <c r="B3585" t="s">
        <v>369</v>
      </c>
      <c r="C3585" t="s">
        <v>7368</v>
      </c>
      <c r="D3585">
        <v>2.382937</v>
      </c>
    </row>
    <row r="3586" spans="1:4">
      <c r="A3586" t="s">
        <v>5203</v>
      </c>
      <c r="B3586" t="s">
        <v>369</v>
      </c>
      <c r="C3586" t="s">
        <v>7301</v>
      </c>
      <c r="D3586">
        <v>0.017346</v>
      </c>
    </row>
    <row r="3587" spans="1:4">
      <c r="A3587" t="s">
        <v>5204</v>
      </c>
      <c r="B3587" t="s">
        <v>369</v>
      </c>
      <c r="C3587" t="s">
        <v>7302</v>
      </c>
      <c r="D3587">
        <v>103.681628</v>
      </c>
    </row>
    <row r="3588" spans="1:4">
      <c r="A3588" t="s">
        <v>5205</v>
      </c>
      <c r="B3588" t="s">
        <v>369</v>
      </c>
      <c r="C3588" t="s">
        <v>7369</v>
      </c>
      <c r="D3588">
        <v>410.461463</v>
      </c>
    </row>
    <row r="3589" spans="1:4">
      <c r="A3589" t="s">
        <v>5206</v>
      </c>
      <c r="B3589" t="s">
        <v>369</v>
      </c>
      <c r="C3589" t="s">
        <v>7303</v>
      </c>
      <c r="D3589">
        <v>3.292739</v>
      </c>
    </row>
    <row r="3590" spans="1:4">
      <c r="A3590" t="s">
        <v>5207</v>
      </c>
      <c r="B3590" t="s">
        <v>369</v>
      </c>
      <c r="C3590" t="s">
        <v>7370</v>
      </c>
      <c r="D3590">
        <v>0.237687</v>
      </c>
    </row>
    <row r="3591" spans="1:4">
      <c r="A3591" t="s">
        <v>5208</v>
      </c>
      <c r="B3591" t="s">
        <v>369</v>
      </c>
      <c r="C3591" t="s">
        <v>7371</v>
      </c>
      <c r="D3591">
        <v>0.000226</v>
      </c>
    </row>
    <row r="3592" spans="1:4">
      <c r="A3592" t="s">
        <v>5209</v>
      </c>
      <c r="B3592" t="s">
        <v>369</v>
      </c>
      <c r="C3592" t="s">
        <v>7304</v>
      </c>
      <c r="D3592">
        <v>2.458748</v>
      </c>
    </row>
    <row r="3593" spans="1:4">
      <c r="A3593" t="s">
        <v>5210</v>
      </c>
      <c r="B3593" t="s">
        <v>369</v>
      </c>
      <c r="C3593" t="s">
        <v>7372</v>
      </c>
      <c r="D3593">
        <v>410.461463</v>
      </c>
    </row>
    <row r="3594" spans="1:4">
      <c r="A3594" t="s">
        <v>5211</v>
      </c>
      <c r="B3594" t="s">
        <v>369</v>
      </c>
      <c r="C3594" t="s">
        <v>7373</v>
      </c>
      <c r="D3594">
        <v>1.972214</v>
      </c>
    </row>
    <row r="3595" spans="1:4">
      <c r="A3595" t="s">
        <v>5212</v>
      </c>
      <c r="B3595" t="s">
        <v>369</v>
      </c>
      <c r="C3595" t="s">
        <v>7374</v>
      </c>
      <c r="D3595">
        <v>438.49538</v>
      </c>
    </row>
    <row r="3596" spans="1:4">
      <c r="A3596" t="s">
        <v>5213</v>
      </c>
      <c r="B3596" t="s">
        <v>369</v>
      </c>
      <c r="C3596" t="s">
        <v>7305</v>
      </c>
      <c r="D3596">
        <v>1.922408</v>
      </c>
    </row>
    <row r="3597" spans="1:4">
      <c r="A3597" t="s">
        <v>5214</v>
      </c>
      <c r="B3597" t="s">
        <v>369</v>
      </c>
      <c r="C3597" t="s">
        <v>7375</v>
      </c>
      <c r="D3597">
        <v>2.398776</v>
      </c>
    </row>
    <row r="3598" spans="1:4">
      <c r="A3598" t="s">
        <v>5215</v>
      </c>
      <c r="B3598" t="s">
        <v>369</v>
      </c>
      <c r="C3598" t="s">
        <v>7376</v>
      </c>
      <c r="D3598">
        <v>3.55156</v>
      </c>
    </row>
    <row r="3599" spans="1:4">
      <c r="A3599" t="s">
        <v>5216</v>
      </c>
      <c r="B3599" t="s">
        <v>369</v>
      </c>
      <c r="C3599" t="s">
        <v>7377</v>
      </c>
      <c r="D3599">
        <v>0.07686900000000001</v>
      </c>
    </row>
    <row r="3600" spans="1:4">
      <c r="A3600" t="s">
        <v>5217</v>
      </c>
      <c r="B3600" t="s">
        <v>369</v>
      </c>
      <c r="C3600" t="s">
        <v>7378</v>
      </c>
      <c r="D3600">
        <v>214.392718</v>
      </c>
    </row>
    <row r="3601" spans="1:4">
      <c r="A3601" t="s">
        <v>5218</v>
      </c>
      <c r="B3601" t="s">
        <v>369</v>
      </c>
      <c r="C3601" t="s">
        <v>7379</v>
      </c>
      <c r="D3601">
        <v>0.719731</v>
      </c>
    </row>
    <row r="3602" spans="1:4">
      <c r="A3602" t="s">
        <v>5219</v>
      </c>
      <c r="B3602" t="s">
        <v>369</v>
      </c>
      <c r="C3602" t="s">
        <v>7306</v>
      </c>
      <c r="D3602">
        <v>0.202197</v>
      </c>
    </row>
    <row r="3603" spans="1:4">
      <c r="A3603" t="s">
        <v>5220</v>
      </c>
      <c r="B3603" t="s">
        <v>369</v>
      </c>
      <c r="C3603" t="s">
        <v>7380</v>
      </c>
      <c r="D3603">
        <v>1006.791607</v>
      </c>
    </row>
    <row r="3604" spans="1:4">
      <c r="A3604" t="s">
        <v>5221</v>
      </c>
      <c r="B3604" t="s">
        <v>369</v>
      </c>
      <c r="C3604" t="s">
        <v>7381</v>
      </c>
      <c r="D3604">
        <v>373.072085</v>
      </c>
    </row>
    <row r="3605" spans="1:4">
      <c r="A3605" t="s">
        <v>5222</v>
      </c>
      <c r="B3605" t="s">
        <v>369</v>
      </c>
      <c r="C3605" t="s">
        <v>7382</v>
      </c>
      <c r="D3605">
        <v>0.639702</v>
      </c>
    </row>
    <row r="3606" spans="1:4">
      <c r="A3606" t="s">
        <v>5223</v>
      </c>
      <c r="B3606" t="s">
        <v>369</v>
      </c>
      <c r="C3606" t="s">
        <v>7383</v>
      </c>
      <c r="D3606">
        <v>0.014132</v>
      </c>
    </row>
    <row r="3607" spans="1:4">
      <c r="A3607" t="s">
        <v>5224</v>
      </c>
      <c r="B3607" t="s">
        <v>369</v>
      </c>
      <c r="C3607" t="s">
        <v>7384</v>
      </c>
      <c r="D3607">
        <v>0.003474</v>
      </c>
    </row>
    <row r="3608" spans="1:4">
      <c r="A3608" t="s">
        <v>5225</v>
      </c>
      <c r="B3608" t="s">
        <v>369</v>
      </c>
      <c r="C3608" t="s">
        <v>7385</v>
      </c>
      <c r="D3608">
        <v>0.923952</v>
      </c>
    </row>
    <row r="3609" spans="1:4">
      <c r="A3609" t="s">
        <v>5226</v>
      </c>
      <c r="B3609" t="s">
        <v>369</v>
      </c>
      <c r="C3609" t="s">
        <v>7386</v>
      </c>
      <c r="D3609">
        <v>1.712196</v>
      </c>
    </row>
    <row r="3610" spans="1:4">
      <c r="A3610" t="s">
        <v>5227</v>
      </c>
      <c r="B3610" t="s">
        <v>369</v>
      </c>
      <c r="C3610" t="s">
        <v>7387</v>
      </c>
      <c r="D3610">
        <v>18.876153</v>
      </c>
    </row>
    <row r="3611" spans="1:4">
      <c r="A3611" t="s">
        <v>5228</v>
      </c>
      <c r="B3611" t="s">
        <v>369</v>
      </c>
      <c r="C3611" t="s">
        <v>7388</v>
      </c>
      <c r="D3611">
        <v>48.406187</v>
      </c>
    </row>
    <row r="3612" spans="1:4">
      <c r="A3612" t="s">
        <v>5229</v>
      </c>
      <c r="B3612" t="s">
        <v>369</v>
      </c>
      <c r="C3612" t="s">
        <v>7389</v>
      </c>
      <c r="D3612">
        <v>33.111708</v>
      </c>
    </row>
    <row r="3613" spans="1:4">
      <c r="A3613" t="s">
        <v>5230</v>
      </c>
      <c r="B3613" t="s">
        <v>369</v>
      </c>
      <c r="C3613" t="s">
        <v>7390</v>
      </c>
      <c r="D3613">
        <v>17.59582</v>
      </c>
    </row>
    <row r="3614" spans="1:4">
      <c r="A3614" t="s">
        <v>5231</v>
      </c>
      <c r="B3614" t="s">
        <v>369</v>
      </c>
      <c r="C3614" t="s">
        <v>7391</v>
      </c>
      <c r="D3614">
        <v>0.07299600000000001</v>
      </c>
    </row>
    <row r="3615" spans="1:4">
      <c r="A3615" t="s">
        <v>5232</v>
      </c>
      <c r="B3615" t="s">
        <v>369</v>
      </c>
      <c r="C3615" t="s">
        <v>7392</v>
      </c>
      <c r="D3615">
        <v>5.739275</v>
      </c>
    </row>
    <row r="3616" spans="1:4">
      <c r="A3616" t="s">
        <v>5233</v>
      </c>
      <c r="B3616" t="s">
        <v>369</v>
      </c>
      <c r="C3616" t="s">
        <v>7393</v>
      </c>
      <c r="D3616">
        <v>0.148578</v>
      </c>
    </row>
    <row r="3617" spans="1:4">
      <c r="A3617" t="s">
        <v>5234</v>
      </c>
      <c r="B3617" t="s">
        <v>369</v>
      </c>
      <c r="C3617" t="s">
        <v>7394</v>
      </c>
      <c r="D3617">
        <v>0.087075</v>
      </c>
    </row>
    <row r="3618" spans="1:4">
      <c r="A3618" t="s">
        <v>5235</v>
      </c>
      <c r="B3618" t="s">
        <v>369</v>
      </c>
      <c r="C3618" t="s">
        <v>7395</v>
      </c>
      <c r="D3618">
        <v>38.496698</v>
      </c>
    </row>
    <row r="3619" spans="1:4">
      <c r="A3619" t="s">
        <v>5236</v>
      </c>
      <c r="B3619" t="s">
        <v>369</v>
      </c>
      <c r="C3619" t="s">
        <v>7396</v>
      </c>
      <c r="D3619">
        <v>7.803208</v>
      </c>
    </row>
    <row r="3620" spans="1:4">
      <c r="A3620" t="s">
        <v>5237</v>
      </c>
      <c r="B3620" t="s">
        <v>369</v>
      </c>
      <c r="C3620" t="s">
        <v>7397</v>
      </c>
      <c r="D3620">
        <v>6.480019</v>
      </c>
    </row>
    <row r="3621" spans="1:4">
      <c r="A3621" t="s">
        <v>5238</v>
      </c>
      <c r="B3621" t="s">
        <v>369</v>
      </c>
      <c r="C3621" t="s">
        <v>7398</v>
      </c>
      <c r="D3621">
        <v>20.149964</v>
      </c>
    </row>
    <row r="3622" spans="1:4">
      <c r="A3622" t="s">
        <v>5239</v>
      </c>
      <c r="B3622" t="s">
        <v>369</v>
      </c>
      <c r="C3622" t="s">
        <v>7399</v>
      </c>
      <c r="D3622">
        <v>0.177882</v>
      </c>
    </row>
    <row r="3623" spans="1:4">
      <c r="A3623" t="s">
        <v>5240</v>
      </c>
      <c r="B3623" t="s">
        <v>369</v>
      </c>
      <c r="C3623" t="s">
        <v>7307</v>
      </c>
      <c r="D3623">
        <v>17.755877</v>
      </c>
    </row>
    <row r="3624" spans="1:4">
      <c r="A3624" t="s">
        <v>5241</v>
      </c>
      <c r="B3624" t="s">
        <v>369</v>
      </c>
      <c r="C3624" t="s">
        <v>7308</v>
      </c>
      <c r="D3624">
        <v>75.975289</v>
      </c>
    </row>
    <row r="3625" spans="1:4">
      <c r="A3625" t="s">
        <v>5242</v>
      </c>
      <c r="B3625" t="s">
        <v>369</v>
      </c>
      <c r="C3625" t="s">
        <v>7400</v>
      </c>
      <c r="D3625">
        <v>4.862176</v>
      </c>
    </row>
    <row r="3626" spans="1:4">
      <c r="A3626" t="s">
        <v>5243</v>
      </c>
      <c r="B3626" t="s">
        <v>369</v>
      </c>
      <c r="C3626" t="s">
        <v>7401</v>
      </c>
      <c r="D3626">
        <v>18.876153</v>
      </c>
    </row>
    <row r="3627" spans="1:4">
      <c r="A3627" t="s">
        <v>5244</v>
      </c>
      <c r="B3627" t="s">
        <v>369</v>
      </c>
      <c r="C3627" t="s">
        <v>7402</v>
      </c>
      <c r="D3627">
        <v>0.228727</v>
      </c>
    </row>
    <row r="3628" spans="1:4">
      <c r="A3628" t="s">
        <v>5245</v>
      </c>
      <c r="B3628" t="s">
        <v>369</v>
      </c>
      <c r="C3628" t="s">
        <v>7403</v>
      </c>
      <c r="D3628">
        <v>8.469816</v>
      </c>
    </row>
    <row r="3629" spans="1:4">
      <c r="A3629" t="s">
        <v>5246</v>
      </c>
      <c r="B3629" t="s">
        <v>369</v>
      </c>
      <c r="C3629" t="s">
        <v>7309</v>
      </c>
      <c r="D3629">
        <v>31.3086</v>
      </c>
    </row>
    <row r="3630" spans="1:4">
      <c r="A3630" t="s">
        <v>5247</v>
      </c>
      <c r="B3630" t="s">
        <v>369</v>
      </c>
      <c r="C3630" t="s">
        <v>7404</v>
      </c>
      <c r="D3630">
        <v>2.057293</v>
      </c>
    </row>
    <row r="3631" spans="1:4">
      <c r="A3631" t="s">
        <v>5248</v>
      </c>
      <c r="B3631" t="s">
        <v>369</v>
      </c>
      <c r="C3631" t="s">
        <v>7310</v>
      </c>
      <c r="D3631">
        <v>175.419398</v>
      </c>
    </row>
    <row r="3632" spans="1:4">
      <c r="A3632" t="s">
        <v>5249</v>
      </c>
      <c r="B3632" t="s">
        <v>369</v>
      </c>
      <c r="C3632" t="s">
        <v>7405</v>
      </c>
      <c r="D3632">
        <v>808.571046</v>
      </c>
    </row>
    <row r="3633" spans="1:4">
      <c r="A3633" t="s">
        <v>5250</v>
      </c>
      <c r="B3633" t="s">
        <v>369</v>
      </c>
      <c r="C3633" t="s">
        <v>7406</v>
      </c>
      <c r="D3633">
        <v>310.893131</v>
      </c>
    </row>
    <row r="3634" spans="1:4">
      <c r="A3634" t="s">
        <v>5251</v>
      </c>
      <c r="B3634" t="s">
        <v>369</v>
      </c>
      <c r="C3634" t="s">
        <v>7407</v>
      </c>
      <c r="D3634">
        <v>91.12835</v>
      </c>
    </row>
    <row r="3635" spans="1:4">
      <c r="A3635" t="s">
        <v>5252</v>
      </c>
      <c r="B3635" t="s">
        <v>369</v>
      </c>
      <c r="C3635" t="s">
        <v>7408</v>
      </c>
      <c r="D3635">
        <v>71.088303</v>
      </c>
    </row>
    <row r="3636" spans="1:4">
      <c r="A3636" t="s">
        <v>5253</v>
      </c>
      <c r="B3636" t="s">
        <v>369</v>
      </c>
      <c r="C3636" t="s">
        <v>7311</v>
      </c>
      <c r="D3636">
        <v>5.068531</v>
      </c>
    </row>
    <row r="3637" spans="1:4">
      <c r="A3637" t="s">
        <v>5254</v>
      </c>
      <c r="B3637" t="s">
        <v>369</v>
      </c>
      <c r="C3637" t="s">
        <v>7409</v>
      </c>
      <c r="D3637">
        <v>1.118547</v>
      </c>
    </row>
    <row r="3638" spans="1:4">
      <c r="A3638" t="s">
        <v>5255</v>
      </c>
      <c r="B3638" t="s">
        <v>369</v>
      </c>
      <c r="C3638" t="s">
        <v>7312</v>
      </c>
      <c r="D3638">
        <v>82.596171</v>
      </c>
    </row>
    <row r="3639" spans="1:4">
      <c r="A3639" t="s">
        <v>5256</v>
      </c>
      <c r="B3639" t="s">
        <v>369</v>
      </c>
      <c r="C3639" t="s">
        <v>7410</v>
      </c>
      <c r="D3639">
        <v>0.050817</v>
      </c>
    </row>
    <row r="3640" spans="1:4">
      <c r="A3640" t="s">
        <v>5257</v>
      </c>
      <c r="B3640" t="s">
        <v>369</v>
      </c>
      <c r="C3640" t="s">
        <v>7411</v>
      </c>
      <c r="D3640">
        <v>85.410207</v>
      </c>
    </row>
    <row r="3641" spans="1:4">
      <c r="A3641" t="s">
        <v>5258</v>
      </c>
      <c r="B3641" t="s">
        <v>369</v>
      </c>
      <c r="C3641" t="s">
        <v>7313</v>
      </c>
      <c r="D3641">
        <v>67.589607</v>
      </c>
    </row>
    <row r="3642" spans="1:4">
      <c r="A3642" t="s">
        <v>5259</v>
      </c>
      <c r="B3642" t="s">
        <v>369</v>
      </c>
      <c r="C3642" t="s">
        <v>7412</v>
      </c>
      <c r="D3642">
        <v>3.016365</v>
      </c>
    </row>
    <row r="3643" spans="1:4">
      <c r="A3643" t="s">
        <v>5260</v>
      </c>
      <c r="B3643" t="s">
        <v>369</v>
      </c>
      <c r="C3643" t="s">
        <v>7413</v>
      </c>
      <c r="D3643">
        <v>4.031419</v>
      </c>
    </row>
    <row r="3644" spans="1:4">
      <c r="A3644" t="s">
        <v>5261</v>
      </c>
      <c r="B3644" t="s">
        <v>369</v>
      </c>
      <c r="C3644" t="s">
        <v>7414</v>
      </c>
      <c r="D3644">
        <v>0.211872</v>
      </c>
    </row>
    <row r="3645" spans="1:4">
      <c r="A3645" t="s">
        <v>5262</v>
      </c>
      <c r="B3645" t="s">
        <v>369</v>
      </c>
      <c r="C3645" t="s">
        <v>7415</v>
      </c>
      <c r="D3645">
        <v>82.90483999999999</v>
      </c>
    </row>
    <row r="3646" spans="1:4">
      <c r="A3646" t="s">
        <v>5263</v>
      </c>
      <c r="B3646" t="s">
        <v>369</v>
      </c>
      <c r="C3646" t="s">
        <v>7416</v>
      </c>
      <c r="D3646">
        <v>39.042073</v>
      </c>
    </row>
    <row r="3647" spans="1:4">
      <c r="A3647" t="s">
        <v>5264</v>
      </c>
      <c r="B3647" t="s">
        <v>369</v>
      </c>
      <c r="C3647" t="s">
        <v>7417</v>
      </c>
      <c r="D3647">
        <v>21.235031</v>
      </c>
    </row>
    <row r="3648" spans="1:4">
      <c r="A3648" t="s">
        <v>5265</v>
      </c>
      <c r="B3648" t="s">
        <v>369</v>
      </c>
      <c r="C3648" t="s">
        <v>7418</v>
      </c>
      <c r="D3648">
        <v>0.696878</v>
      </c>
    </row>
    <row r="3649" spans="1:4">
      <c r="A3649" t="s">
        <v>5266</v>
      </c>
      <c r="B3649" t="s">
        <v>369</v>
      </c>
      <c r="C3649" t="s">
        <v>7314</v>
      </c>
      <c r="D3649">
        <v>31.95839</v>
      </c>
    </row>
    <row r="3650" spans="1:4">
      <c r="A3650" t="s">
        <v>5267</v>
      </c>
      <c r="B3650" t="s">
        <v>369</v>
      </c>
      <c r="C3650" t="s">
        <v>7315</v>
      </c>
      <c r="D3650">
        <v>240.192013</v>
      </c>
    </row>
    <row r="3651" spans="1:4">
      <c r="A3651" t="s">
        <v>5268</v>
      </c>
      <c r="B3651" t="s">
        <v>369</v>
      </c>
      <c r="C3651" t="s">
        <v>7419</v>
      </c>
      <c r="D3651">
        <v>410.461463</v>
      </c>
    </row>
    <row r="3652" spans="1:4">
      <c r="A3652" t="s">
        <v>5269</v>
      </c>
      <c r="B3652" t="s">
        <v>369</v>
      </c>
      <c r="C3652" t="s">
        <v>7420</v>
      </c>
      <c r="D3652">
        <v>12.574314</v>
      </c>
    </row>
    <row r="3653" spans="1:4">
      <c r="A3653" t="s">
        <v>5270</v>
      </c>
      <c r="B3653" t="s">
        <v>369</v>
      </c>
      <c r="C3653" t="s">
        <v>7421</v>
      </c>
      <c r="D3653">
        <v>0.012574</v>
      </c>
    </row>
    <row r="3654" spans="1:4">
      <c r="A3654" t="s">
        <v>5271</v>
      </c>
      <c r="B3654" t="s">
        <v>369</v>
      </c>
      <c r="C3654" t="s">
        <v>7422</v>
      </c>
      <c r="D3654">
        <v>0.545163</v>
      </c>
    </row>
    <row r="3655" spans="1:4">
      <c r="A3655" t="s">
        <v>5272</v>
      </c>
      <c r="B3655" t="s">
        <v>369</v>
      </c>
      <c r="C3655" t="s">
        <v>7423</v>
      </c>
      <c r="D3655">
        <v>8.275547</v>
      </c>
    </row>
    <row r="3656" spans="1:4">
      <c r="A3656" t="s">
        <v>5273</v>
      </c>
      <c r="B3656" t="s">
        <v>369</v>
      </c>
      <c r="C3656" t="s">
        <v>7424</v>
      </c>
      <c r="D3656">
        <v>0.065814</v>
      </c>
    </row>
    <row r="3657" spans="1:4">
      <c r="A3657" t="s">
        <v>5274</v>
      </c>
      <c r="B3657" t="s">
        <v>369</v>
      </c>
      <c r="C3657" t="s">
        <v>7425</v>
      </c>
      <c r="D3657">
        <v>14.452432</v>
      </c>
    </row>
    <row r="3658" spans="1:4">
      <c r="A3658" t="s">
        <v>5275</v>
      </c>
      <c r="B3658" t="s">
        <v>369</v>
      </c>
      <c r="C3658" t="s">
        <v>7426</v>
      </c>
      <c r="D3658">
        <v>2.747995</v>
      </c>
    </row>
    <row r="3659" spans="1:4">
      <c r="A3659" t="s">
        <v>5276</v>
      </c>
      <c r="B3659" t="s">
        <v>369</v>
      </c>
      <c r="C3659" t="s">
        <v>7427</v>
      </c>
      <c r="D3659">
        <v>18.876153</v>
      </c>
    </row>
    <row r="3660" spans="1:4">
      <c r="A3660" t="s">
        <v>5277</v>
      </c>
      <c r="B3660" t="s">
        <v>369</v>
      </c>
      <c r="C3660" t="s">
        <v>7316</v>
      </c>
      <c r="D3660">
        <v>9.311646</v>
      </c>
    </row>
    <row r="3661" spans="1:4">
      <c r="A3661" t="s">
        <v>5278</v>
      </c>
      <c r="B3661" t="s">
        <v>369</v>
      </c>
      <c r="C3661" t="s">
        <v>7428</v>
      </c>
      <c r="D3661">
        <v>33.472385</v>
      </c>
    </row>
    <row r="3662" spans="1:4">
      <c r="A3662" t="s">
        <v>5279</v>
      </c>
      <c r="B3662" t="s">
        <v>369</v>
      </c>
      <c r="C3662" t="s">
        <v>7429</v>
      </c>
      <c r="D3662">
        <v>88.81013299999999</v>
      </c>
    </row>
    <row r="3663" spans="1:4">
      <c r="A3663" t="s">
        <v>5280</v>
      </c>
      <c r="B3663" t="s">
        <v>369</v>
      </c>
      <c r="C3663" t="s">
        <v>7430</v>
      </c>
      <c r="D3663">
        <v>105.267618</v>
      </c>
    </row>
    <row r="3664" spans="1:4">
      <c r="A3664" t="s">
        <v>5281</v>
      </c>
      <c r="B3664" t="s">
        <v>369</v>
      </c>
      <c r="C3664" t="s">
        <v>7431</v>
      </c>
      <c r="D3664">
        <v>130.542474</v>
      </c>
    </row>
    <row r="3665" spans="1:4">
      <c r="A3665" t="s">
        <v>5282</v>
      </c>
      <c r="B3665" t="s">
        <v>369</v>
      </c>
      <c r="C3665" t="s">
        <v>7317</v>
      </c>
      <c r="D3665">
        <v>6.663246</v>
      </c>
    </row>
    <row r="3666" spans="1:4">
      <c r="A3666" t="s">
        <v>5283</v>
      </c>
      <c r="B3666" t="s">
        <v>369</v>
      </c>
      <c r="C3666" t="s">
        <v>7432</v>
      </c>
      <c r="D3666">
        <v>41.680355</v>
      </c>
    </row>
    <row r="3667" spans="1:4">
      <c r="A3667" t="s">
        <v>5284</v>
      </c>
      <c r="B3667" t="s">
        <v>369</v>
      </c>
      <c r="C3667" t="s">
        <v>7433</v>
      </c>
      <c r="D3667">
        <v>214.392718</v>
      </c>
    </row>
    <row r="3668" spans="1:4">
      <c r="A3668" t="s">
        <v>5285</v>
      </c>
      <c r="B3668" t="s">
        <v>369</v>
      </c>
      <c r="C3668" t="s">
        <v>7434</v>
      </c>
      <c r="D3668">
        <v>9.764771</v>
      </c>
    </row>
    <row r="3669" spans="1:4">
      <c r="A3669" t="s">
        <v>5286</v>
      </c>
      <c r="B3669" t="s">
        <v>369</v>
      </c>
      <c r="C3669" t="s">
        <v>7435</v>
      </c>
      <c r="D3669">
        <v>0.119063</v>
      </c>
    </row>
    <row r="3670" spans="1:4">
      <c r="A3670" t="s">
        <v>5287</v>
      </c>
      <c r="B3670" t="s">
        <v>369</v>
      </c>
      <c r="C3670" t="s">
        <v>7436</v>
      </c>
      <c r="D3670">
        <v>6.918354</v>
      </c>
    </row>
    <row r="3671" spans="1:4">
      <c r="A3671" t="s">
        <v>5288</v>
      </c>
      <c r="B3671" t="s">
        <v>369</v>
      </c>
      <c r="C3671" t="s">
        <v>7437</v>
      </c>
      <c r="D3671">
        <v>0.085158</v>
      </c>
    </row>
    <row r="3672" spans="1:4">
      <c r="A3672" t="s">
        <v>5289</v>
      </c>
      <c r="B3672" t="s">
        <v>369</v>
      </c>
      <c r="C3672" t="s">
        <v>399</v>
      </c>
      <c r="D3672">
        <v>310.892312</v>
      </c>
    </row>
    <row r="3673" spans="1:4">
      <c r="A3673" t="s">
        <v>5290</v>
      </c>
      <c r="B3673" t="s">
        <v>369</v>
      </c>
      <c r="C3673" t="s">
        <v>7438</v>
      </c>
      <c r="D3673">
        <v>7.779892</v>
      </c>
    </row>
    <row r="3674" spans="1:4">
      <c r="A3674" t="s">
        <v>5291</v>
      </c>
      <c r="B3674" t="s">
        <v>369</v>
      </c>
      <c r="C3674" t="s">
        <v>7439</v>
      </c>
      <c r="D3674">
        <v>0.025918</v>
      </c>
    </row>
    <row r="3675" spans="1:4">
      <c r="A3675" t="s">
        <v>5292</v>
      </c>
      <c r="B3675" t="s">
        <v>369</v>
      </c>
      <c r="C3675" t="s">
        <v>7440</v>
      </c>
      <c r="D3675">
        <v>0.498639</v>
      </c>
    </row>
    <row r="3676" spans="1:4">
      <c r="A3676" t="s">
        <v>5293</v>
      </c>
      <c r="B3676" t="s">
        <v>369</v>
      </c>
      <c r="C3676" t="s">
        <v>7441</v>
      </c>
      <c r="D3676">
        <v>0.011848</v>
      </c>
    </row>
    <row r="3677" spans="1:4">
      <c r="A3677" t="s">
        <v>5294</v>
      </c>
      <c r="B3677" t="s">
        <v>369</v>
      </c>
      <c r="C3677" t="s">
        <v>7442</v>
      </c>
      <c r="D3677">
        <v>2.603111</v>
      </c>
    </row>
    <row r="3678" spans="1:4">
      <c r="A3678" t="s">
        <v>5295</v>
      </c>
      <c r="B3678" t="s">
        <v>369</v>
      </c>
      <c r="C3678" t="s">
        <v>7443</v>
      </c>
      <c r="D3678">
        <v>113.504437</v>
      </c>
    </row>
    <row r="3679" spans="1:4">
      <c r="A3679" t="s">
        <v>5296</v>
      </c>
      <c r="B3679" t="s">
        <v>369</v>
      </c>
      <c r="C3679" t="s">
        <v>7444</v>
      </c>
      <c r="D3679">
        <v>0.539798</v>
      </c>
    </row>
    <row r="3680" spans="1:4">
      <c r="A3680" t="s">
        <v>5297</v>
      </c>
      <c r="B3680" t="s">
        <v>369</v>
      </c>
      <c r="C3680" t="s">
        <v>7445</v>
      </c>
      <c r="D3680">
        <v>115.1456</v>
      </c>
    </row>
    <row r="3681" spans="1:4">
      <c r="A3681" t="s">
        <v>5298</v>
      </c>
      <c r="B3681" t="s">
        <v>369</v>
      </c>
      <c r="C3681" t="s">
        <v>7446</v>
      </c>
      <c r="D3681">
        <v>173.683342</v>
      </c>
    </row>
    <row r="3682" spans="1:4">
      <c r="A3682" t="s">
        <v>5299</v>
      </c>
      <c r="B3682" t="s">
        <v>369</v>
      </c>
      <c r="C3682" t="s">
        <v>7447</v>
      </c>
      <c r="D3682">
        <v>421.703467</v>
      </c>
    </row>
    <row r="3683" spans="1:4">
      <c r="A3683" t="s">
        <v>5300</v>
      </c>
      <c r="B3683" t="s">
        <v>369</v>
      </c>
      <c r="C3683" t="s">
        <v>7448</v>
      </c>
      <c r="D3683">
        <v>0.539798</v>
      </c>
    </row>
    <row r="3684" spans="1:4">
      <c r="A3684" t="s">
        <v>5301</v>
      </c>
      <c r="B3684" t="s">
        <v>369</v>
      </c>
      <c r="C3684" t="s">
        <v>7449</v>
      </c>
      <c r="D3684">
        <v>2.967222</v>
      </c>
    </row>
    <row r="3685" spans="1:4">
      <c r="A3685" t="s">
        <v>5302</v>
      </c>
      <c r="B3685" t="s">
        <v>369</v>
      </c>
      <c r="C3685" t="s">
        <v>7450</v>
      </c>
      <c r="D3685">
        <v>1.305246</v>
      </c>
    </row>
    <row r="3686" spans="1:4">
      <c r="A3686" t="s">
        <v>5303</v>
      </c>
      <c r="B3686" t="s">
        <v>369</v>
      </c>
      <c r="C3686" t="s">
        <v>7318</v>
      </c>
      <c r="D3686">
        <v>18.876138</v>
      </c>
    </row>
    <row r="3687" spans="1:4">
      <c r="A3687" t="s">
        <v>5304</v>
      </c>
      <c r="B3687" t="s">
        <v>369</v>
      </c>
      <c r="C3687" t="s">
        <v>7451</v>
      </c>
      <c r="D3687">
        <v>17.188412</v>
      </c>
    </row>
    <row r="3688" spans="1:4">
      <c r="A3688" t="s">
        <v>5305</v>
      </c>
      <c r="B3688" t="s">
        <v>369</v>
      </c>
      <c r="C3688" t="s">
        <v>7452</v>
      </c>
      <c r="D3688">
        <v>11.600202</v>
      </c>
    </row>
    <row r="3689" spans="1:4">
      <c r="A3689" t="s">
        <v>5306</v>
      </c>
      <c r="B3689" t="s">
        <v>369</v>
      </c>
      <c r="C3689" t="s">
        <v>7453</v>
      </c>
      <c r="D3689">
        <v>11.600202</v>
      </c>
    </row>
    <row r="3690" spans="1:4">
      <c r="A3690" t="s">
        <v>5307</v>
      </c>
      <c r="B3690" t="s">
        <v>370</v>
      </c>
      <c r="C3690" t="s">
        <v>397</v>
      </c>
      <c r="D3690">
        <v>354.134497</v>
      </c>
    </row>
    <row r="3691" spans="1:4">
      <c r="A3691" t="s">
        <v>5308</v>
      </c>
      <c r="B3691" t="s">
        <v>370</v>
      </c>
      <c r="C3691" t="s">
        <v>7319</v>
      </c>
      <c r="D3691">
        <v>84.46939999999999</v>
      </c>
    </row>
    <row r="3692" spans="1:4">
      <c r="A3692" t="s">
        <v>5309</v>
      </c>
      <c r="B3692" t="s">
        <v>370</v>
      </c>
      <c r="C3692" t="s">
        <v>7320</v>
      </c>
      <c r="D3692">
        <v>4.841892</v>
      </c>
    </row>
    <row r="3693" spans="1:4">
      <c r="A3693" t="s">
        <v>5310</v>
      </c>
      <c r="B3693" t="s">
        <v>370</v>
      </c>
      <c r="C3693" t="s">
        <v>7321</v>
      </c>
      <c r="D3693">
        <v>3.759393</v>
      </c>
    </row>
    <row r="3694" spans="1:4">
      <c r="A3694" t="s">
        <v>5311</v>
      </c>
      <c r="B3694" t="s">
        <v>370</v>
      </c>
      <c r="C3694" t="s">
        <v>7322</v>
      </c>
      <c r="D3694">
        <v>0.843897</v>
      </c>
    </row>
    <row r="3695" spans="1:4">
      <c r="A3695" t="s">
        <v>5312</v>
      </c>
      <c r="B3695" t="s">
        <v>370</v>
      </c>
      <c r="C3695" t="s">
        <v>7323</v>
      </c>
      <c r="D3695">
        <v>173.303784</v>
      </c>
    </row>
    <row r="3696" spans="1:4">
      <c r="A3696" t="s">
        <v>5313</v>
      </c>
      <c r="B3696" t="s">
        <v>370</v>
      </c>
      <c r="C3696" t="s">
        <v>7324</v>
      </c>
      <c r="D3696">
        <v>0.326893</v>
      </c>
    </row>
    <row r="3697" spans="1:4">
      <c r="A3697" t="s">
        <v>5314</v>
      </c>
      <c r="B3697" t="s">
        <v>370</v>
      </c>
      <c r="C3697" t="s">
        <v>7325</v>
      </c>
      <c r="D3697">
        <v>0.209511</v>
      </c>
    </row>
    <row r="3698" spans="1:4">
      <c r="A3698" t="s">
        <v>5315</v>
      </c>
      <c r="B3698" t="s">
        <v>370</v>
      </c>
      <c r="C3698" t="s">
        <v>7292</v>
      </c>
      <c r="D3698">
        <v>213.730853</v>
      </c>
    </row>
    <row r="3699" spans="1:4">
      <c r="A3699" t="s">
        <v>5316</v>
      </c>
      <c r="B3699" t="s">
        <v>370</v>
      </c>
      <c r="C3699" t="s">
        <v>7326</v>
      </c>
      <c r="D3699">
        <v>173.303784</v>
      </c>
    </row>
    <row r="3700" spans="1:4">
      <c r="A3700" t="s">
        <v>5317</v>
      </c>
      <c r="B3700" t="s">
        <v>370</v>
      </c>
      <c r="C3700" t="s">
        <v>7327</v>
      </c>
      <c r="D3700">
        <v>182.790511</v>
      </c>
    </row>
    <row r="3701" spans="1:4">
      <c r="A3701" t="s">
        <v>5318</v>
      </c>
      <c r="B3701" t="s">
        <v>370</v>
      </c>
      <c r="C3701" t="s">
        <v>7328</v>
      </c>
      <c r="D3701">
        <v>181.066093</v>
      </c>
    </row>
    <row r="3702" spans="1:4">
      <c r="A3702" t="s">
        <v>5319</v>
      </c>
      <c r="B3702" t="s">
        <v>370</v>
      </c>
      <c r="C3702" t="s">
        <v>7329</v>
      </c>
      <c r="D3702">
        <v>155.106903</v>
      </c>
    </row>
    <row r="3703" spans="1:4">
      <c r="A3703" t="s">
        <v>5320</v>
      </c>
      <c r="B3703" t="s">
        <v>370</v>
      </c>
      <c r="C3703" t="s">
        <v>7330</v>
      </c>
      <c r="D3703">
        <v>2.519859</v>
      </c>
    </row>
    <row r="3704" spans="1:4">
      <c r="A3704" t="s">
        <v>5321</v>
      </c>
      <c r="B3704" t="s">
        <v>370</v>
      </c>
      <c r="C3704" t="s">
        <v>398</v>
      </c>
      <c r="D3704">
        <v>181.066093</v>
      </c>
    </row>
    <row r="3705" spans="1:4">
      <c r="A3705" t="s">
        <v>5322</v>
      </c>
      <c r="B3705" t="s">
        <v>370</v>
      </c>
      <c r="C3705" t="s">
        <v>7331</v>
      </c>
      <c r="D3705">
        <v>825.036395</v>
      </c>
    </row>
    <row r="3706" spans="1:4">
      <c r="A3706" t="s">
        <v>5323</v>
      </c>
      <c r="B3706" t="s">
        <v>370</v>
      </c>
      <c r="C3706" t="s">
        <v>7332</v>
      </c>
      <c r="D3706">
        <v>0.103949</v>
      </c>
    </row>
    <row r="3707" spans="1:4">
      <c r="A3707" t="s">
        <v>5324</v>
      </c>
      <c r="B3707" t="s">
        <v>370</v>
      </c>
      <c r="C3707" t="s">
        <v>7333</v>
      </c>
      <c r="D3707">
        <v>310.213806</v>
      </c>
    </row>
    <row r="3708" spans="1:4">
      <c r="A3708" t="s">
        <v>5325</v>
      </c>
      <c r="B3708" t="s">
        <v>370</v>
      </c>
      <c r="C3708" t="s">
        <v>7334</v>
      </c>
      <c r="D3708">
        <v>239.95502</v>
      </c>
    </row>
    <row r="3709" spans="1:4">
      <c r="A3709" t="s">
        <v>5326</v>
      </c>
      <c r="B3709" t="s">
        <v>370</v>
      </c>
      <c r="C3709" t="s">
        <v>7335</v>
      </c>
      <c r="D3709">
        <v>44.904734</v>
      </c>
    </row>
    <row r="3710" spans="1:4">
      <c r="A3710" t="s">
        <v>5327</v>
      </c>
      <c r="B3710" t="s">
        <v>370</v>
      </c>
      <c r="C3710" t="s">
        <v>7293</v>
      </c>
      <c r="D3710">
        <v>60.04934</v>
      </c>
    </row>
    <row r="3711" spans="1:4">
      <c r="A3711" t="s">
        <v>5328</v>
      </c>
      <c r="B3711" t="s">
        <v>370</v>
      </c>
      <c r="C3711" t="s">
        <v>7336</v>
      </c>
      <c r="D3711">
        <v>310.213806</v>
      </c>
    </row>
    <row r="3712" spans="1:4">
      <c r="A3712" t="s">
        <v>5329</v>
      </c>
      <c r="B3712" t="s">
        <v>370</v>
      </c>
      <c r="C3712" t="s">
        <v>7337</v>
      </c>
      <c r="D3712">
        <v>3.283158</v>
      </c>
    </row>
    <row r="3713" spans="1:4">
      <c r="A3713" t="s">
        <v>5330</v>
      </c>
      <c r="B3713" t="s">
        <v>370</v>
      </c>
      <c r="C3713" t="s">
        <v>7338</v>
      </c>
      <c r="D3713">
        <v>21.970718</v>
      </c>
    </row>
    <row r="3714" spans="1:4">
      <c r="A3714" t="s">
        <v>5331</v>
      </c>
      <c r="B3714" t="s">
        <v>370</v>
      </c>
      <c r="C3714" t="s">
        <v>7339</v>
      </c>
      <c r="D3714">
        <v>107.09501</v>
      </c>
    </row>
    <row r="3715" spans="1:4">
      <c r="A3715" t="s">
        <v>5332</v>
      </c>
      <c r="B3715" t="s">
        <v>370</v>
      </c>
      <c r="C3715" t="s">
        <v>7340</v>
      </c>
      <c r="D3715">
        <v>155.106903</v>
      </c>
    </row>
    <row r="3716" spans="1:4">
      <c r="A3716" t="s">
        <v>5333</v>
      </c>
      <c r="B3716" t="s">
        <v>370</v>
      </c>
      <c r="C3716" t="s">
        <v>7294</v>
      </c>
      <c r="D3716">
        <v>218.379792</v>
      </c>
    </row>
    <row r="3717" spans="1:4">
      <c r="A3717" t="s">
        <v>5334</v>
      </c>
      <c r="B3717" t="s">
        <v>370</v>
      </c>
      <c r="C3717" t="s">
        <v>7341</v>
      </c>
      <c r="D3717">
        <v>0.134374</v>
      </c>
    </row>
    <row r="3718" spans="1:4">
      <c r="A3718" t="s">
        <v>5335</v>
      </c>
      <c r="B3718" t="s">
        <v>370</v>
      </c>
      <c r="C3718" t="s">
        <v>7295</v>
      </c>
      <c r="D3718">
        <v>383.833624</v>
      </c>
    </row>
    <row r="3719" spans="1:4">
      <c r="A3719" t="s">
        <v>5336</v>
      </c>
      <c r="B3719" t="s">
        <v>370</v>
      </c>
      <c r="C3719" t="s">
        <v>7342</v>
      </c>
      <c r="D3719">
        <v>13318.834744</v>
      </c>
    </row>
    <row r="3720" spans="1:4">
      <c r="A3720" t="s">
        <v>5337</v>
      </c>
      <c r="B3720" t="s">
        <v>370</v>
      </c>
      <c r="C3720" t="s">
        <v>7343</v>
      </c>
      <c r="D3720">
        <v>0.336958</v>
      </c>
    </row>
    <row r="3721" spans="1:4">
      <c r="A3721" t="s">
        <v>5338</v>
      </c>
      <c r="B3721" t="s">
        <v>370</v>
      </c>
      <c r="C3721" t="s">
        <v>7344</v>
      </c>
      <c r="D3721">
        <v>45.63336</v>
      </c>
    </row>
    <row r="3722" spans="1:4">
      <c r="A3722" t="s">
        <v>5339</v>
      </c>
      <c r="B3722" t="s">
        <v>370</v>
      </c>
      <c r="C3722" t="s">
        <v>7296</v>
      </c>
      <c r="D3722">
        <v>45.622079</v>
      </c>
    </row>
    <row r="3723" spans="1:4">
      <c r="A3723" t="s">
        <v>5340</v>
      </c>
      <c r="B3723" t="s">
        <v>370</v>
      </c>
      <c r="C3723" t="s">
        <v>7345</v>
      </c>
      <c r="D3723">
        <v>0.089897</v>
      </c>
    </row>
    <row r="3724" spans="1:4">
      <c r="A3724" t="s">
        <v>5341</v>
      </c>
      <c r="B3724" t="s">
        <v>370</v>
      </c>
      <c r="C3724" t="s">
        <v>7346</v>
      </c>
      <c r="D3724">
        <v>0.684308</v>
      </c>
    </row>
    <row r="3725" spans="1:4">
      <c r="A3725" t="s">
        <v>5342</v>
      </c>
      <c r="B3725" t="s">
        <v>370</v>
      </c>
      <c r="C3725" t="s">
        <v>7347</v>
      </c>
      <c r="D3725">
        <v>12.925577</v>
      </c>
    </row>
    <row r="3726" spans="1:4">
      <c r="A3726" t="s">
        <v>5343</v>
      </c>
      <c r="B3726" t="s">
        <v>370</v>
      </c>
      <c r="C3726" t="s">
        <v>7348</v>
      </c>
      <c r="D3726">
        <v>3.211667</v>
      </c>
    </row>
    <row r="3727" spans="1:4">
      <c r="A3727" t="s">
        <v>5344</v>
      </c>
      <c r="B3727" t="s">
        <v>370</v>
      </c>
      <c r="C3727" t="s">
        <v>7297</v>
      </c>
      <c r="D3727">
        <v>14.597262</v>
      </c>
    </row>
    <row r="3728" spans="1:4">
      <c r="A3728" t="s">
        <v>5345</v>
      </c>
      <c r="B3728" t="s">
        <v>370</v>
      </c>
      <c r="C3728" t="s">
        <v>7349</v>
      </c>
      <c r="D3728">
        <v>1.74551</v>
      </c>
    </row>
    <row r="3729" spans="1:4">
      <c r="A3729" t="s">
        <v>5346</v>
      </c>
      <c r="B3729" t="s">
        <v>370</v>
      </c>
      <c r="C3729" t="s">
        <v>7298</v>
      </c>
      <c r="D3729">
        <v>47.448526</v>
      </c>
    </row>
    <row r="3730" spans="1:4">
      <c r="A3730" t="s">
        <v>5347</v>
      </c>
      <c r="B3730" t="s">
        <v>370</v>
      </c>
      <c r="C3730" t="s">
        <v>7350</v>
      </c>
      <c r="D3730">
        <v>5.257125</v>
      </c>
    </row>
    <row r="3731" spans="1:4">
      <c r="A3731" t="s">
        <v>5348</v>
      </c>
      <c r="B3731" t="s">
        <v>370</v>
      </c>
      <c r="C3731" t="s">
        <v>7351</v>
      </c>
      <c r="D3731">
        <v>2.331119</v>
      </c>
    </row>
    <row r="3732" spans="1:4">
      <c r="A3732" t="s">
        <v>5349</v>
      </c>
      <c r="B3732" t="s">
        <v>370</v>
      </c>
      <c r="C3732" t="s">
        <v>7352</v>
      </c>
      <c r="D3732">
        <v>6.303565</v>
      </c>
    </row>
    <row r="3733" spans="1:4">
      <c r="A3733" t="s">
        <v>5350</v>
      </c>
      <c r="B3733" t="s">
        <v>370</v>
      </c>
      <c r="C3733" t="s">
        <v>7353</v>
      </c>
      <c r="D3733">
        <v>20.680923</v>
      </c>
    </row>
    <row r="3734" spans="1:4">
      <c r="A3734" t="s">
        <v>5351</v>
      </c>
      <c r="B3734" t="s">
        <v>370</v>
      </c>
      <c r="C3734" t="s">
        <v>7354</v>
      </c>
      <c r="D3734">
        <v>1.927148</v>
      </c>
    </row>
    <row r="3735" spans="1:4">
      <c r="A3735" t="s">
        <v>5352</v>
      </c>
      <c r="B3735" t="s">
        <v>370</v>
      </c>
      <c r="C3735" t="s">
        <v>7355</v>
      </c>
      <c r="D3735">
        <v>138.416297</v>
      </c>
    </row>
    <row r="3736" spans="1:4">
      <c r="A3736" t="s">
        <v>5353</v>
      </c>
      <c r="B3736" t="s">
        <v>370</v>
      </c>
      <c r="C3736" t="s">
        <v>7356</v>
      </c>
      <c r="D3736">
        <v>410.837462</v>
      </c>
    </row>
    <row r="3737" spans="1:4">
      <c r="A3737" t="s">
        <v>5354</v>
      </c>
      <c r="B3737" t="s">
        <v>370</v>
      </c>
      <c r="C3737" t="s">
        <v>7357</v>
      </c>
      <c r="D3737">
        <v>47.448539</v>
      </c>
    </row>
    <row r="3738" spans="1:4">
      <c r="A3738" t="s">
        <v>5355</v>
      </c>
      <c r="B3738" t="s">
        <v>370</v>
      </c>
      <c r="C3738" t="s">
        <v>7299</v>
      </c>
      <c r="D3738">
        <v>410.837462</v>
      </c>
    </row>
    <row r="3739" spans="1:4">
      <c r="A3739" t="s">
        <v>5356</v>
      </c>
      <c r="B3739" t="s">
        <v>370</v>
      </c>
      <c r="C3739" t="s">
        <v>7358</v>
      </c>
      <c r="D3739">
        <v>117.528061</v>
      </c>
    </row>
    <row r="3740" spans="1:4">
      <c r="A3740" t="s">
        <v>5357</v>
      </c>
      <c r="B3740" t="s">
        <v>370</v>
      </c>
      <c r="C3740" t="s">
        <v>7359</v>
      </c>
      <c r="D3740">
        <v>410.837462</v>
      </c>
    </row>
    <row r="3741" spans="1:4">
      <c r="A3741" t="s">
        <v>5358</v>
      </c>
      <c r="B3741" t="s">
        <v>370</v>
      </c>
      <c r="C3741" t="s">
        <v>7360</v>
      </c>
      <c r="D3741">
        <v>27.516605</v>
      </c>
    </row>
    <row r="3742" spans="1:4">
      <c r="A3742" t="s">
        <v>5359</v>
      </c>
      <c r="B3742" t="s">
        <v>370</v>
      </c>
      <c r="C3742" t="s">
        <v>7361</v>
      </c>
      <c r="D3742">
        <v>410.837462</v>
      </c>
    </row>
    <row r="3743" spans="1:4">
      <c r="A3743" t="s">
        <v>5360</v>
      </c>
      <c r="B3743" t="s">
        <v>370</v>
      </c>
      <c r="C3743" t="s">
        <v>7362</v>
      </c>
      <c r="D3743">
        <v>4.184231</v>
      </c>
    </row>
    <row r="3744" spans="1:4">
      <c r="A3744" t="s">
        <v>5361</v>
      </c>
      <c r="B3744" t="s">
        <v>370</v>
      </c>
      <c r="C3744" t="s">
        <v>7363</v>
      </c>
      <c r="D3744">
        <v>0.035386</v>
      </c>
    </row>
    <row r="3745" spans="1:4">
      <c r="A3745" t="s">
        <v>5362</v>
      </c>
      <c r="B3745" t="s">
        <v>370</v>
      </c>
      <c r="C3745" t="s">
        <v>7364</v>
      </c>
      <c r="D3745">
        <v>40.729627</v>
      </c>
    </row>
    <row r="3746" spans="1:4">
      <c r="A3746" t="s">
        <v>5363</v>
      </c>
      <c r="B3746" t="s">
        <v>370</v>
      </c>
      <c r="C3746" t="s">
        <v>7365</v>
      </c>
      <c r="D3746">
        <v>1.487209</v>
      </c>
    </row>
    <row r="3747" spans="1:4">
      <c r="A3747" t="s">
        <v>5364</v>
      </c>
      <c r="B3747" t="s">
        <v>370</v>
      </c>
      <c r="C3747" t="s">
        <v>7300</v>
      </c>
      <c r="D3747">
        <v>39.56219</v>
      </c>
    </row>
    <row r="3748" spans="1:4">
      <c r="A3748" t="s">
        <v>5365</v>
      </c>
      <c r="B3748" t="s">
        <v>370</v>
      </c>
      <c r="C3748" t="s">
        <v>7366</v>
      </c>
      <c r="D3748">
        <v>11.610208</v>
      </c>
    </row>
    <row r="3749" spans="1:4">
      <c r="A3749" t="s">
        <v>5366</v>
      </c>
      <c r="B3749" t="s">
        <v>370</v>
      </c>
      <c r="C3749" t="s">
        <v>7367</v>
      </c>
      <c r="D3749">
        <v>47.001725</v>
      </c>
    </row>
    <row r="3750" spans="1:4">
      <c r="A3750" t="s">
        <v>5367</v>
      </c>
      <c r="B3750" t="s">
        <v>370</v>
      </c>
      <c r="C3750" t="s">
        <v>7368</v>
      </c>
      <c r="D3750">
        <v>2.380342</v>
      </c>
    </row>
    <row r="3751" spans="1:4">
      <c r="A3751" t="s">
        <v>5368</v>
      </c>
      <c r="B3751" t="s">
        <v>370</v>
      </c>
      <c r="C3751" t="s">
        <v>7301</v>
      </c>
      <c r="D3751">
        <v>0.017411</v>
      </c>
    </row>
    <row r="3752" spans="1:4">
      <c r="A3752" t="s">
        <v>5369</v>
      </c>
      <c r="B3752" t="s">
        <v>370</v>
      </c>
      <c r="C3752" t="s">
        <v>7302</v>
      </c>
      <c r="D3752">
        <v>103.855231</v>
      </c>
    </row>
    <row r="3753" spans="1:4">
      <c r="A3753" t="s">
        <v>5370</v>
      </c>
      <c r="B3753" t="s">
        <v>370</v>
      </c>
      <c r="C3753" t="s">
        <v>7369</v>
      </c>
      <c r="D3753">
        <v>410.837462</v>
      </c>
    </row>
    <row r="3754" spans="1:4">
      <c r="A3754" t="s">
        <v>5371</v>
      </c>
      <c r="B3754" t="s">
        <v>370</v>
      </c>
      <c r="C3754" t="s">
        <v>7303</v>
      </c>
      <c r="D3754">
        <v>3.283153</v>
      </c>
    </row>
    <row r="3755" spans="1:4">
      <c r="A3755" t="s">
        <v>5372</v>
      </c>
      <c r="B3755" t="s">
        <v>370</v>
      </c>
      <c r="C3755" t="s">
        <v>7370</v>
      </c>
      <c r="D3755">
        <v>0.237428</v>
      </c>
    </row>
    <row r="3756" spans="1:4">
      <c r="A3756" t="s">
        <v>5373</v>
      </c>
      <c r="B3756" t="s">
        <v>370</v>
      </c>
      <c r="C3756" t="s">
        <v>7371</v>
      </c>
      <c r="D3756">
        <v>0.000226</v>
      </c>
    </row>
    <row r="3757" spans="1:4">
      <c r="A3757" t="s">
        <v>5374</v>
      </c>
      <c r="B3757" t="s">
        <v>370</v>
      </c>
      <c r="C3757" t="s">
        <v>7304</v>
      </c>
      <c r="D3757">
        <v>2.459251</v>
      </c>
    </row>
    <row r="3758" spans="1:4">
      <c r="A3758" t="s">
        <v>5375</v>
      </c>
      <c r="B3758" t="s">
        <v>370</v>
      </c>
      <c r="C3758" t="s">
        <v>7372</v>
      </c>
      <c r="D3758">
        <v>410.837462</v>
      </c>
    </row>
    <row r="3759" spans="1:4">
      <c r="A3759" t="s">
        <v>5376</v>
      </c>
      <c r="B3759" t="s">
        <v>370</v>
      </c>
      <c r="C3759" t="s">
        <v>7373</v>
      </c>
      <c r="D3759">
        <v>1.971578</v>
      </c>
    </row>
    <row r="3760" spans="1:4">
      <c r="A3760" t="s">
        <v>5377</v>
      </c>
      <c r="B3760" t="s">
        <v>370</v>
      </c>
      <c r="C3760" t="s">
        <v>7374</v>
      </c>
      <c r="D3760">
        <v>437.536907</v>
      </c>
    </row>
    <row r="3761" spans="1:4">
      <c r="A3761" t="s">
        <v>5378</v>
      </c>
      <c r="B3761" t="s">
        <v>370</v>
      </c>
      <c r="C3761" t="s">
        <v>7305</v>
      </c>
      <c r="D3761">
        <v>1.91626</v>
      </c>
    </row>
    <row r="3762" spans="1:4">
      <c r="A3762" t="s">
        <v>5379</v>
      </c>
      <c r="B3762" t="s">
        <v>370</v>
      </c>
      <c r="C3762" t="s">
        <v>7375</v>
      </c>
      <c r="D3762">
        <v>2.398331</v>
      </c>
    </row>
    <row r="3763" spans="1:4">
      <c r="A3763" t="s">
        <v>5380</v>
      </c>
      <c r="B3763" t="s">
        <v>370</v>
      </c>
      <c r="C3763" t="s">
        <v>7376</v>
      </c>
      <c r="D3763">
        <v>3.552389</v>
      </c>
    </row>
    <row r="3764" spans="1:4">
      <c r="A3764" t="s">
        <v>5381</v>
      </c>
      <c r="B3764" t="s">
        <v>370</v>
      </c>
      <c r="C3764" t="s">
        <v>7377</v>
      </c>
      <c r="D3764">
        <v>0.077796</v>
      </c>
    </row>
    <row r="3765" spans="1:4">
      <c r="A3765" t="s">
        <v>5382</v>
      </c>
      <c r="B3765" t="s">
        <v>370</v>
      </c>
      <c r="C3765" t="s">
        <v>7378</v>
      </c>
      <c r="D3765">
        <v>213.694096</v>
      </c>
    </row>
    <row r="3766" spans="1:4">
      <c r="A3766" t="s">
        <v>5383</v>
      </c>
      <c r="B3766" t="s">
        <v>370</v>
      </c>
      <c r="C3766" t="s">
        <v>7379</v>
      </c>
      <c r="D3766">
        <v>0.7198329999999999</v>
      </c>
    </row>
    <row r="3767" spans="1:4">
      <c r="A3767" t="s">
        <v>5384</v>
      </c>
      <c r="B3767" t="s">
        <v>370</v>
      </c>
      <c r="C3767" t="s">
        <v>7306</v>
      </c>
      <c r="D3767">
        <v>0.20122</v>
      </c>
    </row>
    <row r="3768" spans="1:4">
      <c r="A3768" t="s">
        <v>5385</v>
      </c>
      <c r="B3768" t="s">
        <v>370</v>
      </c>
      <c r="C3768" t="s">
        <v>7380</v>
      </c>
      <c r="D3768">
        <v>1005.158698</v>
      </c>
    </row>
    <row r="3769" spans="1:4">
      <c r="A3769" t="s">
        <v>5386</v>
      </c>
      <c r="B3769" t="s">
        <v>370</v>
      </c>
      <c r="C3769" t="s">
        <v>7381</v>
      </c>
      <c r="D3769">
        <v>372.256698</v>
      </c>
    </row>
    <row r="3770" spans="1:4">
      <c r="A3770" t="s">
        <v>5387</v>
      </c>
      <c r="B3770" t="s">
        <v>370</v>
      </c>
      <c r="C3770" t="s">
        <v>7382</v>
      </c>
      <c r="D3770">
        <v>0.6398160000000001</v>
      </c>
    </row>
    <row r="3771" spans="1:4">
      <c r="A3771" t="s">
        <v>5388</v>
      </c>
      <c r="B3771" t="s">
        <v>370</v>
      </c>
      <c r="C3771" t="s">
        <v>7383</v>
      </c>
      <c r="D3771">
        <v>0.014101</v>
      </c>
    </row>
    <row r="3772" spans="1:4">
      <c r="A3772" t="s">
        <v>5389</v>
      </c>
      <c r="B3772" t="s">
        <v>370</v>
      </c>
      <c r="C3772" t="s">
        <v>7384</v>
      </c>
      <c r="D3772">
        <v>0.003466</v>
      </c>
    </row>
    <row r="3773" spans="1:4">
      <c r="A3773" t="s">
        <v>5390</v>
      </c>
      <c r="B3773" t="s">
        <v>370</v>
      </c>
      <c r="C3773" t="s">
        <v>7385</v>
      </c>
      <c r="D3773">
        <v>0.923839</v>
      </c>
    </row>
    <row r="3774" spans="1:4">
      <c r="A3774" t="s">
        <v>5391</v>
      </c>
      <c r="B3774" t="s">
        <v>370</v>
      </c>
      <c r="C3774" t="s">
        <v>7386</v>
      </c>
      <c r="D3774">
        <v>1.705695</v>
      </c>
    </row>
    <row r="3775" spans="1:4">
      <c r="A3775" t="s">
        <v>5392</v>
      </c>
      <c r="B3775" t="s">
        <v>370</v>
      </c>
      <c r="C3775" t="s">
        <v>7387</v>
      </c>
      <c r="D3775">
        <v>18.884532</v>
      </c>
    </row>
    <row r="3776" spans="1:4">
      <c r="A3776" t="s">
        <v>5393</v>
      </c>
      <c r="B3776" t="s">
        <v>370</v>
      </c>
      <c r="C3776" t="s">
        <v>7388</v>
      </c>
      <c r="D3776">
        <v>48.457541</v>
      </c>
    </row>
    <row r="3777" spans="1:4">
      <c r="A3777" t="s">
        <v>5394</v>
      </c>
      <c r="B3777" t="s">
        <v>370</v>
      </c>
      <c r="C3777" t="s">
        <v>7389</v>
      </c>
      <c r="D3777">
        <v>33.092009</v>
      </c>
    </row>
    <row r="3778" spans="1:4">
      <c r="A3778" t="s">
        <v>5395</v>
      </c>
      <c r="B3778" t="s">
        <v>370</v>
      </c>
      <c r="C3778" t="s">
        <v>7390</v>
      </c>
      <c r="D3778">
        <v>17.565837</v>
      </c>
    </row>
    <row r="3779" spans="1:4">
      <c r="A3779" t="s">
        <v>5396</v>
      </c>
      <c r="B3779" t="s">
        <v>370</v>
      </c>
      <c r="C3779" t="s">
        <v>7391</v>
      </c>
      <c r="D3779">
        <v>0.072757</v>
      </c>
    </row>
    <row r="3780" spans="1:4">
      <c r="A3780" t="s">
        <v>5397</v>
      </c>
      <c r="B3780" t="s">
        <v>370</v>
      </c>
      <c r="C3780" t="s">
        <v>7392</v>
      </c>
      <c r="D3780">
        <v>5.740084</v>
      </c>
    </row>
    <row r="3781" spans="1:4">
      <c r="A3781" t="s">
        <v>5398</v>
      </c>
      <c r="B3781" t="s">
        <v>370</v>
      </c>
      <c r="C3781" t="s">
        <v>7393</v>
      </c>
      <c r="D3781">
        <v>0.148168</v>
      </c>
    </row>
    <row r="3782" spans="1:4">
      <c r="A3782" t="s">
        <v>5399</v>
      </c>
      <c r="B3782" t="s">
        <v>370</v>
      </c>
      <c r="C3782" t="s">
        <v>7394</v>
      </c>
      <c r="D3782">
        <v>0.086525</v>
      </c>
    </row>
    <row r="3783" spans="1:4">
      <c r="A3783" t="s">
        <v>5400</v>
      </c>
      <c r="B3783" t="s">
        <v>370</v>
      </c>
      <c r="C3783" t="s">
        <v>7395</v>
      </c>
      <c r="D3783">
        <v>38.408107</v>
      </c>
    </row>
    <row r="3784" spans="1:4">
      <c r="A3784" t="s">
        <v>5401</v>
      </c>
      <c r="B3784" t="s">
        <v>370</v>
      </c>
      <c r="C3784" t="s">
        <v>7396</v>
      </c>
      <c r="D3784">
        <v>7.794711</v>
      </c>
    </row>
    <row r="3785" spans="1:4">
      <c r="A3785" t="s">
        <v>5402</v>
      </c>
      <c r="B3785" t="s">
        <v>370</v>
      </c>
      <c r="C3785" t="s">
        <v>7397</v>
      </c>
      <c r="D3785">
        <v>6.579419</v>
      </c>
    </row>
    <row r="3786" spans="1:4">
      <c r="A3786" t="s">
        <v>5403</v>
      </c>
      <c r="B3786" t="s">
        <v>370</v>
      </c>
      <c r="C3786" t="s">
        <v>7398</v>
      </c>
      <c r="D3786">
        <v>20.106087</v>
      </c>
    </row>
    <row r="3787" spans="1:4">
      <c r="A3787" t="s">
        <v>5404</v>
      </c>
      <c r="B3787" t="s">
        <v>370</v>
      </c>
      <c r="C3787" t="s">
        <v>7399</v>
      </c>
      <c r="D3787">
        <v>0.178374</v>
      </c>
    </row>
    <row r="3788" spans="1:4">
      <c r="A3788" t="s">
        <v>5405</v>
      </c>
      <c r="B3788" t="s">
        <v>370</v>
      </c>
      <c r="C3788" t="s">
        <v>7307</v>
      </c>
      <c r="D3788">
        <v>17.741469</v>
      </c>
    </row>
    <row r="3789" spans="1:4">
      <c r="A3789" t="s">
        <v>5406</v>
      </c>
      <c r="B3789" t="s">
        <v>370</v>
      </c>
      <c r="C3789" t="s">
        <v>7308</v>
      </c>
      <c r="D3789">
        <v>76.214519</v>
      </c>
    </row>
    <row r="3790" spans="1:4">
      <c r="A3790" t="s">
        <v>5407</v>
      </c>
      <c r="B3790" t="s">
        <v>370</v>
      </c>
      <c r="C3790" t="s">
        <v>7400</v>
      </c>
      <c r="D3790">
        <v>4.870613</v>
      </c>
    </row>
    <row r="3791" spans="1:4">
      <c r="A3791" t="s">
        <v>5408</v>
      </c>
      <c r="B3791" t="s">
        <v>370</v>
      </c>
      <c r="C3791" t="s">
        <v>7401</v>
      </c>
      <c r="D3791">
        <v>18.884532</v>
      </c>
    </row>
    <row r="3792" spans="1:4">
      <c r="A3792" t="s">
        <v>5409</v>
      </c>
      <c r="B3792" t="s">
        <v>370</v>
      </c>
      <c r="C3792" t="s">
        <v>7402</v>
      </c>
      <c r="D3792">
        <v>0.227042</v>
      </c>
    </row>
    <row r="3793" spans="1:4">
      <c r="A3793" t="s">
        <v>5410</v>
      </c>
      <c r="B3793" t="s">
        <v>370</v>
      </c>
      <c r="C3793" t="s">
        <v>7403</v>
      </c>
      <c r="D3793">
        <v>8.442052</v>
      </c>
    </row>
    <row r="3794" spans="1:4">
      <c r="A3794" t="s">
        <v>5411</v>
      </c>
      <c r="B3794" t="s">
        <v>370</v>
      </c>
      <c r="C3794" t="s">
        <v>7309</v>
      </c>
      <c r="D3794">
        <v>31.249652</v>
      </c>
    </row>
    <row r="3795" spans="1:4">
      <c r="A3795" t="s">
        <v>5412</v>
      </c>
      <c r="B3795" t="s">
        <v>370</v>
      </c>
      <c r="C3795" t="s">
        <v>7404</v>
      </c>
      <c r="D3795">
        <v>2.051974</v>
      </c>
    </row>
    <row r="3796" spans="1:4">
      <c r="A3796" t="s">
        <v>5413</v>
      </c>
      <c r="B3796" t="s">
        <v>370</v>
      </c>
      <c r="C3796" t="s">
        <v>7310</v>
      </c>
      <c r="D3796">
        <v>175.324696</v>
      </c>
    </row>
    <row r="3797" spans="1:4">
      <c r="A3797" t="s">
        <v>5414</v>
      </c>
      <c r="B3797" t="s">
        <v>370</v>
      </c>
      <c r="C3797" t="s">
        <v>7405</v>
      </c>
      <c r="D3797">
        <v>806.803962</v>
      </c>
    </row>
    <row r="3798" spans="1:4">
      <c r="A3798" t="s">
        <v>5415</v>
      </c>
      <c r="B3798" t="s">
        <v>370</v>
      </c>
      <c r="C3798" t="s">
        <v>7406</v>
      </c>
      <c r="D3798">
        <v>310.213806</v>
      </c>
    </row>
    <row r="3799" spans="1:4">
      <c r="A3799" t="s">
        <v>5416</v>
      </c>
      <c r="B3799" t="s">
        <v>370</v>
      </c>
      <c r="C3799" t="s">
        <v>7407</v>
      </c>
      <c r="D3799">
        <v>90.918881</v>
      </c>
    </row>
    <row r="3800" spans="1:4">
      <c r="A3800" t="s">
        <v>5417</v>
      </c>
      <c r="B3800" t="s">
        <v>370</v>
      </c>
      <c r="C3800" t="s">
        <v>7408</v>
      </c>
      <c r="D3800">
        <v>70.809282</v>
      </c>
    </row>
    <row r="3801" spans="1:4">
      <c r="A3801" t="s">
        <v>5418</v>
      </c>
      <c r="B3801" t="s">
        <v>370</v>
      </c>
      <c r="C3801" t="s">
        <v>7311</v>
      </c>
      <c r="D3801">
        <v>5.071794</v>
      </c>
    </row>
    <row r="3802" spans="1:4">
      <c r="A3802" t="s">
        <v>5419</v>
      </c>
      <c r="B3802" t="s">
        <v>370</v>
      </c>
      <c r="C3802" t="s">
        <v>7409</v>
      </c>
      <c r="D3802">
        <v>1.116012</v>
      </c>
    </row>
    <row r="3803" spans="1:4">
      <c r="A3803" t="s">
        <v>5420</v>
      </c>
      <c r="B3803" t="s">
        <v>370</v>
      </c>
      <c r="C3803" t="s">
        <v>7312</v>
      </c>
      <c r="D3803">
        <v>82.59163100000001</v>
      </c>
    </row>
    <row r="3804" spans="1:4">
      <c r="A3804" t="s">
        <v>5421</v>
      </c>
      <c r="B3804" t="s">
        <v>370</v>
      </c>
      <c r="C3804" t="s">
        <v>7410</v>
      </c>
      <c r="D3804">
        <v>0.051093</v>
      </c>
    </row>
    <row r="3805" spans="1:4">
      <c r="A3805" t="s">
        <v>5422</v>
      </c>
      <c r="B3805" t="s">
        <v>370</v>
      </c>
      <c r="C3805" t="s">
        <v>7411</v>
      </c>
      <c r="D3805">
        <v>85.223583</v>
      </c>
    </row>
    <row r="3806" spans="1:4">
      <c r="A3806" t="s">
        <v>5423</v>
      </c>
      <c r="B3806" t="s">
        <v>370</v>
      </c>
      <c r="C3806" t="s">
        <v>7313</v>
      </c>
      <c r="D3806">
        <v>67.561001</v>
      </c>
    </row>
    <row r="3807" spans="1:4">
      <c r="A3807" t="s">
        <v>5424</v>
      </c>
      <c r="B3807" t="s">
        <v>370</v>
      </c>
      <c r="C3807" t="s">
        <v>7412</v>
      </c>
      <c r="D3807">
        <v>3.016867</v>
      </c>
    </row>
    <row r="3808" spans="1:4">
      <c r="A3808" t="s">
        <v>5425</v>
      </c>
      <c r="B3808" t="s">
        <v>370</v>
      </c>
      <c r="C3808" t="s">
        <v>7413</v>
      </c>
      <c r="D3808">
        <v>4.00487</v>
      </c>
    </row>
    <row r="3809" spans="1:4">
      <c r="A3809" t="s">
        <v>5426</v>
      </c>
      <c r="B3809" t="s">
        <v>370</v>
      </c>
      <c r="C3809" t="s">
        <v>7414</v>
      </c>
      <c r="D3809">
        <v>0.211868</v>
      </c>
    </row>
    <row r="3810" spans="1:4">
      <c r="A3810" t="s">
        <v>5427</v>
      </c>
      <c r="B3810" t="s">
        <v>370</v>
      </c>
      <c r="C3810" t="s">
        <v>7415</v>
      </c>
      <c r="D3810">
        <v>82.723691</v>
      </c>
    </row>
    <row r="3811" spans="1:4">
      <c r="A3811" t="s">
        <v>5428</v>
      </c>
      <c r="B3811" t="s">
        <v>370</v>
      </c>
      <c r="C3811" t="s">
        <v>7416</v>
      </c>
      <c r="D3811">
        <v>38.849604</v>
      </c>
    </row>
    <row r="3812" spans="1:4">
      <c r="A3812" t="s">
        <v>5429</v>
      </c>
      <c r="B3812" t="s">
        <v>370</v>
      </c>
      <c r="C3812" t="s">
        <v>7417</v>
      </c>
      <c r="D3812">
        <v>21.080252</v>
      </c>
    </row>
    <row r="3813" spans="1:4">
      <c r="A3813" t="s">
        <v>5430</v>
      </c>
      <c r="B3813" t="s">
        <v>370</v>
      </c>
      <c r="C3813" t="s">
        <v>7418</v>
      </c>
      <c r="D3813">
        <v>0.696119</v>
      </c>
    </row>
    <row r="3814" spans="1:4">
      <c r="A3814" t="s">
        <v>5431</v>
      </c>
      <c r="B3814" t="s">
        <v>370</v>
      </c>
      <c r="C3814" t="s">
        <v>7314</v>
      </c>
      <c r="D3814">
        <v>31.934948</v>
      </c>
    </row>
    <row r="3815" spans="1:4">
      <c r="A3815" t="s">
        <v>5432</v>
      </c>
      <c r="B3815" t="s">
        <v>370</v>
      </c>
      <c r="C3815" t="s">
        <v>7315</v>
      </c>
      <c r="D3815">
        <v>239.95502</v>
      </c>
    </row>
    <row r="3816" spans="1:4">
      <c r="A3816" t="s">
        <v>5433</v>
      </c>
      <c r="B3816" t="s">
        <v>370</v>
      </c>
      <c r="C3816" t="s">
        <v>7419</v>
      </c>
      <c r="D3816">
        <v>410.837462</v>
      </c>
    </row>
    <row r="3817" spans="1:4">
      <c r="A3817" t="s">
        <v>5434</v>
      </c>
      <c r="B3817" t="s">
        <v>370</v>
      </c>
      <c r="C3817" t="s">
        <v>7420</v>
      </c>
      <c r="D3817">
        <v>12.546857</v>
      </c>
    </row>
    <row r="3818" spans="1:4">
      <c r="A3818" t="s">
        <v>5435</v>
      </c>
      <c r="B3818" t="s">
        <v>370</v>
      </c>
      <c r="C3818" t="s">
        <v>7421</v>
      </c>
      <c r="D3818">
        <v>0.012547</v>
      </c>
    </row>
    <row r="3819" spans="1:4">
      <c r="A3819" t="s">
        <v>5436</v>
      </c>
      <c r="B3819" t="s">
        <v>370</v>
      </c>
      <c r="C3819" t="s">
        <v>7422</v>
      </c>
      <c r="D3819">
        <v>0.544569</v>
      </c>
    </row>
    <row r="3820" spans="1:4">
      <c r="A3820" t="s">
        <v>5437</v>
      </c>
      <c r="B3820" t="s">
        <v>370</v>
      </c>
      <c r="C3820" t="s">
        <v>7423</v>
      </c>
      <c r="D3820">
        <v>8.291795</v>
      </c>
    </row>
    <row r="3821" spans="1:4">
      <c r="A3821" t="s">
        <v>5438</v>
      </c>
      <c r="B3821" t="s">
        <v>370</v>
      </c>
      <c r="C3821" t="s">
        <v>7424</v>
      </c>
      <c r="D3821">
        <v>0.065889</v>
      </c>
    </row>
    <row r="3822" spans="1:4">
      <c r="A3822" t="s">
        <v>5439</v>
      </c>
      <c r="B3822" t="s">
        <v>370</v>
      </c>
      <c r="C3822" t="s">
        <v>7425</v>
      </c>
      <c r="D3822">
        <v>14.454469</v>
      </c>
    </row>
    <row r="3823" spans="1:4">
      <c r="A3823" t="s">
        <v>5440</v>
      </c>
      <c r="B3823" t="s">
        <v>370</v>
      </c>
      <c r="C3823" t="s">
        <v>7426</v>
      </c>
      <c r="D3823">
        <v>2.767128</v>
      </c>
    </row>
    <row r="3824" spans="1:4">
      <c r="A3824" t="s">
        <v>5441</v>
      </c>
      <c r="B3824" t="s">
        <v>370</v>
      </c>
      <c r="C3824" t="s">
        <v>7427</v>
      </c>
      <c r="D3824">
        <v>18.884532</v>
      </c>
    </row>
    <row r="3825" spans="1:4">
      <c r="A3825" t="s">
        <v>5442</v>
      </c>
      <c r="B3825" t="s">
        <v>370</v>
      </c>
      <c r="C3825" t="s">
        <v>7316</v>
      </c>
      <c r="D3825">
        <v>9.327005</v>
      </c>
    </row>
    <row r="3826" spans="1:4">
      <c r="A3826" t="s">
        <v>5443</v>
      </c>
      <c r="B3826" t="s">
        <v>370</v>
      </c>
      <c r="C3826" t="s">
        <v>7428</v>
      </c>
      <c r="D3826">
        <v>33.553957</v>
      </c>
    </row>
    <row r="3827" spans="1:4">
      <c r="A3827" t="s">
        <v>5444</v>
      </c>
      <c r="B3827" t="s">
        <v>370</v>
      </c>
      <c r="C3827" t="s">
        <v>7429</v>
      </c>
      <c r="D3827">
        <v>88.74997500000001</v>
      </c>
    </row>
    <row r="3828" spans="1:4">
      <c r="A3828" t="s">
        <v>5445</v>
      </c>
      <c r="B3828" t="s">
        <v>370</v>
      </c>
      <c r="C3828" t="s">
        <v>7430</v>
      </c>
      <c r="D3828">
        <v>105.195641</v>
      </c>
    </row>
    <row r="3829" spans="1:4">
      <c r="A3829" t="s">
        <v>5446</v>
      </c>
      <c r="B3829" t="s">
        <v>370</v>
      </c>
      <c r="C3829" t="s">
        <v>7431</v>
      </c>
      <c r="D3829">
        <v>129.967963</v>
      </c>
    </row>
    <row r="3830" spans="1:4">
      <c r="A3830" t="s">
        <v>5447</v>
      </c>
      <c r="B3830" t="s">
        <v>370</v>
      </c>
      <c r="C3830" t="s">
        <v>7317</v>
      </c>
      <c r="D3830">
        <v>6.649164</v>
      </c>
    </row>
    <row r="3831" spans="1:4">
      <c r="A3831" t="s">
        <v>5448</v>
      </c>
      <c r="B3831" t="s">
        <v>370</v>
      </c>
      <c r="C3831" t="s">
        <v>7432</v>
      </c>
      <c r="D3831">
        <v>41.884981</v>
      </c>
    </row>
    <row r="3832" spans="1:4">
      <c r="A3832" t="s">
        <v>5449</v>
      </c>
      <c r="B3832" t="s">
        <v>370</v>
      </c>
      <c r="C3832" t="s">
        <v>7433</v>
      </c>
      <c r="D3832">
        <v>213.694096</v>
      </c>
    </row>
    <row r="3833" spans="1:4">
      <c r="A3833" t="s">
        <v>5450</v>
      </c>
      <c r="B3833" t="s">
        <v>370</v>
      </c>
      <c r="C3833" t="s">
        <v>7434</v>
      </c>
      <c r="D3833">
        <v>9.73793</v>
      </c>
    </row>
    <row r="3834" spans="1:4">
      <c r="A3834" t="s">
        <v>5451</v>
      </c>
      <c r="B3834" t="s">
        <v>370</v>
      </c>
      <c r="C3834" t="s">
        <v>7435</v>
      </c>
      <c r="D3834">
        <v>0.119104</v>
      </c>
    </row>
    <row r="3835" spans="1:4">
      <c r="A3835" t="s">
        <v>5452</v>
      </c>
      <c r="B3835" t="s">
        <v>370</v>
      </c>
      <c r="C3835" t="s">
        <v>7436</v>
      </c>
      <c r="D3835">
        <v>6.927136</v>
      </c>
    </row>
    <row r="3836" spans="1:4">
      <c r="A3836" t="s">
        <v>5453</v>
      </c>
      <c r="B3836" t="s">
        <v>370</v>
      </c>
      <c r="C3836" t="s">
        <v>7437</v>
      </c>
      <c r="D3836">
        <v>0.085413</v>
      </c>
    </row>
    <row r="3837" spans="1:4">
      <c r="A3837" t="s">
        <v>5454</v>
      </c>
      <c r="B3837" t="s">
        <v>370</v>
      </c>
      <c r="C3837" t="s">
        <v>399</v>
      </c>
      <c r="D3837">
        <v>310.213534</v>
      </c>
    </row>
    <row r="3838" spans="1:4">
      <c r="A3838" t="s">
        <v>5455</v>
      </c>
      <c r="B3838" t="s">
        <v>370</v>
      </c>
      <c r="C3838" t="s">
        <v>7438</v>
      </c>
      <c r="D3838">
        <v>7.727005</v>
      </c>
    </row>
    <row r="3839" spans="1:4">
      <c r="A3839" t="s">
        <v>5456</v>
      </c>
      <c r="B3839" t="s">
        <v>370</v>
      </c>
      <c r="C3839" t="s">
        <v>7439</v>
      </c>
      <c r="D3839">
        <v>0.025949</v>
      </c>
    </row>
    <row r="3840" spans="1:4">
      <c r="A3840" t="s">
        <v>5457</v>
      </c>
      <c r="B3840" t="s">
        <v>370</v>
      </c>
      <c r="C3840" t="s">
        <v>7440</v>
      </c>
      <c r="D3840">
        <v>0.498709</v>
      </c>
    </row>
    <row r="3841" spans="1:4">
      <c r="A3841" t="s">
        <v>5458</v>
      </c>
      <c r="B3841" t="s">
        <v>370</v>
      </c>
      <c r="C3841" t="s">
        <v>7441</v>
      </c>
      <c r="D3841">
        <v>0.011839</v>
      </c>
    </row>
    <row r="3842" spans="1:4">
      <c r="A3842" t="s">
        <v>5459</v>
      </c>
      <c r="B3842" t="s">
        <v>370</v>
      </c>
      <c r="C3842" t="s">
        <v>7442</v>
      </c>
      <c r="D3842">
        <v>2.588695</v>
      </c>
    </row>
    <row r="3843" spans="1:4">
      <c r="A3843" t="s">
        <v>5460</v>
      </c>
      <c r="B3843" t="s">
        <v>370</v>
      </c>
      <c r="C3843" t="s">
        <v>7443</v>
      </c>
      <c r="D3843">
        <v>113.220289</v>
      </c>
    </row>
    <row r="3844" spans="1:4">
      <c r="A3844" t="s">
        <v>5461</v>
      </c>
      <c r="B3844" t="s">
        <v>370</v>
      </c>
      <c r="C3844" t="s">
        <v>7444</v>
      </c>
      <c r="D3844">
        <v>0.539875</v>
      </c>
    </row>
    <row r="3845" spans="1:4">
      <c r="A3845" t="s">
        <v>5462</v>
      </c>
      <c r="B3845" t="s">
        <v>370</v>
      </c>
      <c r="C3845" t="s">
        <v>7445</v>
      </c>
      <c r="D3845">
        <v>114.894017</v>
      </c>
    </row>
    <row r="3846" spans="1:4">
      <c r="A3846" t="s">
        <v>5463</v>
      </c>
      <c r="B3846" t="s">
        <v>370</v>
      </c>
      <c r="C3846" t="s">
        <v>7446</v>
      </c>
      <c r="D3846">
        <v>173.303784</v>
      </c>
    </row>
    <row r="3847" spans="1:4">
      <c r="A3847" t="s">
        <v>5464</v>
      </c>
      <c r="B3847" t="s">
        <v>370</v>
      </c>
      <c r="C3847" t="s">
        <v>7447</v>
      </c>
      <c r="D3847">
        <v>421.171527</v>
      </c>
    </row>
    <row r="3848" spans="1:4">
      <c r="A3848" t="s">
        <v>5465</v>
      </c>
      <c r="B3848" t="s">
        <v>370</v>
      </c>
      <c r="C3848" t="s">
        <v>7448</v>
      </c>
      <c r="D3848">
        <v>0.539875</v>
      </c>
    </row>
    <row r="3849" spans="1:4">
      <c r="A3849" t="s">
        <v>5466</v>
      </c>
      <c r="B3849" t="s">
        <v>370</v>
      </c>
      <c r="C3849" t="s">
        <v>7449</v>
      </c>
      <c r="D3849">
        <v>2.967641</v>
      </c>
    </row>
    <row r="3850" spans="1:4">
      <c r="A3850" t="s">
        <v>5467</v>
      </c>
      <c r="B3850" t="s">
        <v>370</v>
      </c>
      <c r="C3850" t="s">
        <v>7450</v>
      </c>
      <c r="D3850">
        <v>1.302732</v>
      </c>
    </row>
    <row r="3851" spans="1:4">
      <c r="A3851" t="s">
        <v>5468</v>
      </c>
      <c r="B3851" t="s">
        <v>370</v>
      </c>
      <c r="C3851" t="s">
        <v>7318</v>
      </c>
      <c r="D3851">
        <v>18.884529</v>
      </c>
    </row>
    <row r="3852" spans="1:4">
      <c r="A3852" t="s">
        <v>5469</v>
      </c>
      <c r="B3852" t="s">
        <v>370</v>
      </c>
      <c r="C3852" t="s">
        <v>7451</v>
      </c>
      <c r="D3852">
        <v>17.237897</v>
      </c>
    </row>
    <row r="3853" spans="1:4">
      <c r="A3853" t="s">
        <v>5470</v>
      </c>
      <c r="B3853" t="s">
        <v>370</v>
      </c>
      <c r="C3853" t="s">
        <v>7452</v>
      </c>
      <c r="D3853">
        <v>11.589081</v>
      </c>
    </row>
    <row r="3854" spans="1:4">
      <c r="A3854" t="s">
        <v>5471</v>
      </c>
      <c r="B3854" t="s">
        <v>370</v>
      </c>
      <c r="C3854" t="s">
        <v>7453</v>
      </c>
      <c r="D3854">
        <v>11.589081</v>
      </c>
    </row>
    <row r="3855" spans="1:4">
      <c r="A3855" t="s">
        <v>5472</v>
      </c>
      <c r="B3855" t="s">
        <v>371</v>
      </c>
      <c r="C3855" t="s">
        <v>397</v>
      </c>
      <c r="D3855">
        <v>355.777679</v>
      </c>
    </row>
    <row r="3856" spans="1:4">
      <c r="A3856" t="s">
        <v>5473</v>
      </c>
      <c r="B3856" t="s">
        <v>371</v>
      </c>
      <c r="C3856" t="s">
        <v>7319</v>
      </c>
      <c r="D3856">
        <v>84.92380799999999</v>
      </c>
    </row>
    <row r="3857" spans="1:4">
      <c r="A3857" t="s">
        <v>5474</v>
      </c>
      <c r="B3857" t="s">
        <v>371</v>
      </c>
      <c r="C3857" t="s">
        <v>7320</v>
      </c>
      <c r="D3857">
        <v>4.837264</v>
      </c>
    </row>
    <row r="3858" spans="1:4">
      <c r="A3858" t="s">
        <v>5475</v>
      </c>
      <c r="B3858" t="s">
        <v>371</v>
      </c>
      <c r="C3858" t="s">
        <v>7321</v>
      </c>
      <c r="D3858">
        <v>3.780913</v>
      </c>
    </row>
    <row r="3859" spans="1:4">
      <c r="A3859" t="s">
        <v>5476</v>
      </c>
      <c r="B3859" t="s">
        <v>371</v>
      </c>
      <c r="C3859" t="s">
        <v>7322</v>
      </c>
      <c r="D3859">
        <v>0.848509</v>
      </c>
    </row>
    <row r="3860" spans="1:4">
      <c r="A3860" t="s">
        <v>5477</v>
      </c>
      <c r="B3860" t="s">
        <v>371</v>
      </c>
      <c r="C3860" t="s">
        <v>7323</v>
      </c>
      <c r="D3860">
        <v>174.236153</v>
      </c>
    </row>
    <row r="3861" spans="1:4">
      <c r="A3861" t="s">
        <v>5478</v>
      </c>
      <c r="B3861" t="s">
        <v>371</v>
      </c>
      <c r="C3861" t="s">
        <v>7324</v>
      </c>
      <c r="D3861">
        <v>0.331499</v>
      </c>
    </row>
    <row r="3862" spans="1:4">
      <c r="A3862" t="s">
        <v>5479</v>
      </c>
      <c r="B3862" t="s">
        <v>371</v>
      </c>
      <c r="C3862" t="s">
        <v>7325</v>
      </c>
      <c r="D3862">
        <v>0.210302</v>
      </c>
    </row>
    <row r="3863" spans="1:4">
      <c r="A3863" t="s">
        <v>5480</v>
      </c>
      <c r="B3863" t="s">
        <v>371</v>
      </c>
      <c r="C3863" t="s">
        <v>7292</v>
      </c>
      <c r="D3863">
        <v>215.238928</v>
      </c>
    </row>
    <row r="3864" spans="1:4">
      <c r="A3864" t="s">
        <v>5481</v>
      </c>
      <c r="B3864" t="s">
        <v>371</v>
      </c>
      <c r="C3864" t="s">
        <v>7326</v>
      </c>
      <c r="D3864">
        <v>174.236153</v>
      </c>
    </row>
    <row r="3865" spans="1:4">
      <c r="A3865" t="s">
        <v>5482</v>
      </c>
      <c r="B3865" t="s">
        <v>371</v>
      </c>
      <c r="C3865" t="s">
        <v>7327</v>
      </c>
      <c r="D3865">
        <v>183.621977</v>
      </c>
    </row>
    <row r="3866" spans="1:4">
      <c r="A3866" t="s">
        <v>5483</v>
      </c>
      <c r="B3866" t="s">
        <v>371</v>
      </c>
      <c r="C3866" t="s">
        <v>7328</v>
      </c>
      <c r="D3866">
        <v>181.906239</v>
      </c>
    </row>
    <row r="3867" spans="1:4">
      <c r="A3867" t="s">
        <v>5484</v>
      </c>
      <c r="B3867" t="s">
        <v>371</v>
      </c>
      <c r="C3867" t="s">
        <v>7329</v>
      </c>
      <c r="D3867">
        <v>155.941343</v>
      </c>
    </row>
    <row r="3868" spans="1:4">
      <c r="A3868" t="s">
        <v>5485</v>
      </c>
      <c r="B3868" t="s">
        <v>371</v>
      </c>
      <c r="C3868" t="s">
        <v>7330</v>
      </c>
      <c r="D3868">
        <v>2.531064</v>
      </c>
    </row>
    <row r="3869" spans="1:4">
      <c r="A3869" t="s">
        <v>5486</v>
      </c>
      <c r="B3869" t="s">
        <v>371</v>
      </c>
      <c r="C3869" t="s">
        <v>398</v>
      </c>
      <c r="D3869">
        <v>181.906239</v>
      </c>
    </row>
    <row r="3870" spans="1:4">
      <c r="A3870" t="s">
        <v>5487</v>
      </c>
      <c r="B3870" t="s">
        <v>371</v>
      </c>
      <c r="C3870" t="s">
        <v>7331</v>
      </c>
      <c r="D3870">
        <v>829.4752130000001</v>
      </c>
    </row>
    <row r="3871" spans="1:4">
      <c r="A3871" t="s">
        <v>5488</v>
      </c>
      <c r="B3871" t="s">
        <v>371</v>
      </c>
      <c r="C3871" t="s">
        <v>7332</v>
      </c>
      <c r="D3871">
        <v>0.10434</v>
      </c>
    </row>
    <row r="3872" spans="1:4">
      <c r="A3872" t="s">
        <v>5489</v>
      </c>
      <c r="B3872" t="s">
        <v>371</v>
      </c>
      <c r="C3872" t="s">
        <v>7333</v>
      </c>
      <c r="D3872">
        <v>311.882686</v>
      </c>
    </row>
    <row r="3873" spans="1:4">
      <c r="A3873" t="s">
        <v>5490</v>
      </c>
      <c r="B3873" t="s">
        <v>371</v>
      </c>
      <c r="C3873" t="s">
        <v>7334</v>
      </c>
      <c r="D3873">
        <v>240.886746</v>
      </c>
    </row>
    <row r="3874" spans="1:4">
      <c r="A3874" t="s">
        <v>5491</v>
      </c>
      <c r="B3874" t="s">
        <v>371</v>
      </c>
      <c r="C3874" t="s">
        <v>7335</v>
      </c>
      <c r="D3874">
        <v>45.044956</v>
      </c>
    </row>
    <row r="3875" spans="1:4">
      <c r="A3875" t="s">
        <v>5492</v>
      </c>
      <c r="B3875" t="s">
        <v>371</v>
      </c>
      <c r="C3875" t="s">
        <v>7293</v>
      </c>
      <c r="D3875">
        <v>60.291297</v>
      </c>
    </row>
    <row r="3876" spans="1:4">
      <c r="A3876" t="s">
        <v>5493</v>
      </c>
      <c r="B3876" t="s">
        <v>371</v>
      </c>
      <c r="C3876" t="s">
        <v>7336</v>
      </c>
      <c r="D3876">
        <v>311.882686</v>
      </c>
    </row>
    <row r="3877" spans="1:4">
      <c r="A3877" t="s">
        <v>5494</v>
      </c>
      <c r="B3877" t="s">
        <v>371</v>
      </c>
      <c r="C3877" t="s">
        <v>7337</v>
      </c>
      <c r="D3877">
        <v>3.295274</v>
      </c>
    </row>
    <row r="3878" spans="1:4">
      <c r="A3878" t="s">
        <v>5495</v>
      </c>
      <c r="B3878" t="s">
        <v>371</v>
      </c>
      <c r="C3878" t="s">
        <v>7338</v>
      </c>
      <c r="D3878">
        <v>22.108526</v>
      </c>
    </row>
    <row r="3879" spans="1:4">
      <c r="A3879" t="s">
        <v>5496</v>
      </c>
      <c r="B3879" t="s">
        <v>371</v>
      </c>
      <c r="C3879" t="s">
        <v>7339</v>
      </c>
      <c r="D3879">
        <v>107.00573</v>
      </c>
    </row>
    <row r="3880" spans="1:4">
      <c r="A3880" t="s">
        <v>5497</v>
      </c>
      <c r="B3880" t="s">
        <v>371</v>
      </c>
      <c r="C3880" t="s">
        <v>7340</v>
      </c>
      <c r="D3880">
        <v>155.941343</v>
      </c>
    </row>
    <row r="3881" spans="1:4">
      <c r="A3881" t="s">
        <v>5498</v>
      </c>
      <c r="B3881" t="s">
        <v>371</v>
      </c>
      <c r="C3881" t="s">
        <v>7294</v>
      </c>
      <c r="D3881">
        <v>219.41418</v>
      </c>
    </row>
    <row r="3882" spans="1:4">
      <c r="A3882" t="s">
        <v>5499</v>
      </c>
      <c r="B3882" t="s">
        <v>371</v>
      </c>
      <c r="C3882" t="s">
        <v>7341</v>
      </c>
      <c r="D3882">
        <v>0.134843</v>
      </c>
    </row>
    <row r="3883" spans="1:4">
      <c r="A3883" t="s">
        <v>5500</v>
      </c>
      <c r="B3883" t="s">
        <v>371</v>
      </c>
      <c r="C3883" t="s">
        <v>7295</v>
      </c>
      <c r="D3883">
        <v>385.471722</v>
      </c>
    </row>
    <row r="3884" spans="1:4">
      <c r="A3884" t="s">
        <v>5501</v>
      </c>
      <c r="B3884" t="s">
        <v>371</v>
      </c>
      <c r="C3884" t="s">
        <v>7342</v>
      </c>
      <c r="D3884">
        <v>13373.592414</v>
      </c>
    </row>
    <row r="3885" spans="1:4">
      <c r="A3885" t="s">
        <v>5502</v>
      </c>
      <c r="B3885" t="s">
        <v>371</v>
      </c>
      <c r="C3885" t="s">
        <v>7343</v>
      </c>
      <c r="D3885">
        <v>0.338345</v>
      </c>
    </row>
    <row r="3886" spans="1:4">
      <c r="A3886" t="s">
        <v>5503</v>
      </c>
      <c r="B3886" t="s">
        <v>371</v>
      </c>
      <c r="C3886" t="s">
        <v>7344</v>
      </c>
      <c r="D3886">
        <v>45.9146</v>
      </c>
    </row>
    <row r="3887" spans="1:4">
      <c r="A3887" t="s">
        <v>5504</v>
      </c>
      <c r="B3887" t="s">
        <v>371</v>
      </c>
      <c r="C3887" t="s">
        <v>7296</v>
      </c>
      <c r="D3887">
        <v>45.879039</v>
      </c>
    </row>
    <row r="3888" spans="1:4">
      <c r="A3888" t="s">
        <v>5505</v>
      </c>
      <c r="B3888" t="s">
        <v>371</v>
      </c>
      <c r="C3888" t="s">
        <v>7345</v>
      </c>
      <c r="D3888">
        <v>0.090378</v>
      </c>
    </row>
    <row r="3889" spans="1:4">
      <c r="A3889" t="s">
        <v>5506</v>
      </c>
      <c r="B3889" t="s">
        <v>371</v>
      </c>
      <c r="C3889" t="s">
        <v>7346</v>
      </c>
      <c r="D3889">
        <v>0.685019</v>
      </c>
    </row>
    <row r="3890" spans="1:4">
      <c r="A3890" t="s">
        <v>5507</v>
      </c>
      <c r="B3890" t="s">
        <v>371</v>
      </c>
      <c r="C3890" t="s">
        <v>7347</v>
      </c>
      <c r="D3890">
        <v>12.995111</v>
      </c>
    </row>
    <row r="3891" spans="1:4">
      <c r="A3891" t="s">
        <v>5508</v>
      </c>
      <c r="B3891" t="s">
        <v>371</v>
      </c>
      <c r="C3891" t="s">
        <v>7348</v>
      </c>
      <c r="D3891">
        <v>3.226569</v>
      </c>
    </row>
    <row r="3892" spans="1:4">
      <c r="A3892" t="s">
        <v>5509</v>
      </c>
      <c r="B3892" t="s">
        <v>371</v>
      </c>
      <c r="C3892" t="s">
        <v>7297</v>
      </c>
      <c r="D3892">
        <v>14.668393</v>
      </c>
    </row>
    <row r="3893" spans="1:4">
      <c r="A3893" t="s">
        <v>5510</v>
      </c>
      <c r="B3893" t="s">
        <v>371</v>
      </c>
      <c r="C3893" t="s">
        <v>7349</v>
      </c>
      <c r="D3893">
        <v>1.754901</v>
      </c>
    </row>
    <row r="3894" spans="1:4">
      <c r="A3894" t="s">
        <v>5511</v>
      </c>
      <c r="B3894" t="s">
        <v>371</v>
      </c>
      <c r="C3894" t="s">
        <v>7298</v>
      </c>
      <c r="D3894">
        <v>47.668828</v>
      </c>
    </row>
    <row r="3895" spans="1:4">
      <c r="A3895" t="s">
        <v>5512</v>
      </c>
      <c r="B3895" t="s">
        <v>371</v>
      </c>
      <c r="C3895" t="s">
        <v>7350</v>
      </c>
      <c r="D3895">
        <v>5.224668</v>
      </c>
    </row>
    <row r="3896" spans="1:4">
      <c r="A3896" t="s">
        <v>5513</v>
      </c>
      <c r="B3896" t="s">
        <v>371</v>
      </c>
      <c r="C3896" t="s">
        <v>7351</v>
      </c>
      <c r="D3896">
        <v>2.341764</v>
      </c>
    </row>
    <row r="3897" spans="1:4">
      <c r="A3897" t="s">
        <v>5514</v>
      </c>
      <c r="B3897" t="s">
        <v>371</v>
      </c>
      <c r="C3897" t="s">
        <v>7352</v>
      </c>
      <c r="D3897">
        <v>6.342584</v>
      </c>
    </row>
    <row r="3898" spans="1:4">
      <c r="A3898" t="s">
        <v>5515</v>
      </c>
      <c r="B3898" t="s">
        <v>371</v>
      </c>
      <c r="C3898" t="s">
        <v>7353</v>
      </c>
      <c r="D3898">
        <v>20.792179</v>
      </c>
    </row>
    <row r="3899" spans="1:4">
      <c r="A3899" t="s">
        <v>5516</v>
      </c>
      <c r="B3899" t="s">
        <v>371</v>
      </c>
      <c r="C3899" t="s">
        <v>7354</v>
      </c>
      <c r="D3899">
        <v>1.915523</v>
      </c>
    </row>
    <row r="3900" spans="1:4">
      <c r="A3900" t="s">
        <v>5517</v>
      </c>
      <c r="B3900" t="s">
        <v>371</v>
      </c>
      <c r="C3900" t="s">
        <v>7355</v>
      </c>
      <c r="D3900">
        <v>139.143552</v>
      </c>
    </row>
    <row r="3901" spans="1:4">
      <c r="A3901" t="s">
        <v>5518</v>
      </c>
      <c r="B3901" t="s">
        <v>371</v>
      </c>
      <c r="C3901" t="s">
        <v>7356</v>
      </c>
      <c r="D3901">
        <v>413.000079</v>
      </c>
    </row>
    <row r="3902" spans="1:4">
      <c r="A3902" t="s">
        <v>5519</v>
      </c>
      <c r="B3902" t="s">
        <v>371</v>
      </c>
      <c r="C3902" t="s">
        <v>7357</v>
      </c>
      <c r="D3902">
        <v>47.668841</v>
      </c>
    </row>
    <row r="3903" spans="1:4">
      <c r="A3903" t="s">
        <v>5520</v>
      </c>
      <c r="B3903" t="s">
        <v>371</v>
      </c>
      <c r="C3903" t="s">
        <v>7299</v>
      </c>
      <c r="D3903">
        <v>413.000079</v>
      </c>
    </row>
    <row r="3904" spans="1:4">
      <c r="A3904" t="s">
        <v>5521</v>
      </c>
      <c r="B3904" t="s">
        <v>371</v>
      </c>
      <c r="C3904" t="s">
        <v>7358</v>
      </c>
      <c r="D3904">
        <v>118.089538</v>
      </c>
    </row>
    <row r="3905" spans="1:4">
      <c r="A3905" t="s">
        <v>5522</v>
      </c>
      <c r="B3905" t="s">
        <v>371</v>
      </c>
      <c r="C3905" t="s">
        <v>7359</v>
      </c>
      <c r="D3905">
        <v>413.000079</v>
      </c>
    </row>
    <row r="3906" spans="1:4">
      <c r="A3906" t="s">
        <v>5523</v>
      </c>
      <c r="B3906" t="s">
        <v>371</v>
      </c>
      <c r="C3906" t="s">
        <v>7360</v>
      </c>
      <c r="D3906">
        <v>27.64396</v>
      </c>
    </row>
    <row r="3907" spans="1:4">
      <c r="A3907" t="s">
        <v>5524</v>
      </c>
      <c r="B3907" t="s">
        <v>371</v>
      </c>
      <c r="C3907" t="s">
        <v>7361</v>
      </c>
      <c r="D3907">
        <v>413.000079</v>
      </c>
    </row>
    <row r="3908" spans="1:4">
      <c r="A3908" t="s">
        <v>5525</v>
      </c>
      <c r="B3908" t="s">
        <v>371</v>
      </c>
      <c r="C3908" t="s">
        <v>7362</v>
      </c>
      <c r="D3908">
        <v>4.202757</v>
      </c>
    </row>
    <row r="3909" spans="1:4">
      <c r="A3909" t="s">
        <v>5526</v>
      </c>
      <c r="B3909" t="s">
        <v>371</v>
      </c>
      <c r="C3909" t="s">
        <v>7363</v>
      </c>
      <c r="D3909">
        <v>0.035549</v>
      </c>
    </row>
    <row r="3910" spans="1:4">
      <c r="A3910" t="s">
        <v>5527</v>
      </c>
      <c r="B3910" t="s">
        <v>371</v>
      </c>
      <c r="C3910" t="s">
        <v>7364</v>
      </c>
      <c r="D3910">
        <v>40.909621</v>
      </c>
    </row>
    <row r="3911" spans="1:4">
      <c r="A3911" t="s">
        <v>5528</v>
      </c>
      <c r="B3911" t="s">
        <v>371</v>
      </c>
      <c r="C3911" t="s">
        <v>7365</v>
      </c>
      <c r="D3911">
        <v>1.492402</v>
      </c>
    </row>
    <row r="3912" spans="1:4">
      <c r="A3912" t="s">
        <v>5529</v>
      </c>
      <c r="B3912" t="s">
        <v>371</v>
      </c>
      <c r="C3912" t="s">
        <v>7300</v>
      </c>
      <c r="D3912">
        <v>39.748658</v>
      </c>
    </row>
    <row r="3913" spans="1:4">
      <c r="A3913" t="s">
        <v>5530</v>
      </c>
      <c r="B3913" t="s">
        <v>371</v>
      </c>
      <c r="C3913" t="s">
        <v>7366</v>
      </c>
      <c r="D3913">
        <v>11.661581</v>
      </c>
    </row>
    <row r="3914" spans="1:4">
      <c r="A3914" t="s">
        <v>5531</v>
      </c>
      <c r="B3914" t="s">
        <v>371</v>
      </c>
      <c r="C3914" t="s">
        <v>7367</v>
      </c>
      <c r="D3914">
        <v>47.219813</v>
      </c>
    </row>
    <row r="3915" spans="1:4">
      <c r="A3915" t="s">
        <v>5532</v>
      </c>
      <c r="B3915" t="s">
        <v>371</v>
      </c>
      <c r="C3915" t="s">
        <v>7368</v>
      </c>
      <c r="D3915">
        <v>2.38764</v>
      </c>
    </row>
    <row r="3916" spans="1:4">
      <c r="A3916" t="s">
        <v>5533</v>
      </c>
      <c r="B3916" t="s">
        <v>371</v>
      </c>
      <c r="C3916" t="s">
        <v>7301</v>
      </c>
      <c r="D3916">
        <v>0.017405</v>
      </c>
    </row>
    <row r="3917" spans="1:4">
      <c r="A3917" t="s">
        <v>5534</v>
      </c>
      <c r="B3917" t="s">
        <v>371</v>
      </c>
      <c r="C3917" t="s">
        <v>7302</v>
      </c>
      <c r="D3917">
        <v>104.768681</v>
      </c>
    </row>
    <row r="3918" spans="1:4">
      <c r="A3918" t="s">
        <v>5535</v>
      </c>
      <c r="B3918" t="s">
        <v>371</v>
      </c>
      <c r="C3918" t="s">
        <v>7369</v>
      </c>
      <c r="D3918">
        <v>413.000079</v>
      </c>
    </row>
    <row r="3919" spans="1:4">
      <c r="A3919" t="s">
        <v>5536</v>
      </c>
      <c r="B3919" t="s">
        <v>371</v>
      </c>
      <c r="C3919" t="s">
        <v>7303</v>
      </c>
      <c r="D3919">
        <v>3.295272</v>
      </c>
    </row>
    <row r="3920" spans="1:4">
      <c r="A3920" t="s">
        <v>5537</v>
      </c>
      <c r="B3920" t="s">
        <v>371</v>
      </c>
      <c r="C3920" t="s">
        <v>7370</v>
      </c>
      <c r="D3920">
        <v>0.238257</v>
      </c>
    </row>
    <row r="3921" spans="1:4">
      <c r="A3921" t="s">
        <v>5538</v>
      </c>
      <c r="B3921" t="s">
        <v>371</v>
      </c>
      <c r="C3921" t="s">
        <v>7371</v>
      </c>
      <c r="D3921">
        <v>0.000227</v>
      </c>
    </row>
    <row r="3922" spans="1:4">
      <c r="A3922" t="s">
        <v>5539</v>
      </c>
      <c r="B3922" t="s">
        <v>371</v>
      </c>
      <c r="C3922" t="s">
        <v>7304</v>
      </c>
      <c r="D3922">
        <v>2.470583</v>
      </c>
    </row>
    <row r="3923" spans="1:4">
      <c r="A3923" t="s">
        <v>5540</v>
      </c>
      <c r="B3923" t="s">
        <v>371</v>
      </c>
      <c r="C3923" t="s">
        <v>7372</v>
      </c>
      <c r="D3923">
        <v>413.000079</v>
      </c>
    </row>
    <row r="3924" spans="1:4">
      <c r="A3924" t="s">
        <v>5541</v>
      </c>
      <c r="B3924" t="s">
        <v>371</v>
      </c>
      <c r="C3924" t="s">
        <v>7373</v>
      </c>
      <c r="D3924">
        <v>1.985352</v>
      </c>
    </row>
    <row r="3925" spans="1:4">
      <c r="A3925" t="s">
        <v>5542</v>
      </c>
      <c r="B3925" t="s">
        <v>371</v>
      </c>
      <c r="C3925" t="s">
        <v>7374</v>
      </c>
      <c r="D3925">
        <v>439.890996</v>
      </c>
    </row>
    <row r="3926" spans="1:4">
      <c r="A3926" t="s">
        <v>5543</v>
      </c>
      <c r="B3926" t="s">
        <v>371</v>
      </c>
      <c r="C3926" t="s">
        <v>7305</v>
      </c>
      <c r="D3926">
        <v>1.918311</v>
      </c>
    </row>
    <row r="3927" spans="1:4">
      <c r="A3927" t="s">
        <v>5544</v>
      </c>
      <c r="B3927" t="s">
        <v>371</v>
      </c>
      <c r="C3927" t="s">
        <v>7375</v>
      </c>
      <c r="D3927">
        <v>2.41098</v>
      </c>
    </row>
    <row r="3928" spans="1:4">
      <c r="A3928" t="s">
        <v>5545</v>
      </c>
      <c r="B3928" t="s">
        <v>371</v>
      </c>
      <c r="C3928" t="s">
        <v>7376</v>
      </c>
      <c r="D3928">
        <v>3.568396</v>
      </c>
    </row>
    <row r="3929" spans="1:4">
      <c r="A3929" t="s">
        <v>5546</v>
      </c>
      <c r="B3929" t="s">
        <v>371</v>
      </c>
      <c r="C3929" t="s">
        <v>7377</v>
      </c>
      <c r="D3929">
        <v>0.078067</v>
      </c>
    </row>
    <row r="3930" spans="1:4">
      <c r="A3930" t="s">
        <v>5547</v>
      </c>
      <c r="B3930" t="s">
        <v>371</v>
      </c>
      <c r="C3930" t="s">
        <v>7378</v>
      </c>
      <c r="D3930">
        <v>215.239449</v>
      </c>
    </row>
    <row r="3931" spans="1:4">
      <c r="A3931" t="s">
        <v>5548</v>
      </c>
      <c r="B3931" t="s">
        <v>371</v>
      </c>
      <c r="C3931" t="s">
        <v>7379</v>
      </c>
      <c r="D3931">
        <v>0.723173</v>
      </c>
    </row>
    <row r="3932" spans="1:4">
      <c r="A3932" t="s">
        <v>5549</v>
      </c>
      <c r="B3932" t="s">
        <v>371</v>
      </c>
      <c r="C3932" t="s">
        <v>7306</v>
      </c>
      <c r="D3932">
        <v>0.201287</v>
      </c>
    </row>
    <row r="3933" spans="1:4">
      <c r="A3933" t="s">
        <v>5550</v>
      </c>
      <c r="B3933" t="s">
        <v>371</v>
      </c>
      <c r="C3933" t="s">
        <v>7380</v>
      </c>
      <c r="D3933">
        <v>1014.88384</v>
      </c>
    </row>
    <row r="3934" spans="1:4">
      <c r="A3934" t="s">
        <v>5551</v>
      </c>
      <c r="B3934" t="s">
        <v>371</v>
      </c>
      <c r="C3934" t="s">
        <v>7381</v>
      </c>
      <c r="D3934">
        <v>374.259354</v>
      </c>
    </row>
    <row r="3935" spans="1:4">
      <c r="A3935" t="s">
        <v>5552</v>
      </c>
      <c r="B3935" t="s">
        <v>371</v>
      </c>
      <c r="C3935" t="s">
        <v>7382</v>
      </c>
      <c r="D3935">
        <v>0.651119</v>
      </c>
    </row>
    <row r="3936" spans="1:4">
      <c r="A3936" t="s">
        <v>5553</v>
      </c>
      <c r="B3936" t="s">
        <v>371</v>
      </c>
      <c r="C3936" t="s">
        <v>7383</v>
      </c>
      <c r="D3936">
        <v>0.014021</v>
      </c>
    </row>
    <row r="3937" spans="1:4">
      <c r="A3937" t="s">
        <v>5554</v>
      </c>
      <c r="B3937" t="s">
        <v>371</v>
      </c>
      <c r="C3937" t="s">
        <v>7384</v>
      </c>
      <c r="D3937">
        <v>0.003485</v>
      </c>
    </row>
    <row r="3938" spans="1:4">
      <c r="A3938" t="s">
        <v>5555</v>
      </c>
      <c r="B3938" t="s">
        <v>371</v>
      </c>
      <c r="C3938" t="s">
        <v>7385</v>
      </c>
      <c r="D3938">
        <v>0.928573</v>
      </c>
    </row>
    <row r="3939" spans="1:4">
      <c r="A3939" t="s">
        <v>5556</v>
      </c>
      <c r="B3939" t="s">
        <v>371</v>
      </c>
      <c r="C3939" t="s">
        <v>7386</v>
      </c>
      <c r="D3939">
        <v>1.715725</v>
      </c>
    </row>
    <row r="3940" spans="1:4">
      <c r="A3940" t="s">
        <v>5557</v>
      </c>
      <c r="B3940" t="s">
        <v>371</v>
      </c>
      <c r="C3940" t="s">
        <v>7387</v>
      </c>
      <c r="D3940">
        <v>19.024378</v>
      </c>
    </row>
    <row r="3941" spans="1:4">
      <c r="A3941" t="s">
        <v>5558</v>
      </c>
      <c r="B3941" t="s">
        <v>371</v>
      </c>
      <c r="C3941" t="s">
        <v>7388</v>
      </c>
      <c r="D3941">
        <v>48.572009</v>
      </c>
    </row>
    <row r="3942" spans="1:4">
      <c r="A3942" t="s">
        <v>5559</v>
      </c>
      <c r="B3942" t="s">
        <v>371</v>
      </c>
      <c r="C3942" t="s">
        <v>7389</v>
      </c>
      <c r="D3942">
        <v>33.204465</v>
      </c>
    </row>
    <row r="3943" spans="1:4">
      <c r="A3943" t="s">
        <v>5560</v>
      </c>
      <c r="B3943" t="s">
        <v>371</v>
      </c>
      <c r="C3943" t="s">
        <v>7390</v>
      </c>
      <c r="D3943">
        <v>17.689574</v>
      </c>
    </row>
    <row r="3944" spans="1:4">
      <c r="A3944" t="s">
        <v>5561</v>
      </c>
      <c r="B3944" t="s">
        <v>371</v>
      </c>
      <c r="C3944" t="s">
        <v>7391</v>
      </c>
      <c r="D3944">
        <v>0.073652</v>
      </c>
    </row>
    <row r="3945" spans="1:4">
      <c r="A3945" t="s">
        <v>5562</v>
      </c>
      <c r="B3945" t="s">
        <v>371</v>
      </c>
      <c r="C3945" t="s">
        <v>7392</v>
      </c>
      <c r="D3945">
        <v>5.76683</v>
      </c>
    </row>
    <row r="3946" spans="1:4">
      <c r="A3946" t="s">
        <v>5563</v>
      </c>
      <c r="B3946" t="s">
        <v>371</v>
      </c>
      <c r="C3946" t="s">
        <v>7393</v>
      </c>
      <c r="D3946">
        <v>0.148796</v>
      </c>
    </row>
    <row r="3947" spans="1:4">
      <c r="A3947" t="s">
        <v>5564</v>
      </c>
      <c r="B3947" t="s">
        <v>371</v>
      </c>
      <c r="C3947" t="s">
        <v>7394</v>
      </c>
      <c r="D3947">
        <v>0.086628</v>
      </c>
    </row>
    <row r="3948" spans="1:4">
      <c r="A3948" t="s">
        <v>5565</v>
      </c>
      <c r="B3948" t="s">
        <v>371</v>
      </c>
      <c r="C3948" t="s">
        <v>7395</v>
      </c>
      <c r="D3948">
        <v>38.588287</v>
      </c>
    </row>
    <row r="3949" spans="1:4">
      <c r="A3949" t="s">
        <v>5566</v>
      </c>
      <c r="B3949" t="s">
        <v>371</v>
      </c>
      <c r="C3949" t="s">
        <v>7396</v>
      </c>
      <c r="D3949">
        <v>7.788473</v>
      </c>
    </row>
    <row r="3950" spans="1:4">
      <c r="A3950" t="s">
        <v>5567</v>
      </c>
      <c r="B3950" t="s">
        <v>371</v>
      </c>
      <c r="C3950" t="s">
        <v>7397</v>
      </c>
      <c r="D3950">
        <v>6.613869</v>
      </c>
    </row>
    <row r="3951" spans="1:4">
      <c r="A3951" t="s">
        <v>5568</v>
      </c>
      <c r="B3951" t="s">
        <v>371</v>
      </c>
      <c r="C3951" t="s">
        <v>7398</v>
      </c>
      <c r="D3951">
        <v>20.190784</v>
      </c>
    </row>
    <row r="3952" spans="1:4">
      <c r="A3952" t="s">
        <v>5569</v>
      </c>
      <c r="B3952" t="s">
        <v>371</v>
      </c>
      <c r="C3952" t="s">
        <v>7399</v>
      </c>
      <c r="D3952">
        <v>0.179203</v>
      </c>
    </row>
    <row r="3953" spans="1:4">
      <c r="A3953" t="s">
        <v>5570</v>
      </c>
      <c r="B3953" t="s">
        <v>371</v>
      </c>
      <c r="C3953" t="s">
        <v>7307</v>
      </c>
      <c r="D3953">
        <v>17.836273</v>
      </c>
    </row>
    <row r="3954" spans="1:4">
      <c r="A3954" t="s">
        <v>5571</v>
      </c>
      <c r="B3954" t="s">
        <v>371</v>
      </c>
      <c r="C3954" t="s">
        <v>7308</v>
      </c>
      <c r="D3954">
        <v>76.441332</v>
      </c>
    </row>
    <row r="3955" spans="1:4">
      <c r="A3955" t="s">
        <v>5572</v>
      </c>
      <c r="B3955" t="s">
        <v>371</v>
      </c>
      <c r="C3955" t="s">
        <v>7400</v>
      </c>
      <c r="D3955">
        <v>4.892759</v>
      </c>
    </row>
    <row r="3956" spans="1:4">
      <c r="A3956" t="s">
        <v>5573</v>
      </c>
      <c r="B3956" t="s">
        <v>371</v>
      </c>
      <c r="C3956" t="s">
        <v>7401</v>
      </c>
      <c r="D3956">
        <v>19.024378</v>
      </c>
    </row>
    <row r="3957" spans="1:4">
      <c r="A3957" t="s">
        <v>5574</v>
      </c>
      <c r="B3957" t="s">
        <v>371</v>
      </c>
      <c r="C3957" t="s">
        <v>7402</v>
      </c>
      <c r="D3957">
        <v>0.228555</v>
      </c>
    </row>
    <row r="3958" spans="1:4">
      <c r="A3958" t="s">
        <v>5575</v>
      </c>
      <c r="B3958" t="s">
        <v>371</v>
      </c>
      <c r="C3958" t="s">
        <v>7403</v>
      </c>
      <c r="D3958">
        <v>8.481517</v>
      </c>
    </row>
    <row r="3959" spans="1:4">
      <c r="A3959" t="s">
        <v>5576</v>
      </c>
      <c r="B3959" t="s">
        <v>371</v>
      </c>
      <c r="C3959" t="s">
        <v>7309</v>
      </c>
      <c r="D3959">
        <v>31.448037</v>
      </c>
    </row>
    <row r="3960" spans="1:4">
      <c r="A3960" t="s">
        <v>5577</v>
      </c>
      <c r="B3960" t="s">
        <v>371</v>
      </c>
      <c r="C3960" t="s">
        <v>7404</v>
      </c>
      <c r="D3960">
        <v>2.059546</v>
      </c>
    </row>
    <row r="3961" spans="1:4">
      <c r="A3961" t="s">
        <v>5578</v>
      </c>
      <c r="B3961" t="s">
        <v>371</v>
      </c>
      <c r="C3961" t="s">
        <v>7310</v>
      </c>
      <c r="D3961">
        <v>176.792637</v>
      </c>
    </row>
    <row r="3962" spans="1:4">
      <c r="A3962" t="s">
        <v>5579</v>
      </c>
      <c r="B3962" t="s">
        <v>371</v>
      </c>
      <c r="C3962" t="s">
        <v>7405</v>
      </c>
      <c r="D3962">
        <v>811.144426</v>
      </c>
    </row>
    <row r="3963" spans="1:4">
      <c r="A3963" t="s">
        <v>5580</v>
      </c>
      <c r="B3963" t="s">
        <v>371</v>
      </c>
      <c r="C3963" t="s">
        <v>7406</v>
      </c>
      <c r="D3963">
        <v>311.882686</v>
      </c>
    </row>
    <row r="3964" spans="1:4">
      <c r="A3964" t="s">
        <v>5581</v>
      </c>
      <c r="B3964" t="s">
        <v>371</v>
      </c>
      <c r="C3964" t="s">
        <v>7407</v>
      </c>
      <c r="D3964">
        <v>91.391355</v>
      </c>
    </row>
    <row r="3965" spans="1:4">
      <c r="A3965" t="s">
        <v>5582</v>
      </c>
      <c r="B3965" t="s">
        <v>371</v>
      </c>
      <c r="C3965" t="s">
        <v>7408</v>
      </c>
      <c r="D3965">
        <v>71.06575100000001</v>
      </c>
    </row>
    <row r="3966" spans="1:4">
      <c r="A3966" t="s">
        <v>5583</v>
      </c>
      <c r="B3966" t="s">
        <v>371</v>
      </c>
      <c r="C3966" t="s">
        <v>7311</v>
      </c>
      <c r="D3966">
        <v>5.083792</v>
      </c>
    </row>
    <row r="3967" spans="1:4">
      <c r="A3967" t="s">
        <v>5584</v>
      </c>
      <c r="B3967" t="s">
        <v>371</v>
      </c>
      <c r="C3967" t="s">
        <v>7409</v>
      </c>
      <c r="D3967">
        <v>1.12129</v>
      </c>
    </row>
    <row r="3968" spans="1:4">
      <c r="A3968" t="s">
        <v>5585</v>
      </c>
      <c r="B3968" t="s">
        <v>371</v>
      </c>
      <c r="C3968" t="s">
        <v>7312</v>
      </c>
      <c r="D3968">
        <v>82.789092</v>
      </c>
    </row>
    <row r="3969" spans="1:4">
      <c r="A3969" t="s">
        <v>5586</v>
      </c>
      <c r="B3969" t="s">
        <v>371</v>
      </c>
      <c r="C3969" t="s">
        <v>7410</v>
      </c>
      <c r="D3969">
        <v>0.051345</v>
      </c>
    </row>
    <row r="3970" spans="1:4">
      <c r="A3970" t="s">
        <v>5587</v>
      </c>
      <c r="B3970" t="s">
        <v>371</v>
      </c>
      <c r="C3970" t="s">
        <v>7411</v>
      </c>
      <c r="D3970">
        <v>85.68205399999999</v>
      </c>
    </row>
    <row r="3971" spans="1:4">
      <c r="A3971" t="s">
        <v>5588</v>
      </c>
      <c r="B3971" t="s">
        <v>371</v>
      </c>
      <c r="C3971" t="s">
        <v>7313</v>
      </c>
      <c r="D3971">
        <v>67.845218</v>
      </c>
    </row>
    <row r="3972" spans="1:4">
      <c r="A3972" t="s">
        <v>5589</v>
      </c>
      <c r="B3972" t="s">
        <v>371</v>
      </c>
      <c r="C3972" t="s">
        <v>7412</v>
      </c>
      <c r="D3972">
        <v>3.031596</v>
      </c>
    </row>
    <row r="3973" spans="1:4">
      <c r="A3973" t="s">
        <v>5590</v>
      </c>
      <c r="B3973" t="s">
        <v>371</v>
      </c>
      <c r="C3973" t="s">
        <v>7413</v>
      </c>
      <c r="D3973">
        <v>3.979378</v>
      </c>
    </row>
    <row r="3974" spans="1:4">
      <c r="A3974" t="s">
        <v>5591</v>
      </c>
      <c r="B3974" t="s">
        <v>371</v>
      </c>
      <c r="C3974" t="s">
        <v>7414</v>
      </c>
      <c r="D3974">
        <v>0.212835</v>
      </c>
    </row>
    <row r="3975" spans="1:4">
      <c r="A3975" t="s">
        <v>5592</v>
      </c>
      <c r="B3975" t="s">
        <v>371</v>
      </c>
      <c r="C3975" t="s">
        <v>7415</v>
      </c>
      <c r="D3975">
        <v>83.168707</v>
      </c>
    </row>
    <row r="3976" spans="1:4">
      <c r="A3976" t="s">
        <v>5593</v>
      </c>
      <c r="B3976" t="s">
        <v>371</v>
      </c>
      <c r="C3976" t="s">
        <v>7416</v>
      </c>
      <c r="D3976">
        <v>39.043204</v>
      </c>
    </row>
    <row r="3977" spans="1:4">
      <c r="A3977" t="s">
        <v>5594</v>
      </c>
      <c r="B3977" t="s">
        <v>371</v>
      </c>
      <c r="C3977" t="s">
        <v>7417</v>
      </c>
      <c r="D3977">
        <v>21.104294</v>
      </c>
    </row>
    <row r="3978" spans="1:4">
      <c r="A3978" t="s">
        <v>5595</v>
      </c>
      <c r="B3978" t="s">
        <v>371</v>
      </c>
      <c r="C3978" t="s">
        <v>7418</v>
      </c>
      <c r="D3978">
        <v>0.69855</v>
      </c>
    </row>
    <row r="3979" spans="1:4">
      <c r="A3979" t="s">
        <v>5596</v>
      </c>
      <c r="B3979" t="s">
        <v>371</v>
      </c>
      <c r="C3979" t="s">
        <v>7314</v>
      </c>
      <c r="D3979">
        <v>32.098812</v>
      </c>
    </row>
    <row r="3980" spans="1:4">
      <c r="A3980" t="s">
        <v>5597</v>
      </c>
      <c r="B3980" t="s">
        <v>371</v>
      </c>
      <c r="C3980" t="s">
        <v>7315</v>
      </c>
      <c r="D3980">
        <v>240.886746</v>
      </c>
    </row>
    <row r="3981" spans="1:4">
      <c r="A3981" t="s">
        <v>5598</v>
      </c>
      <c r="B3981" t="s">
        <v>371</v>
      </c>
      <c r="C3981" t="s">
        <v>7419</v>
      </c>
      <c r="D3981">
        <v>413.000079</v>
      </c>
    </row>
    <row r="3982" spans="1:4">
      <c r="A3982" t="s">
        <v>5599</v>
      </c>
      <c r="B3982" t="s">
        <v>371</v>
      </c>
      <c r="C3982" t="s">
        <v>7420</v>
      </c>
      <c r="D3982">
        <v>12.610724</v>
      </c>
    </row>
    <row r="3983" spans="1:4">
      <c r="A3983" t="s">
        <v>5600</v>
      </c>
      <c r="B3983" t="s">
        <v>371</v>
      </c>
      <c r="C3983" t="s">
        <v>7421</v>
      </c>
      <c r="D3983">
        <v>0.012614</v>
      </c>
    </row>
    <row r="3984" spans="1:4">
      <c r="A3984" t="s">
        <v>5601</v>
      </c>
      <c r="B3984" t="s">
        <v>371</v>
      </c>
      <c r="C3984" t="s">
        <v>7422</v>
      </c>
      <c r="D3984">
        <v>0.546471</v>
      </c>
    </row>
    <row r="3985" spans="1:4">
      <c r="A3985" t="s">
        <v>5602</v>
      </c>
      <c r="B3985" t="s">
        <v>371</v>
      </c>
      <c r="C3985" t="s">
        <v>7423</v>
      </c>
      <c r="D3985">
        <v>8.307569000000001</v>
      </c>
    </row>
    <row r="3986" spans="1:4">
      <c r="A3986" t="s">
        <v>5603</v>
      </c>
      <c r="B3986" t="s">
        <v>371</v>
      </c>
      <c r="C3986" t="s">
        <v>7424</v>
      </c>
      <c r="D3986">
        <v>0.06625</v>
      </c>
    </row>
    <row r="3987" spans="1:4">
      <c r="A3987" t="s">
        <v>5604</v>
      </c>
      <c r="B3987" t="s">
        <v>371</v>
      </c>
      <c r="C3987" t="s">
        <v>7425</v>
      </c>
      <c r="D3987">
        <v>14.521538</v>
      </c>
    </row>
    <row r="3988" spans="1:4">
      <c r="A3988" t="s">
        <v>5605</v>
      </c>
      <c r="B3988" t="s">
        <v>371</v>
      </c>
      <c r="C3988" t="s">
        <v>7426</v>
      </c>
      <c r="D3988">
        <v>2.779295</v>
      </c>
    </row>
    <row r="3989" spans="1:4">
      <c r="A3989" t="s">
        <v>5606</v>
      </c>
      <c r="B3989" t="s">
        <v>371</v>
      </c>
      <c r="C3989" t="s">
        <v>7427</v>
      </c>
      <c r="D3989">
        <v>19.024378</v>
      </c>
    </row>
    <row r="3990" spans="1:4">
      <c r="A3990" t="s">
        <v>5607</v>
      </c>
      <c r="B3990" t="s">
        <v>371</v>
      </c>
      <c r="C3990" t="s">
        <v>7316</v>
      </c>
      <c r="D3990">
        <v>9.379545</v>
      </c>
    </row>
    <row r="3991" spans="1:4">
      <c r="A3991" t="s">
        <v>5608</v>
      </c>
      <c r="B3991" t="s">
        <v>371</v>
      </c>
      <c r="C3991" t="s">
        <v>7428</v>
      </c>
      <c r="D3991">
        <v>33.727171</v>
      </c>
    </row>
    <row r="3992" spans="1:4">
      <c r="A3992" t="s">
        <v>5609</v>
      </c>
      <c r="B3992" t="s">
        <v>371</v>
      </c>
      <c r="C3992" t="s">
        <v>7429</v>
      </c>
      <c r="D3992">
        <v>89.21048999999999</v>
      </c>
    </row>
    <row r="3993" spans="1:4">
      <c r="A3993" t="s">
        <v>5610</v>
      </c>
      <c r="B3993" t="s">
        <v>371</v>
      </c>
      <c r="C3993" t="s">
        <v>7430</v>
      </c>
      <c r="D3993">
        <v>105.735761</v>
      </c>
    </row>
    <row r="3994" spans="1:4">
      <c r="A3994" t="s">
        <v>5611</v>
      </c>
      <c r="B3994" t="s">
        <v>371</v>
      </c>
      <c r="C3994" t="s">
        <v>7431</v>
      </c>
      <c r="D3994">
        <v>130.777875</v>
      </c>
    </row>
    <row r="3995" spans="1:4">
      <c r="A3995" t="s">
        <v>5612</v>
      </c>
      <c r="B3995" t="s">
        <v>371</v>
      </c>
      <c r="C3995" t="s">
        <v>7317</v>
      </c>
      <c r="D3995">
        <v>6.680419</v>
      </c>
    </row>
    <row r="3996" spans="1:4">
      <c r="A3996" t="s">
        <v>5613</v>
      </c>
      <c r="B3996" t="s">
        <v>371</v>
      </c>
      <c r="C3996" t="s">
        <v>7432</v>
      </c>
      <c r="D3996">
        <v>42.539365</v>
      </c>
    </row>
    <row r="3997" spans="1:4">
      <c r="A3997" t="s">
        <v>5614</v>
      </c>
      <c r="B3997" t="s">
        <v>371</v>
      </c>
      <c r="C3997" t="s">
        <v>7433</v>
      </c>
      <c r="D3997">
        <v>215.239449</v>
      </c>
    </row>
    <row r="3998" spans="1:4">
      <c r="A3998" t="s">
        <v>5615</v>
      </c>
      <c r="B3998" t="s">
        <v>371</v>
      </c>
      <c r="C3998" t="s">
        <v>7434</v>
      </c>
      <c r="D3998">
        <v>9.792068</v>
      </c>
    </row>
    <row r="3999" spans="1:4">
      <c r="A3999" t="s">
        <v>5616</v>
      </c>
      <c r="B3999" t="s">
        <v>371</v>
      </c>
      <c r="C3999" t="s">
        <v>7435</v>
      </c>
      <c r="D3999">
        <v>0.120166</v>
      </c>
    </row>
    <row r="4000" spans="1:4">
      <c r="A4000" t="s">
        <v>5617</v>
      </c>
      <c r="B4000" t="s">
        <v>371</v>
      </c>
      <c r="C4000" t="s">
        <v>7436</v>
      </c>
      <c r="D4000">
        <v>6.962387</v>
      </c>
    </row>
    <row r="4001" spans="1:4">
      <c r="A4001" t="s">
        <v>5618</v>
      </c>
      <c r="B4001" t="s">
        <v>371</v>
      </c>
      <c r="C4001" t="s">
        <v>7437</v>
      </c>
      <c r="D4001">
        <v>0.086091</v>
      </c>
    </row>
    <row r="4002" spans="1:4">
      <c r="A4002" t="s">
        <v>5619</v>
      </c>
      <c r="B4002" t="s">
        <v>371</v>
      </c>
      <c r="C4002" t="s">
        <v>399</v>
      </c>
      <c r="D4002">
        <v>311.792489</v>
      </c>
    </row>
    <row r="4003" spans="1:4">
      <c r="A4003" t="s">
        <v>5620</v>
      </c>
      <c r="B4003" t="s">
        <v>371</v>
      </c>
      <c r="C4003" t="s">
        <v>7438</v>
      </c>
      <c r="D4003">
        <v>7.759775</v>
      </c>
    </row>
    <row r="4004" spans="1:4">
      <c r="A4004" t="s">
        <v>5621</v>
      </c>
      <c r="B4004" t="s">
        <v>371</v>
      </c>
      <c r="C4004" t="s">
        <v>7439</v>
      </c>
      <c r="D4004">
        <v>0.025763</v>
      </c>
    </row>
    <row r="4005" spans="1:4">
      <c r="A4005" t="s">
        <v>5622</v>
      </c>
      <c r="B4005" t="s">
        <v>371</v>
      </c>
      <c r="C4005" t="s">
        <v>7440</v>
      </c>
      <c r="D4005">
        <v>0.491901</v>
      </c>
    </row>
    <row r="4006" spans="1:4">
      <c r="A4006" t="s">
        <v>5623</v>
      </c>
      <c r="B4006" t="s">
        <v>371</v>
      </c>
      <c r="C4006" t="s">
        <v>7441</v>
      </c>
      <c r="D4006">
        <v>0.011871</v>
      </c>
    </row>
    <row r="4007" spans="1:4">
      <c r="A4007" t="s">
        <v>5624</v>
      </c>
      <c r="B4007" t="s">
        <v>371</v>
      </c>
      <c r="C4007" t="s">
        <v>7442</v>
      </c>
      <c r="D4007">
        <v>2.603497</v>
      </c>
    </row>
    <row r="4008" spans="1:4">
      <c r="A4008" t="s">
        <v>5625</v>
      </c>
      <c r="B4008" t="s">
        <v>371</v>
      </c>
      <c r="C4008" t="s">
        <v>7443</v>
      </c>
      <c r="D4008">
        <v>113.647601</v>
      </c>
    </row>
    <row r="4009" spans="1:4">
      <c r="A4009" t="s">
        <v>5626</v>
      </c>
      <c r="B4009" t="s">
        <v>371</v>
      </c>
      <c r="C4009" t="s">
        <v>7444</v>
      </c>
      <c r="D4009">
        <v>0.54238</v>
      </c>
    </row>
    <row r="4010" spans="1:4">
      <c r="A4010" t="s">
        <v>5627</v>
      </c>
      <c r="B4010" t="s">
        <v>371</v>
      </c>
      <c r="C4010" t="s">
        <v>7445</v>
      </c>
      <c r="D4010">
        <v>115.512121</v>
      </c>
    </row>
    <row r="4011" spans="1:4">
      <c r="A4011" t="s">
        <v>5628</v>
      </c>
      <c r="B4011" t="s">
        <v>371</v>
      </c>
      <c r="C4011" t="s">
        <v>7446</v>
      </c>
      <c r="D4011">
        <v>174.236153</v>
      </c>
    </row>
    <row r="4012" spans="1:4">
      <c r="A4012" t="s">
        <v>5629</v>
      </c>
      <c r="B4012" t="s">
        <v>371</v>
      </c>
      <c r="C4012" t="s">
        <v>7447</v>
      </c>
      <c r="D4012">
        <v>423.092047</v>
      </c>
    </row>
    <row r="4013" spans="1:4">
      <c r="A4013" t="s">
        <v>5630</v>
      </c>
      <c r="B4013" t="s">
        <v>371</v>
      </c>
      <c r="C4013" t="s">
        <v>7448</v>
      </c>
      <c r="D4013">
        <v>0.54238</v>
      </c>
    </row>
    <row r="4014" spans="1:4">
      <c r="A4014" t="s">
        <v>5631</v>
      </c>
      <c r="B4014" t="s">
        <v>371</v>
      </c>
      <c r="C4014" t="s">
        <v>7449</v>
      </c>
      <c r="D4014">
        <v>2.981411</v>
      </c>
    </row>
    <row r="4015" spans="1:4">
      <c r="A4015" t="s">
        <v>5632</v>
      </c>
      <c r="B4015" t="s">
        <v>371</v>
      </c>
      <c r="C4015" t="s">
        <v>7450</v>
      </c>
      <c r="D4015">
        <v>1.30853</v>
      </c>
    </row>
    <row r="4016" spans="1:4">
      <c r="A4016" t="s">
        <v>5633</v>
      </c>
      <c r="B4016" t="s">
        <v>371</v>
      </c>
      <c r="C4016" t="s">
        <v>7318</v>
      </c>
      <c r="D4016">
        <v>19.027018</v>
      </c>
    </row>
    <row r="4017" spans="1:4">
      <c r="A4017" t="s">
        <v>5634</v>
      </c>
      <c r="B4017" t="s">
        <v>371</v>
      </c>
      <c r="C4017" t="s">
        <v>7451</v>
      </c>
      <c r="D4017">
        <v>17.29618</v>
      </c>
    </row>
    <row r="4018" spans="1:4">
      <c r="A4018" t="s">
        <v>5635</v>
      </c>
      <c r="B4018" t="s">
        <v>371</v>
      </c>
      <c r="C4018" t="s">
        <v>7452</v>
      </c>
      <c r="D4018">
        <v>11.66729</v>
      </c>
    </row>
    <row r="4019" spans="1:4">
      <c r="A4019" t="s">
        <v>5636</v>
      </c>
      <c r="B4019" t="s">
        <v>371</v>
      </c>
      <c r="C4019" t="s">
        <v>7453</v>
      </c>
      <c r="D4019">
        <v>11.66729</v>
      </c>
    </row>
    <row r="4020" spans="1:4">
      <c r="A4020" t="s">
        <v>5637</v>
      </c>
      <c r="B4020" t="s">
        <v>372</v>
      </c>
      <c r="C4020" t="s">
        <v>397</v>
      </c>
      <c r="D4020">
        <v>355.694348</v>
      </c>
    </row>
    <row r="4021" spans="1:4">
      <c r="A4021" t="s">
        <v>5638</v>
      </c>
      <c r="B4021" t="s">
        <v>372</v>
      </c>
      <c r="C4021" t="s">
        <v>7319</v>
      </c>
      <c r="D4021">
        <v>85.06943099999999</v>
      </c>
    </row>
    <row r="4022" spans="1:4">
      <c r="A4022" t="s">
        <v>5639</v>
      </c>
      <c r="B4022" t="s">
        <v>372</v>
      </c>
      <c r="C4022" t="s">
        <v>7320</v>
      </c>
      <c r="D4022">
        <v>4.858467</v>
      </c>
    </row>
    <row r="4023" spans="1:4">
      <c r="A4023" t="s">
        <v>5640</v>
      </c>
      <c r="B4023" t="s">
        <v>372</v>
      </c>
      <c r="C4023" t="s">
        <v>7321</v>
      </c>
      <c r="D4023">
        <v>3.783799</v>
      </c>
    </row>
    <row r="4024" spans="1:4">
      <c r="A4024" t="s">
        <v>5641</v>
      </c>
      <c r="B4024" t="s">
        <v>372</v>
      </c>
      <c r="C4024" t="s">
        <v>7322</v>
      </c>
      <c r="D4024">
        <v>0.848177</v>
      </c>
    </row>
    <row r="4025" spans="1:4">
      <c r="A4025" t="s">
        <v>5642</v>
      </c>
      <c r="B4025" t="s">
        <v>372</v>
      </c>
      <c r="C4025" t="s">
        <v>7323</v>
      </c>
      <c r="D4025">
        <v>174.534937</v>
      </c>
    </row>
    <row r="4026" spans="1:4">
      <c r="A4026" t="s">
        <v>5643</v>
      </c>
      <c r="B4026" t="s">
        <v>372</v>
      </c>
      <c r="C4026" t="s">
        <v>7324</v>
      </c>
      <c r="D4026">
        <v>0.330175</v>
      </c>
    </row>
    <row r="4027" spans="1:4">
      <c r="A4027" t="s">
        <v>5644</v>
      </c>
      <c r="B4027" t="s">
        <v>372</v>
      </c>
      <c r="C4027" t="s">
        <v>7325</v>
      </c>
      <c r="D4027">
        <v>0.209991</v>
      </c>
    </row>
    <row r="4028" spans="1:4">
      <c r="A4028" t="s">
        <v>5645</v>
      </c>
      <c r="B4028" t="s">
        <v>372</v>
      </c>
      <c r="C4028" t="s">
        <v>7292</v>
      </c>
      <c r="D4028">
        <v>215.333638</v>
      </c>
    </row>
    <row r="4029" spans="1:4">
      <c r="A4029" t="s">
        <v>5646</v>
      </c>
      <c r="B4029" t="s">
        <v>372</v>
      </c>
      <c r="C4029" t="s">
        <v>7326</v>
      </c>
      <c r="D4029">
        <v>174.534937</v>
      </c>
    </row>
    <row r="4030" spans="1:4">
      <c r="A4030" t="s">
        <v>5647</v>
      </c>
      <c r="B4030" t="s">
        <v>372</v>
      </c>
      <c r="C4030" t="s">
        <v>7327</v>
      </c>
      <c r="D4030">
        <v>183.698618</v>
      </c>
    </row>
    <row r="4031" spans="1:4">
      <c r="A4031" t="s">
        <v>5648</v>
      </c>
      <c r="B4031" t="s">
        <v>372</v>
      </c>
      <c r="C4031" t="s">
        <v>7328</v>
      </c>
      <c r="D4031">
        <v>181.863632</v>
      </c>
    </row>
    <row r="4032" spans="1:4">
      <c r="A4032" t="s">
        <v>5649</v>
      </c>
      <c r="B4032" t="s">
        <v>372</v>
      </c>
      <c r="C4032" t="s">
        <v>7329</v>
      </c>
      <c r="D4032">
        <v>156.208748</v>
      </c>
    </row>
    <row r="4033" spans="1:4">
      <c r="A4033" t="s">
        <v>5650</v>
      </c>
      <c r="B4033" t="s">
        <v>372</v>
      </c>
      <c r="C4033" t="s">
        <v>7330</v>
      </c>
      <c r="D4033">
        <v>2.536857</v>
      </c>
    </row>
    <row r="4034" spans="1:4">
      <c r="A4034" t="s">
        <v>5651</v>
      </c>
      <c r="B4034" t="s">
        <v>372</v>
      </c>
      <c r="C4034" t="s">
        <v>398</v>
      </c>
      <c r="D4034">
        <v>181.863632</v>
      </c>
    </row>
    <row r="4035" spans="1:4">
      <c r="A4035" t="s">
        <v>5652</v>
      </c>
      <c r="B4035" t="s">
        <v>372</v>
      </c>
      <c r="C4035" t="s">
        <v>7331</v>
      </c>
      <c r="D4035">
        <v>830.898487</v>
      </c>
    </row>
    <row r="4036" spans="1:4">
      <c r="A4036" t="s">
        <v>5653</v>
      </c>
      <c r="B4036" t="s">
        <v>372</v>
      </c>
      <c r="C4036" t="s">
        <v>7332</v>
      </c>
      <c r="D4036">
        <v>0.1043</v>
      </c>
    </row>
    <row r="4037" spans="1:4">
      <c r="A4037" t="s">
        <v>5654</v>
      </c>
      <c r="B4037" t="s">
        <v>372</v>
      </c>
      <c r="C4037" t="s">
        <v>7333</v>
      </c>
      <c r="D4037">
        <v>312.417358</v>
      </c>
    </row>
    <row r="4038" spans="1:4">
      <c r="A4038" t="s">
        <v>5655</v>
      </c>
      <c r="B4038" t="s">
        <v>372</v>
      </c>
      <c r="C4038" t="s">
        <v>7334</v>
      </c>
      <c r="D4038">
        <v>241.045919</v>
      </c>
    </row>
    <row r="4039" spans="1:4">
      <c r="A4039" t="s">
        <v>5656</v>
      </c>
      <c r="B4039" t="s">
        <v>372</v>
      </c>
      <c r="C4039" t="s">
        <v>7335</v>
      </c>
      <c r="D4039">
        <v>45.108303</v>
      </c>
    </row>
    <row r="4040" spans="1:4">
      <c r="A4040" t="s">
        <v>5657</v>
      </c>
      <c r="B4040" t="s">
        <v>372</v>
      </c>
      <c r="C4040" t="s">
        <v>7293</v>
      </c>
      <c r="D4040">
        <v>60.20053</v>
      </c>
    </row>
    <row r="4041" spans="1:4">
      <c r="A4041" t="s">
        <v>5658</v>
      </c>
      <c r="B4041" t="s">
        <v>372</v>
      </c>
      <c r="C4041" t="s">
        <v>7336</v>
      </c>
      <c r="D4041">
        <v>312.417358</v>
      </c>
    </row>
    <row r="4042" spans="1:4">
      <c r="A4042" t="s">
        <v>5659</v>
      </c>
      <c r="B4042" t="s">
        <v>372</v>
      </c>
      <c r="C4042" t="s">
        <v>7337</v>
      </c>
      <c r="D4042">
        <v>3.282278</v>
      </c>
    </row>
    <row r="4043" spans="1:4">
      <c r="A4043" t="s">
        <v>5660</v>
      </c>
      <c r="B4043" t="s">
        <v>372</v>
      </c>
      <c r="C4043" t="s">
        <v>7338</v>
      </c>
      <c r="D4043">
        <v>22.119807</v>
      </c>
    </row>
    <row r="4044" spans="1:4">
      <c r="A4044" t="s">
        <v>5661</v>
      </c>
      <c r="B4044" t="s">
        <v>372</v>
      </c>
      <c r="C4044" t="s">
        <v>7339</v>
      </c>
      <c r="D4044">
        <v>107.380042</v>
      </c>
    </row>
    <row r="4045" spans="1:4">
      <c r="A4045" t="s">
        <v>5662</v>
      </c>
      <c r="B4045" t="s">
        <v>372</v>
      </c>
      <c r="C4045" t="s">
        <v>7340</v>
      </c>
      <c r="D4045">
        <v>156.208748</v>
      </c>
    </row>
    <row r="4046" spans="1:4">
      <c r="A4046" t="s">
        <v>5663</v>
      </c>
      <c r="B4046" t="s">
        <v>372</v>
      </c>
      <c r="C4046" t="s">
        <v>7294</v>
      </c>
      <c r="D4046">
        <v>219.778085</v>
      </c>
    </row>
    <row r="4047" spans="1:4">
      <c r="A4047" t="s">
        <v>5664</v>
      </c>
      <c r="B4047" t="s">
        <v>372</v>
      </c>
      <c r="C4047" t="s">
        <v>7341</v>
      </c>
      <c r="D4047">
        <v>0.134717</v>
      </c>
    </row>
    <row r="4048" spans="1:4">
      <c r="A4048" t="s">
        <v>5665</v>
      </c>
      <c r="B4048" t="s">
        <v>372</v>
      </c>
      <c r="C4048" t="s">
        <v>7295</v>
      </c>
      <c r="D4048">
        <v>385.956419</v>
      </c>
    </row>
    <row r="4049" spans="1:4">
      <c r="A4049" t="s">
        <v>5666</v>
      </c>
      <c r="B4049" t="s">
        <v>372</v>
      </c>
      <c r="C4049" t="s">
        <v>7342</v>
      </c>
      <c r="D4049">
        <v>13379.512808</v>
      </c>
    </row>
    <row r="4050" spans="1:4">
      <c r="A4050" t="s">
        <v>5667</v>
      </c>
      <c r="B4050" t="s">
        <v>372</v>
      </c>
      <c r="C4050" t="s">
        <v>7343</v>
      </c>
      <c r="D4050">
        <v>0.33849</v>
      </c>
    </row>
    <row r="4051" spans="1:4">
      <c r="A4051" t="s">
        <v>5668</v>
      </c>
      <c r="B4051" t="s">
        <v>372</v>
      </c>
      <c r="C4051" t="s">
        <v>7344</v>
      </c>
      <c r="D4051">
        <v>45.978313</v>
      </c>
    </row>
    <row r="4052" spans="1:4">
      <c r="A4052" t="s">
        <v>5669</v>
      </c>
      <c r="B4052" t="s">
        <v>372</v>
      </c>
      <c r="C4052" t="s">
        <v>7296</v>
      </c>
      <c r="D4052">
        <v>45.939216</v>
      </c>
    </row>
    <row r="4053" spans="1:4">
      <c r="A4053" t="s">
        <v>5670</v>
      </c>
      <c r="B4053" t="s">
        <v>372</v>
      </c>
      <c r="C4053" t="s">
        <v>7345</v>
      </c>
      <c r="D4053">
        <v>0.091715</v>
      </c>
    </row>
    <row r="4054" spans="1:4">
      <c r="A4054" t="s">
        <v>5671</v>
      </c>
      <c r="B4054" t="s">
        <v>372</v>
      </c>
      <c r="C4054" t="s">
        <v>7346</v>
      </c>
      <c r="D4054">
        <v>0.685878</v>
      </c>
    </row>
    <row r="4055" spans="1:4">
      <c r="A4055" t="s">
        <v>5672</v>
      </c>
      <c r="B4055" t="s">
        <v>372</v>
      </c>
      <c r="C4055" t="s">
        <v>7347</v>
      </c>
      <c r="D4055">
        <v>13.017395</v>
      </c>
    </row>
    <row r="4056" spans="1:4">
      <c r="A4056" t="s">
        <v>5673</v>
      </c>
      <c r="B4056" t="s">
        <v>372</v>
      </c>
      <c r="C4056" t="s">
        <v>7348</v>
      </c>
      <c r="D4056">
        <v>3.225814</v>
      </c>
    </row>
    <row r="4057" spans="1:4">
      <c r="A4057" t="s">
        <v>5674</v>
      </c>
      <c r="B4057" t="s">
        <v>372</v>
      </c>
      <c r="C4057" t="s">
        <v>7297</v>
      </c>
      <c r="D4057">
        <v>14.672897</v>
      </c>
    </row>
    <row r="4058" spans="1:4">
      <c r="A4058" t="s">
        <v>5675</v>
      </c>
      <c r="B4058" t="s">
        <v>372</v>
      </c>
      <c r="C4058" t="s">
        <v>7349</v>
      </c>
      <c r="D4058">
        <v>1.75791</v>
      </c>
    </row>
    <row r="4059" spans="1:4">
      <c r="A4059" t="s">
        <v>5676</v>
      </c>
      <c r="B4059" t="s">
        <v>372</v>
      </c>
      <c r="C4059" t="s">
        <v>7298</v>
      </c>
      <c r="D4059">
        <v>47.657522</v>
      </c>
    </row>
    <row r="4060" spans="1:4">
      <c r="A4060" t="s">
        <v>5677</v>
      </c>
      <c r="B4060" t="s">
        <v>372</v>
      </c>
      <c r="C4060" t="s">
        <v>7350</v>
      </c>
      <c r="D4060">
        <v>5.250462</v>
      </c>
    </row>
    <row r="4061" spans="1:4">
      <c r="A4061" t="s">
        <v>5678</v>
      </c>
      <c r="B4061" t="s">
        <v>372</v>
      </c>
      <c r="C4061" t="s">
        <v>7351</v>
      </c>
      <c r="D4061">
        <v>2.343775</v>
      </c>
    </row>
    <row r="4062" spans="1:4">
      <c r="A4062" t="s">
        <v>5679</v>
      </c>
      <c r="B4062" t="s">
        <v>372</v>
      </c>
      <c r="C4062" t="s">
        <v>7352</v>
      </c>
      <c r="D4062">
        <v>6.363436</v>
      </c>
    </row>
    <row r="4063" spans="1:4">
      <c r="A4063" t="s">
        <v>5680</v>
      </c>
      <c r="B4063" t="s">
        <v>372</v>
      </c>
      <c r="C4063" t="s">
        <v>7353</v>
      </c>
      <c r="D4063">
        <v>20.827831</v>
      </c>
    </row>
    <row r="4064" spans="1:4">
      <c r="A4064" t="s">
        <v>5681</v>
      </c>
      <c r="B4064" t="s">
        <v>372</v>
      </c>
      <c r="C4064" t="s">
        <v>7354</v>
      </c>
      <c r="D4064">
        <v>1.916752</v>
      </c>
    </row>
    <row r="4065" spans="1:4">
      <c r="A4065" t="s">
        <v>5682</v>
      </c>
      <c r="B4065" t="s">
        <v>372</v>
      </c>
      <c r="C4065" t="s">
        <v>7355</v>
      </c>
      <c r="D4065">
        <v>139.353981</v>
      </c>
    </row>
    <row r="4066" spans="1:4">
      <c r="A4066" t="s">
        <v>5683</v>
      </c>
      <c r="B4066" t="s">
        <v>372</v>
      </c>
      <c r="C4066" t="s">
        <v>7356</v>
      </c>
      <c r="D4066">
        <v>414.501306</v>
      </c>
    </row>
    <row r="4067" spans="1:4">
      <c r="A4067" t="s">
        <v>5684</v>
      </c>
      <c r="B4067" t="s">
        <v>372</v>
      </c>
      <c r="C4067" t="s">
        <v>7357</v>
      </c>
      <c r="D4067">
        <v>47.657535</v>
      </c>
    </row>
    <row r="4068" spans="1:4">
      <c r="A4068" t="s">
        <v>5685</v>
      </c>
      <c r="B4068" t="s">
        <v>372</v>
      </c>
      <c r="C4068" t="s">
        <v>7299</v>
      </c>
      <c r="D4068">
        <v>414.499857</v>
      </c>
    </row>
    <row r="4069" spans="1:4">
      <c r="A4069" t="s">
        <v>5686</v>
      </c>
      <c r="B4069" t="s">
        <v>372</v>
      </c>
      <c r="C4069" t="s">
        <v>7358</v>
      </c>
      <c r="D4069">
        <v>118.140775</v>
      </c>
    </row>
    <row r="4070" spans="1:4">
      <c r="A4070" t="s">
        <v>5687</v>
      </c>
      <c r="B4070" t="s">
        <v>372</v>
      </c>
      <c r="C4070" t="s">
        <v>7359</v>
      </c>
      <c r="D4070">
        <v>414.501306</v>
      </c>
    </row>
    <row r="4071" spans="1:4">
      <c r="A4071" t="s">
        <v>5688</v>
      </c>
      <c r="B4071" t="s">
        <v>372</v>
      </c>
      <c r="C4071" t="s">
        <v>7360</v>
      </c>
      <c r="D4071">
        <v>27.476637</v>
      </c>
    </row>
    <row r="4072" spans="1:4">
      <c r="A4072" t="s">
        <v>5689</v>
      </c>
      <c r="B4072" t="s">
        <v>372</v>
      </c>
      <c r="C4072" t="s">
        <v>7361</v>
      </c>
      <c r="D4072">
        <v>414.501306</v>
      </c>
    </row>
    <row r="4073" spans="1:4">
      <c r="A4073" t="s">
        <v>5690</v>
      </c>
      <c r="B4073" t="s">
        <v>372</v>
      </c>
      <c r="C4073" t="s">
        <v>7362</v>
      </c>
      <c r="D4073">
        <v>4.199714</v>
      </c>
    </row>
    <row r="4074" spans="1:4">
      <c r="A4074" t="s">
        <v>5691</v>
      </c>
      <c r="B4074" t="s">
        <v>372</v>
      </c>
      <c r="C4074" t="s">
        <v>7363</v>
      </c>
      <c r="D4074">
        <v>0.035531</v>
      </c>
    </row>
    <row r="4075" spans="1:4">
      <c r="A4075" t="s">
        <v>5692</v>
      </c>
      <c r="B4075" t="s">
        <v>372</v>
      </c>
      <c r="C4075" t="s">
        <v>7364</v>
      </c>
      <c r="D4075">
        <v>40.960146</v>
      </c>
    </row>
    <row r="4076" spans="1:4">
      <c r="A4076" t="s">
        <v>5693</v>
      </c>
      <c r="B4076" t="s">
        <v>372</v>
      </c>
      <c r="C4076" t="s">
        <v>7365</v>
      </c>
      <c r="D4076">
        <v>1.491007</v>
      </c>
    </row>
    <row r="4077" spans="1:4">
      <c r="A4077" t="s">
        <v>5694</v>
      </c>
      <c r="B4077" t="s">
        <v>372</v>
      </c>
      <c r="C4077" t="s">
        <v>7300</v>
      </c>
      <c r="D4077">
        <v>39.837354</v>
      </c>
    </row>
    <row r="4078" spans="1:4">
      <c r="A4078" t="s">
        <v>5695</v>
      </c>
      <c r="B4078" t="s">
        <v>372</v>
      </c>
      <c r="C4078" t="s">
        <v>7366</v>
      </c>
      <c r="D4078">
        <v>11.675603</v>
      </c>
    </row>
    <row r="4079" spans="1:4">
      <c r="A4079" t="s">
        <v>5696</v>
      </c>
      <c r="B4079" t="s">
        <v>372</v>
      </c>
      <c r="C4079" t="s">
        <v>7367</v>
      </c>
      <c r="D4079">
        <v>47.208753</v>
      </c>
    </row>
    <row r="4080" spans="1:4">
      <c r="A4080" t="s">
        <v>5697</v>
      </c>
      <c r="B4080" t="s">
        <v>372</v>
      </c>
      <c r="C4080" t="s">
        <v>7368</v>
      </c>
      <c r="D4080">
        <v>2.385409</v>
      </c>
    </row>
    <row r="4081" spans="1:4">
      <c r="A4081" t="s">
        <v>5698</v>
      </c>
      <c r="B4081" t="s">
        <v>372</v>
      </c>
      <c r="C4081" t="s">
        <v>7301</v>
      </c>
      <c r="D4081">
        <v>0.017408</v>
      </c>
    </row>
    <row r="4082" spans="1:4">
      <c r="A4082" t="s">
        <v>5699</v>
      </c>
      <c r="B4082" t="s">
        <v>372</v>
      </c>
      <c r="C4082" t="s">
        <v>7302</v>
      </c>
      <c r="D4082">
        <v>104.772589</v>
      </c>
    </row>
    <row r="4083" spans="1:4">
      <c r="A4083" t="s">
        <v>5700</v>
      </c>
      <c r="B4083" t="s">
        <v>372</v>
      </c>
      <c r="C4083" t="s">
        <v>7369</v>
      </c>
      <c r="D4083">
        <v>414.501306</v>
      </c>
    </row>
    <row r="4084" spans="1:4">
      <c r="A4084" t="s">
        <v>5701</v>
      </c>
      <c r="B4084" t="s">
        <v>372</v>
      </c>
      <c r="C4084" t="s">
        <v>7303</v>
      </c>
      <c r="D4084">
        <v>3.283205</v>
      </c>
    </row>
    <row r="4085" spans="1:4">
      <c r="A4085" t="s">
        <v>5702</v>
      </c>
      <c r="B4085" t="s">
        <v>372</v>
      </c>
      <c r="C4085" t="s">
        <v>7370</v>
      </c>
      <c r="D4085">
        <v>0.238034</v>
      </c>
    </row>
    <row r="4086" spans="1:4">
      <c r="A4086" t="s">
        <v>5703</v>
      </c>
      <c r="B4086" t="s">
        <v>372</v>
      </c>
      <c r="C4086" t="s">
        <v>7371</v>
      </c>
      <c r="D4086">
        <v>0.000227</v>
      </c>
    </row>
    <row r="4087" spans="1:4">
      <c r="A4087" t="s">
        <v>5704</v>
      </c>
      <c r="B4087" t="s">
        <v>372</v>
      </c>
      <c r="C4087" t="s">
        <v>7304</v>
      </c>
      <c r="D4087">
        <v>2.473553</v>
      </c>
    </row>
    <row r="4088" spans="1:4">
      <c r="A4088" t="s">
        <v>5705</v>
      </c>
      <c r="B4088" t="s">
        <v>372</v>
      </c>
      <c r="C4088" t="s">
        <v>7372</v>
      </c>
      <c r="D4088">
        <v>414.501306</v>
      </c>
    </row>
    <row r="4089" spans="1:4">
      <c r="A4089" t="s">
        <v>5706</v>
      </c>
      <c r="B4089" t="s">
        <v>372</v>
      </c>
      <c r="C4089" t="s">
        <v>7373</v>
      </c>
      <c r="D4089">
        <v>1.97929</v>
      </c>
    </row>
    <row r="4090" spans="1:4">
      <c r="A4090" t="s">
        <v>5707</v>
      </c>
      <c r="B4090" t="s">
        <v>372</v>
      </c>
      <c r="C4090" t="s">
        <v>7374</v>
      </c>
      <c r="D4090">
        <v>440.64497</v>
      </c>
    </row>
    <row r="4091" spans="1:4">
      <c r="A4091" t="s">
        <v>5708</v>
      </c>
      <c r="B4091" t="s">
        <v>372</v>
      </c>
      <c r="C4091" t="s">
        <v>7305</v>
      </c>
      <c r="D4091">
        <v>1.921725</v>
      </c>
    </row>
    <row r="4092" spans="1:4">
      <c r="A4092" t="s">
        <v>5709</v>
      </c>
      <c r="B4092" t="s">
        <v>372</v>
      </c>
      <c r="C4092" t="s">
        <v>7375</v>
      </c>
      <c r="D4092">
        <v>2.414025</v>
      </c>
    </row>
    <row r="4093" spans="1:4">
      <c r="A4093" t="s">
        <v>5710</v>
      </c>
      <c r="B4093" t="s">
        <v>372</v>
      </c>
      <c r="C4093" t="s">
        <v>7376</v>
      </c>
      <c r="D4093">
        <v>3.567658</v>
      </c>
    </row>
    <row r="4094" spans="1:4">
      <c r="A4094" t="s">
        <v>5711</v>
      </c>
      <c r="B4094" t="s">
        <v>372</v>
      </c>
      <c r="C4094" t="s">
        <v>7377</v>
      </c>
      <c r="D4094">
        <v>0.07698099999999999</v>
      </c>
    </row>
    <row r="4095" spans="1:4">
      <c r="A4095" t="s">
        <v>5712</v>
      </c>
      <c r="B4095" t="s">
        <v>372</v>
      </c>
      <c r="C4095" t="s">
        <v>7378</v>
      </c>
      <c r="D4095">
        <v>215.333899</v>
      </c>
    </row>
    <row r="4096" spans="1:4">
      <c r="A4096" t="s">
        <v>5713</v>
      </c>
      <c r="B4096" t="s">
        <v>372</v>
      </c>
      <c r="C4096" t="s">
        <v>7379</v>
      </c>
      <c r="D4096">
        <v>0.723003</v>
      </c>
    </row>
    <row r="4097" spans="1:4">
      <c r="A4097" t="s">
        <v>5714</v>
      </c>
      <c r="B4097" t="s">
        <v>372</v>
      </c>
      <c r="C4097" t="s">
        <v>7306</v>
      </c>
      <c r="D4097">
        <v>0.200829</v>
      </c>
    </row>
    <row r="4098" spans="1:4">
      <c r="A4098" t="s">
        <v>5715</v>
      </c>
      <c r="B4098" t="s">
        <v>372</v>
      </c>
      <c r="C4098" t="s">
        <v>7380</v>
      </c>
      <c r="D4098">
        <v>1009.81827</v>
      </c>
    </row>
    <row r="4099" spans="1:4">
      <c r="A4099" t="s">
        <v>5716</v>
      </c>
      <c r="B4099" t="s">
        <v>372</v>
      </c>
      <c r="C4099" t="s">
        <v>7381</v>
      </c>
      <c r="D4099">
        <v>374.901291</v>
      </c>
    </row>
    <row r="4100" spans="1:4">
      <c r="A4100" t="s">
        <v>5717</v>
      </c>
      <c r="B4100" t="s">
        <v>372</v>
      </c>
      <c r="C4100" t="s">
        <v>7382</v>
      </c>
      <c r="D4100">
        <v>0.651822</v>
      </c>
    </row>
    <row r="4101" spans="1:4">
      <c r="A4101" t="s">
        <v>5718</v>
      </c>
      <c r="B4101" t="s">
        <v>372</v>
      </c>
      <c r="C4101" t="s">
        <v>7383</v>
      </c>
      <c r="D4101">
        <v>0.014039</v>
      </c>
    </row>
    <row r="4102" spans="1:4">
      <c r="A4102" t="s">
        <v>5719</v>
      </c>
      <c r="B4102" t="s">
        <v>372</v>
      </c>
      <c r="C4102" t="s">
        <v>7384</v>
      </c>
      <c r="D4102">
        <v>0.003491</v>
      </c>
    </row>
    <row r="4103" spans="1:4">
      <c r="A4103" t="s">
        <v>5720</v>
      </c>
      <c r="B4103" t="s">
        <v>372</v>
      </c>
      <c r="C4103" t="s">
        <v>7385</v>
      </c>
      <c r="D4103">
        <v>0.929379</v>
      </c>
    </row>
    <row r="4104" spans="1:4">
      <c r="A4104" t="s">
        <v>5721</v>
      </c>
      <c r="B4104" t="s">
        <v>372</v>
      </c>
      <c r="C4104" t="s">
        <v>7386</v>
      </c>
      <c r="D4104">
        <v>1.721787</v>
      </c>
    </row>
    <row r="4105" spans="1:4">
      <c r="A4105" t="s">
        <v>5722</v>
      </c>
      <c r="B4105" t="s">
        <v>372</v>
      </c>
      <c r="C4105" t="s">
        <v>7387</v>
      </c>
      <c r="D4105">
        <v>19.044962</v>
      </c>
    </row>
    <row r="4106" spans="1:4">
      <c r="A4106" t="s">
        <v>5723</v>
      </c>
      <c r="B4106" t="s">
        <v>372</v>
      </c>
      <c r="C4106" t="s">
        <v>7388</v>
      </c>
      <c r="D4106">
        <v>48.649174</v>
      </c>
    </row>
    <row r="4107" spans="1:4">
      <c r="A4107" t="s">
        <v>5724</v>
      </c>
      <c r="B4107" t="s">
        <v>372</v>
      </c>
      <c r="C4107" t="s">
        <v>7389</v>
      </c>
      <c r="D4107">
        <v>33.216032</v>
      </c>
    </row>
    <row r="4108" spans="1:4">
      <c r="A4108" t="s">
        <v>5725</v>
      </c>
      <c r="B4108" t="s">
        <v>372</v>
      </c>
      <c r="C4108" t="s">
        <v>7390</v>
      </c>
      <c r="D4108">
        <v>17.713618</v>
      </c>
    </row>
    <row r="4109" spans="1:4">
      <c r="A4109" t="s">
        <v>5726</v>
      </c>
      <c r="B4109" t="s">
        <v>372</v>
      </c>
      <c r="C4109" t="s">
        <v>7391</v>
      </c>
      <c r="D4109">
        <v>0.073723</v>
      </c>
    </row>
    <row r="4110" spans="1:4">
      <c r="A4110" t="s">
        <v>5727</v>
      </c>
      <c r="B4110" t="s">
        <v>372</v>
      </c>
      <c r="C4110" t="s">
        <v>7392</v>
      </c>
      <c r="D4110">
        <v>5.765676</v>
      </c>
    </row>
    <row r="4111" spans="1:4">
      <c r="A4111" t="s">
        <v>5728</v>
      </c>
      <c r="B4111" t="s">
        <v>372</v>
      </c>
      <c r="C4111" t="s">
        <v>7393</v>
      </c>
      <c r="D4111">
        <v>0.148917</v>
      </c>
    </row>
    <row r="4112" spans="1:4">
      <c r="A4112" t="s">
        <v>5729</v>
      </c>
      <c r="B4112" t="s">
        <v>372</v>
      </c>
      <c r="C4112" t="s">
        <v>7394</v>
      </c>
      <c r="D4112">
        <v>0.086643</v>
      </c>
    </row>
    <row r="4113" spans="1:4">
      <c r="A4113" t="s">
        <v>5730</v>
      </c>
      <c r="B4113" t="s">
        <v>372</v>
      </c>
      <c r="C4113" t="s">
        <v>7395</v>
      </c>
      <c r="D4113">
        <v>38.676929</v>
      </c>
    </row>
    <row r="4114" spans="1:4">
      <c r="A4114" t="s">
        <v>5731</v>
      </c>
      <c r="B4114" t="s">
        <v>372</v>
      </c>
      <c r="C4114" t="s">
        <v>7396</v>
      </c>
      <c r="D4114">
        <v>7.81462</v>
      </c>
    </row>
    <row r="4115" spans="1:4">
      <c r="A4115" t="s">
        <v>5732</v>
      </c>
      <c r="B4115" t="s">
        <v>372</v>
      </c>
      <c r="C4115" t="s">
        <v>7397</v>
      </c>
      <c r="D4115">
        <v>6.625279</v>
      </c>
    </row>
    <row r="4116" spans="1:4">
      <c r="A4116" t="s">
        <v>5733</v>
      </c>
      <c r="B4116" t="s">
        <v>372</v>
      </c>
      <c r="C4116" t="s">
        <v>7398</v>
      </c>
      <c r="D4116">
        <v>20.205625</v>
      </c>
    </row>
    <row r="4117" spans="1:4">
      <c r="A4117" t="s">
        <v>5734</v>
      </c>
      <c r="B4117" t="s">
        <v>372</v>
      </c>
      <c r="C4117" t="s">
        <v>7399</v>
      </c>
      <c r="D4117">
        <v>0.179107</v>
      </c>
    </row>
    <row r="4118" spans="1:4">
      <c r="A4118" t="s">
        <v>5735</v>
      </c>
      <c r="B4118" t="s">
        <v>372</v>
      </c>
      <c r="C4118" t="s">
        <v>7307</v>
      </c>
      <c r="D4118">
        <v>17.810737</v>
      </c>
    </row>
    <row r="4119" spans="1:4">
      <c r="A4119" t="s">
        <v>5736</v>
      </c>
      <c r="B4119" t="s">
        <v>372</v>
      </c>
      <c r="C4119" t="s">
        <v>7308</v>
      </c>
      <c r="D4119">
        <v>76.303535</v>
      </c>
    </row>
    <row r="4120" spans="1:4">
      <c r="A4120" t="s">
        <v>5737</v>
      </c>
      <c r="B4120" t="s">
        <v>372</v>
      </c>
      <c r="C4120" t="s">
        <v>7400</v>
      </c>
      <c r="D4120">
        <v>4.890163</v>
      </c>
    </row>
    <row r="4121" spans="1:4">
      <c r="A4121" t="s">
        <v>5738</v>
      </c>
      <c r="B4121" t="s">
        <v>372</v>
      </c>
      <c r="C4121" t="s">
        <v>7401</v>
      </c>
      <c r="D4121">
        <v>19.044962</v>
      </c>
    </row>
    <row r="4122" spans="1:4">
      <c r="A4122" t="s">
        <v>5739</v>
      </c>
      <c r="B4122" t="s">
        <v>372</v>
      </c>
      <c r="C4122" t="s">
        <v>7402</v>
      </c>
      <c r="D4122">
        <v>0.227607</v>
      </c>
    </row>
    <row r="4123" spans="1:4">
      <c r="A4123" t="s">
        <v>5740</v>
      </c>
      <c r="B4123" t="s">
        <v>372</v>
      </c>
      <c r="C4123" t="s">
        <v>7403</v>
      </c>
      <c r="D4123">
        <v>8.488714</v>
      </c>
    </row>
    <row r="4124" spans="1:4">
      <c r="A4124" t="s">
        <v>5741</v>
      </c>
      <c r="B4124" t="s">
        <v>372</v>
      </c>
      <c r="C4124" t="s">
        <v>7309</v>
      </c>
      <c r="D4124">
        <v>31.488798</v>
      </c>
    </row>
    <row r="4125" spans="1:4">
      <c r="A4125" t="s">
        <v>5742</v>
      </c>
      <c r="B4125" t="s">
        <v>372</v>
      </c>
      <c r="C4125" t="s">
        <v>7404</v>
      </c>
      <c r="D4125">
        <v>2.051424</v>
      </c>
    </row>
    <row r="4126" spans="1:4">
      <c r="A4126" t="s">
        <v>5743</v>
      </c>
      <c r="B4126" t="s">
        <v>372</v>
      </c>
      <c r="C4126" t="s">
        <v>7310</v>
      </c>
      <c r="D4126">
        <v>177.348559</v>
      </c>
    </row>
    <row r="4127" spans="1:4">
      <c r="A4127" t="s">
        <v>5744</v>
      </c>
      <c r="B4127" t="s">
        <v>372</v>
      </c>
      <c r="C4127" t="s">
        <v>7405</v>
      </c>
      <c r="D4127">
        <v>812.534632</v>
      </c>
    </row>
    <row r="4128" spans="1:4">
      <c r="A4128" t="s">
        <v>5745</v>
      </c>
      <c r="B4128" t="s">
        <v>372</v>
      </c>
      <c r="C4128" t="s">
        <v>7406</v>
      </c>
      <c r="D4128">
        <v>312.417358</v>
      </c>
    </row>
    <row r="4129" spans="1:4">
      <c r="A4129" t="s">
        <v>5746</v>
      </c>
      <c r="B4129" t="s">
        <v>372</v>
      </c>
      <c r="C4129" t="s">
        <v>7407</v>
      </c>
      <c r="D4129">
        <v>91.42386999999999</v>
      </c>
    </row>
    <row r="4130" spans="1:4">
      <c r="A4130" t="s">
        <v>5747</v>
      </c>
      <c r="B4130" t="s">
        <v>372</v>
      </c>
      <c r="C4130" t="s">
        <v>7408</v>
      </c>
      <c r="D4130">
        <v>71.15584699999999</v>
      </c>
    </row>
    <row r="4131" spans="1:4">
      <c r="A4131" t="s">
        <v>5748</v>
      </c>
      <c r="B4131" t="s">
        <v>372</v>
      </c>
      <c r="C4131" t="s">
        <v>7311</v>
      </c>
      <c r="D4131">
        <v>5.070564</v>
      </c>
    </row>
    <row r="4132" spans="1:4">
      <c r="A4132" t="s">
        <v>5749</v>
      </c>
      <c r="B4132" t="s">
        <v>372</v>
      </c>
      <c r="C4132" t="s">
        <v>7409</v>
      </c>
      <c r="D4132">
        <v>1.123375</v>
      </c>
    </row>
    <row r="4133" spans="1:4">
      <c r="A4133" t="s">
        <v>5750</v>
      </c>
      <c r="B4133" t="s">
        <v>372</v>
      </c>
      <c r="C4133" t="s">
        <v>7312</v>
      </c>
      <c r="D4133">
        <v>82.840852</v>
      </c>
    </row>
    <row r="4134" spans="1:4">
      <c r="A4134" t="s">
        <v>5751</v>
      </c>
      <c r="B4134" t="s">
        <v>372</v>
      </c>
      <c r="C4134" t="s">
        <v>7410</v>
      </c>
      <c r="D4134">
        <v>0.051534</v>
      </c>
    </row>
    <row r="4135" spans="1:4">
      <c r="A4135" t="s">
        <v>5752</v>
      </c>
      <c r="B4135" t="s">
        <v>372</v>
      </c>
      <c r="C4135" t="s">
        <v>7411</v>
      </c>
      <c r="D4135">
        <v>85.82898</v>
      </c>
    </row>
    <row r="4136" spans="1:4">
      <c r="A4136" t="s">
        <v>5753</v>
      </c>
      <c r="B4136" t="s">
        <v>372</v>
      </c>
      <c r="C4136" t="s">
        <v>7313</v>
      </c>
      <c r="D4136">
        <v>67.908373</v>
      </c>
    </row>
    <row r="4137" spans="1:4">
      <c r="A4137" t="s">
        <v>5754</v>
      </c>
      <c r="B4137" t="s">
        <v>372</v>
      </c>
      <c r="C4137" t="s">
        <v>7412</v>
      </c>
      <c r="D4137">
        <v>3.031395</v>
      </c>
    </row>
    <row r="4138" spans="1:4">
      <c r="A4138" t="s">
        <v>5755</v>
      </c>
      <c r="B4138" t="s">
        <v>372</v>
      </c>
      <c r="C4138" t="s">
        <v>7413</v>
      </c>
      <c r="D4138">
        <v>4.011798</v>
      </c>
    </row>
    <row r="4139" spans="1:4">
      <c r="A4139" t="s">
        <v>5756</v>
      </c>
      <c r="B4139" t="s">
        <v>372</v>
      </c>
      <c r="C4139" t="s">
        <v>7414</v>
      </c>
      <c r="D4139">
        <v>0.212549</v>
      </c>
    </row>
    <row r="4140" spans="1:4">
      <c r="A4140" t="s">
        <v>5757</v>
      </c>
      <c r="B4140" t="s">
        <v>372</v>
      </c>
      <c r="C4140" t="s">
        <v>7415</v>
      </c>
      <c r="D4140">
        <v>83.31131999999999</v>
      </c>
    </row>
    <row r="4141" spans="1:4">
      <c r="A4141" t="s">
        <v>5758</v>
      </c>
      <c r="B4141" t="s">
        <v>372</v>
      </c>
      <c r="C4141" t="s">
        <v>7416</v>
      </c>
      <c r="D4141">
        <v>39.123534</v>
      </c>
    </row>
    <row r="4142" spans="1:4">
      <c r="A4142" t="s">
        <v>5759</v>
      </c>
      <c r="B4142" t="s">
        <v>372</v>
      </c>
      <c r="C4142" t="s">
        <v>7417</v>
      </c>
      <c r="D4142">
        <v>21.249677</v>
      </c>
    </row>
    <row r="4143" spans="1:4">
      <c r="A4143" t="s">
        <v>5760</v>
      </c>
      <c r="B4143" t="s">
        <v>372</v>
      </c>
      <c r="C4143" t="s">
        <v>7418</v>
      </c>
      <c r="D4143">
        <v>0.697897</v>
      </c>
    </row>
    <row r="4144" spans="1:4">
      <c r="A4144" t="s">
        <v>5761</v>
      </c>
      <c r="B4144" t="s">
        <v>372</v>
      </c>
      <c r="C4144" t="s">
        <v>7314</v>
      </c>
      <c r="D4144">
        <v>32.111107</v>
      </c>
    </row>
    <row r="4145" spans="1:4">
      <c r="A4145" t="s">
        <v>5762</v>
      </c>
      <c r="B4145" t="s">
        <v>372</v>
      </c>
      <c r="C4145" t="s">
        <v>7315</v>
      </c>
      <c r="D4145">
        <v>241.098693</v>
      </c>
    </row>
    <row r="4146" spans="1:4">
      <c r="A4146" t="s">
        <v>5763</v>
      </c>
      <c r="B4146" t="s">
        <v>372</v>
      </c>
      <c r="C4146" t="s">
        <v>7419</v>
      </c>
      <c r="D4146">
        <v>414.501306</v>
      </c>
    </row>
    <row r="4147" spans="1:4">
      <c r="A4147" t="s">
        <v>5764</v>
      </c>
      <c r="B4147" t="s">
        <v>372</v>
      </c>
      <c r="C4147" t="s">
        <v>7420</v>
      </c>
      <c r="D4147">
        <v>12.82761</v>
      </c>
    </row>
    <row r="4148" spans="1:4">
      <c r="A4148" t="s">
        <v>5765</v>
      </c>
      <c r="B4148" t="s">
        <v>372</v>
      </c>
      <c r="C4148" t="s">
        <v>7421</v>
      </c>
      <c r="D4148">
        <v>0.012827</v>
      </c>
    </row>
    <row r="4149" spans="1:4">
      <c r="A4149" t="s">
        <v>5766</v>
      </c>
      <c r="B4149" t="s">
        <v>372</v>
      </c>
      <c r="C4149" t="s">
        <v>7422</v>
      </c>
      <c r="D4149">
        <v>0.54596</v>
      </c>
    </row>
    <row r="4150" spans="1:4">
      <c r="A4150" t="s">
        <v>5767</v>
      </c>
      <c r="B4150" t="s">
        <v>372</v>
      </c>
      <c r="C4150" t="s">
        <v>7423</v>
      </c>
      <c r="D4150">
        <v>8.295752999999999</v>
      </c>
    </row>
    <row r="4151" spans="1:4">
      <c r="A4151" t="s">
        <v>5768</v>
      </c>
      <c r="B4151" t="s">
        <v>372</v>
      </c>
      <c r="C4151" t="s">
        <v>7424</v>
      </c>
      <c r="D4151">
        <v>0.066236</v>
      </c>
    </row>
    <row r="4152" spans="1:4">
      <c r="A4152" t="s">
        <v>5769</v>
      </c>
      <c r="B4152" t="s">
        <v>372</v>
      </c>
      <c r="C4152" t="s">
        <v>7425</v>
      </c>
      <c r="D4152">
        <v>14.518137</v>
      </c>
    </row>
    <row r="4153" spans="1:4">
      <c r="A4153" t="s">
        <v>5770</v>
      </c>
      <c r="B4153" t="s">
        <v>372</v>
      </c>
      <c r="C4153" t="s">
        <v>7426</v>
      </c>
      <c r="D4153">
        <v>2.781377</v>
      </c>
    </row>
    <row r="4154" spans="1:4">
      <c r="A4154" t="s">
        <v>5771</v>
      </c>
      <c r="B4154" t="s">
        <v>372</v>
      </c>
      <c r="C4154" t="s">
        <v>7427</v>
      </c>
      <c r="D4154">
        <v>19.044962</v>
      </c>
    </row>
    <row r="4155" spans="1:4">
      <c r="A4155" t="s">
        <v>5772</v>
      </c>
      <c r="B4155" t="s">
        <v>372</v>
      </c>
      <c r="C4155" t="s">
        <v>7316</v>
      </c>
      <c r="D4155">
        <v>9.371686</v>
      </c>
    </row>
    <row r="4156" spans="1:4">
      <c r="A4156" t="s">
        <v>5773</v>
      </c>
      <c r="B4156" t="s">
        <v>372</v>
      </c>
      <c r="C4156" t="s">
        <v>7428</v>
      </c>
      <c r="D4156">
        <v>33.717817</v>
      </c>
    </row>
    <row r="4157" spans="1:4">
      <c r="A4157" t="s">
        <v>5774</v>
      </c>
      <c r="B4157" t="s">
        <v>372</v>
      </c>
      <c r="C4157" t="s">
        <v>7429</v>
      </c>
      <c r="D4157">
        <v>89.192547</v>
      </c>
    </row>
    <row r="4158" spans="1:4">
      <c r="A4158" t="s">
        <v>5775</v>
      </c>
      <c r="B4158" t="s">
        <v>372</v>
      </c>
      <c r="C4158" t="s">
        <v>7430</v>
      </c>
      <c r="D4158">
        <v>105.855396</v>
      </c>
    </row>
    <row r="4159" spans="1:4">
      <c r="A4159" t="s">
        <v>5776</v>
      </c>
      <c r="B4159" t="s">
        <v>372</v>
      </c>
      <c r="C4159" t="s">
        <v>7431</v>
      </c>
      <c r="D4159">
        <v>130.838046</v>
      </c>
    </row>
    <row r="4160" spans="1:4">
      <c r="A4160" t="s">
        <v>5777</v>
      </c>
      <c r="B4160" t="s">
        <v>372</v>
      </c>
      <c r="C4160" t="s">
        <v>7317</v>
      </c>
      <c r="D4160">
        <v>6.690515</v>
      </c>
    </row>
    <row r="4161" spans="1:4">
      <c r="A4161" t="s">
        <v>5778</v>
      </c>
      <c r="B4161" t="s">
        <v>372</v>
      </c>
      <c r="C4161" t="s">
        <v>7432</v>
      </c>
      <c r="D4161">
        <v>41.281666</v>
      </c>
    </row>
    <row r="4162" spans="1:4">
      <c r="A4162" t="s">
        <v>5779</v>
      </c>
      <c r="B4162" t="s">
        <v>372</v>
      </c>
      <c r="C4162" t="s">
        <v>7433</v>
      </c>
      <c r="D4162">
        <v>215.333899</v>
      </c>
    </row>
    <row r="4163" spans="1:4">
      <c r="A4163" t="s">
        <v>5780</v>
      </c>
      <c r="B4163" t="s">
        <v>372</v>
      </c>
      <c r="C4163" t="s">
        <v>7434</v>
      </c>
      <c r="D4163">
        <v>9.798022</v>
      </c>
    </row>
    <row r="4164" spans="1:4">
      <c r="A4164" t="s">
        <v>5781</v>
      </c>
      <c r="B4164" t="s">
        <v>372</v>
      </c>
      <c r="C4164" t="s">
        <v>7435</v>
      </c>
      <c r="D4164">
        <v>0.119144</v>
      </c>
    </row>
    <row r="4165" spans="1:4">
      <c r="A4165" t="s">
        <v>5782</v>
      </c>
      <c r="B4165" t="s">
        <v>372</v>
      </c>
      <c r="C4165" t="s">
        <v>7436</v>
      </c>
      <c r="D4165">
        <v>6.974862</v>
      </c>
    </row>
    <row r="4166" spans="1:4">
      <c r="A4166" t="s">
        <v>5783</v>
      </c>
      <c r="B4166" t="s">
        <v>372</v>
      </c>
      <c r="C4166" t="s">
        <v>7437</v>
      </c>
      <c r="D4166">
        <v>0.085463</v>
      </c>
    </row>
    <row r="4167" spans="1:4">
      <c r="A4167" t="s">
        <v>5784</v>
      </c>
      <c r="B4167" t="s">
        <v>372</v>
      </c>
      <c r="C4167" t="s">
        <v>399</v>
      </c>
      <c r="D4167">
        <v>312.417084</v>
      </c>
    </row>
    <row r="4168" spans="1:4">
      <c r="A4168" t="s">
        <v>5785</v>
      </c>
      <c r="B4168" t="s">
        <v>372</v>
      </c>
      <c r="C4168" t="s">
        <v>7438</v>
      </c>
      <c r="D4168">
        <v>7.780968</v>
      </c>
    </row>
    <row r="4169" spans="1:4">
      <c r="A4169" t="s">
        <v>5786</v>
      </c>
      <c r="B4169" t="s">
        <v>372</v>
      </c>
      <c r="C4169" t="s">
        <v>7439</v>
      </c>
      <c r="D4169">
        <v>0.026125</v>
      </c>
    </row>
    <row r="4170" spans="1:4">
      <c r="A4170" t="s">
        <v>5787</v>
      </c>
      <c r="B4170" t="s">
        <v>372</v>
      </c>
      <c r="C4170" t="s">
        <v>7440</v>
      </c>
      <c r="D4170">
        <v>0.488269</v>
      </c>
    </row>
    <row r="4171" spans="1:4">
      <c r="A4171" t="s">
        <v>5788</v>
      </c>
      <c r="B4171" t="s">
        <v>372</v>
      </c>
      <c r="C4171" t="s">
        <v>7441</v>
      </c>
      <c r="D4171">
        <v>0.011902</v>
      </c>
    </row>
    <row r="4172" spans="1:4">
      <c r="A4172" t="s">
        <v>5789</v>
      </c>
      <c r="B4172" t="s">
        <v>372</v>
      </c>
      <c r="C4172" t="s">
        <v>7442</v>
      </c>
      <c r="D4172">
        <v>2.607683</v>
      </c>
    </row>
    <row r="4173" spans="1:4">
      <c r="A4173" t="s">
        <v>5790</v>
      </c>
      <c r="B4173" t="s">
        <v>372</v>
      </c>
      <c r="C4173" t="s">
        <v>7443</v>
      </c>
      <c r="D4173">
        <v>114.048719</v>
      </c>
    </row>
    <row r="4174" spans="1:4">
      <c r="A4174" t="s">
        <v>5791</v>
      </c>
      <c r="B4174" t="s">
        <v>372</v>
      </c>
      <c r="C4174" t="s">
        <v>7444</v>
      </c>
      <c r="D4174">
        <v>0.542253</v>
      </c>
    </row>
    <row r="4175" spans="1:4">
      <c r="A4175" t="s">
        <v>5792</v>
      </c>
      <c r="B4175" t="s">
        <v>372</v>
      </c>
      <c r="C4175" t="s">
        <v>7445</v>
      </c>
      <c r="D4175">
        <v>115.710174</v>
      </c>
    </row>
    <row r="4176" spans="1:4">
      <c r="A4176" t="s">
        <v>5793</v>
      </c>
      <c r="B4176" t="s">
        <v>372</v>
      </c>
      <c r="C4176" t="s">
        <v>7446</v>
      </c>
      <c r="D4176">
        <v>174.534937</v>
      </c>
    </row>
    <row r="4177" spans="1:4">
      <c r="A4177" t="s">
        <v>5794</v>
      </c>
      <c r="B4177" t="s">
        <v>372</v>
      </c>
      <c r="C4177" t="s">
        <v>7447</v>
      </c>
      <c r="D4177">
        <v>423.300017</v>
      </c>
    </row>
    <row r="4178" spans="1:4">
      <c r="A4178" t="s">
        <v>5795</v>
      </c>
      <c r="B4178" t="s">
        <v>372</v>
      </c>
      <c r="C4178" t="s">
        <v>7448</v>
      </c>
      <c r="D4178">
        <v>0.542253</v>
      </c>
    </row>
    <row r="4179" spans="1:4">
      <c r="A4179" t="s">
        <v>5796</v>
      </c>
      <c r="B4179" t="s">
        <v>372</v>
      </c>
      <c r="C4179" t="s">
        <v>7449</v>
      </c>
      <c r="D4179">
        <v>2.980712</v>
      </c>
    </row>
    <row r="4180" spans="1:4">
      <c r="A4180" t="s">
        <v>5797</v>
      </c>
      <c r="B4180" t="s">
        <v>372</v>
      </c>
      <c r="C4180" t="s">
        <v>7450</v>
      </c>
      <c r="D4180">
        <v>1.309313</v>
      </c>
    </row>
    <row r="4181" spans="1:4">
      <c r="A4181" t="s">
        <v>5798</v>
      </c>
      <c r="B4181" t="s">
        <v>372</v>
      </c>
      <c r="C4181" t="s">
        <v>7318</v>
      </c>
      <c r="D4181">
        <v>19.044947</v>
      </c>
    </row>
    <row r="4182" spans="1:4">
      <c r="A4182" t="s">
        <v>5799</v>
      </c>
      <c r="B4182" t="s">
        <v>372</v>
      </c>
      <c r="C4182" t="s">
        <v>7451</v>
      </c>
      <c r="D4182">
        <v>17.090501</v>
      </c>
    </row>
    <row r="4183" spans="1:4">
      <c r="A4183" t="s">
        <v>5800</v>
      </c>
      <c r="B4183" t="s">
        <v>372</v>
      </c>
      <c r="C4183" t="s">
        <v>7452</v>
      </c>
      <c r="D4183">
        <v>11.601781</v>
      </c>
    </row>
    <row r="4184" spans="1:4">
      <c r="A4184" t="s">
        <v>5801</v>
      </c>
      <c r="B4184" t="s">
        <v>372</v>
      </c>
      <c r="C4184" t="s">
        <v>7453</v>
      </c>
      <c r="D4184">
        <v>11.601781</v>
      </c>
    </row>
    <row r="4185" spans="1:4">
      <c r="A4185" t="s">
        <v>5802</v>
      </c>
      <c r="B4185" t="s">
        <v>373</v>
      </c>
      <c r="C4185" t="s">
        <v>397</v>
      </c>
      <c r="D4185">
        <v>353.424475</v>
      </c>
    </row>
    <row r="4186" spans="1:4">
      <c r="A4186" t="s">
        <v>5803</v>
      </c>
      <c r="B4186" t="s">
        <v>373</v>
      </c>
      <c r="C4186" t="s">
        <v>7319</v>
      </c>
      <c r="D4186">
        <v>84.134542</v>
      </c>
    </row>
    <row r="4187" spans="1:4">
      <c r="A4187" t="s">
        <v>5804</v>
      </c>
      <c r="B4187" t="s">
        <v>373</v>
      </c>
      <c r="C4187" t="s">
        <v>7320</v>
      </c>
      <c r="D4187">
        <v>4.807715</v>
      </c>
    </row>
    <row r="4188" spans="1:4">
      <c r="A4188" t="s">
        <v>5805</v>
      </c>
      <c r="B4188" t="s">
        <v>373</v>
      </c>
      <c r="C4188" t="s">
        <v>7321</v>
      </c>
      <c r="D4188">
        <v>3.75722</v>
      </c>
    </row>
    <row r="4189" spans="1:4">
      <c r="A4189" t="s">
        <v>5806</v>
      </c>
      <c r="B4189" t="s">
        <v>373</v>
      </c>
      <c r="C4189" t="s">
        <v>7322</v>
      </c>
      <c r="D4189">
        <v>0.839746</v>
      </c>
    </row>
    <row r="4190" spans="1:4">
      <c r="A4190" t="s">
        <v>5807</v>
      </c>
      <c r="B4190" t="s">
        <v>373</v>
      </c>
      <c r="C4190" t="s">
        <v>7323</v>
      </c>
      <c r="D4190">
        <v>172.616817</v>
      </c>
    </row>
    <row r="4191" spans="1:4">
      <c r="A4191" t="s">
        <v>5808</v>
      </c>
      <c r="B4191" t="s">
        <v>373</v>
      </c>
      <c r="C4191" t="s">
        <v>7324</v>
      </c>
      <c r="D4191">
        <v>0.327024</v>
      </c>
    </row>
    <row r="4192" spans="1:4">
      <c r="A4192" t="s">
        <v>5809</v>
      </c>
      <c r="B4192" t="s">
        <v>373</v>
      </c>
      <c r="C4192" t="s">
        <v>7325</v>
      </c>
      <c r="D4192">
        <v>0.207569</v>
      </c>
    </row>
    <row r="4193" spans="1:4">
      <c r="A4193" t="s">
        <v>5810</v>
      </c>
      <c r="B4193" t="s">
        <v>373</v>
      </c>
      <c r="C4193" t="s">
        <v>7292</v>
      </c>
      <c r="D4193">
        <v>214.234694</v>
      </c>
    </row>
    <row r="4194" spans="1:4">
      <c r="A4194" t="s">
        <v>5811</v>
      </c>
      <c r="B4194" t="s">
        <v>373</v>
      </c>
      <c r="C4194" t="s">
        <v>7326</v>
      </c>
      <c r="D4194">
        <v>172.616817</v>
      </c>
    </row>
    <row r="4195" spans="1:4">
      <c r="A4195" t="s">
        <v>5812</v>
      </c>
      <c r="B4195" t="s">
        <v>373</v>
      </c>
      <c r="C4195" t="s">
        <v>7327</v>
      </c>
      <c r="D4195">
        <v>181.978607</v>
      </c>
    </row>
    <row r="4196" spans="1:4">
      <c r="A4196" t="s">
        <v>5813</v>
      </c>
      <c r="B4196" t="s">
        <v>373</v>
      </c>
      <c r="C4196" t="s">
        <v>7328</v>
      </c>
      <c r="D4196">
        <v>180.703065</v>
      </c>
    </row>
    <row r="4197" spans="1:4">
      <c r="A4197" t="s">
        <v>5814</v>
      </c>
      <c r="B4197" t="s">
        <v>373</v>
      </c>
      <c r="C4197" t="s">
        <v>7329</v>
      </c>
      <c r="D4197">
        <v>154.492034</v>
      </c>
    </row>
    <row r="4198" spans="1:4">
      <c r="A4198" t="s">
        <v>5815</v>
      </c>
      <c r="B4198" t="s">
        <v>373</v>
      </c>
      <c r="C4198" t="s">
        <v>7330</v>
      </c>
      <c r="D4198">
        <v>2.507479</v>
      </c>
    </row>
    <row r="4199" spans="1:4">
      <c r="A4199" t="s">
        <v>5816</v>
      </c>
      <c r="B4199" t="s">
        <v>373</v>
      </c>
      <c r="C4199" t="s">
        <v>398</v>
      </c>
      <c r="D4199">
        <v>180.703065</v>
      </c>
    </row>
    <row r="4200" spans="1:4">
      <c r="A4200" t="s">
        <v>5817</v>
      </c>
      <c r="B4200" t="s">
        <v>373</v>
      </c>
      <c r="C4200" t="s">
        <v>7331</v>
      </c>
      <c r="D4200">
        <v>821.766408</v>
      </c>
    </row>
    <row r="4201" spans="1:4">
      <c r="A4201" t="s">
        <v>5818</v>
      </c>
      <c r="B4201" t="s">
        <v>373</v>
      </c>
      <c r="C4201" t="s">
        <v>7332</v>
      </c>
      <c r="D4201">
        <v>0.103238</v>
      </c>
    </row>
    <row r="4202" spans="1:4">
      <c r="A4202" t="s">
        <v>5819</v>
      </c>
      <c r="B4202" t="s">
        <v>373</v>
      </c>
      <c r="C4202" t="s">
        <v>7333</v>
      </c>
      <c r="D4202">
        <v>308.984204</v>
      </c>
    </row>
    <row r="4203" spans="1:4">
      <c r="A4203" t="s">
        <v>5820</v>
      </c>
      <c r="B4203" t="s">
        <v>373</v>
      </c>
      <c r="C4203" t="s">
        <v>7334</v>
      </c>
      <c r="D4203">
        <v>239.254257</v>
      </c>
    </row>
    <row r="4204" spans="1:4">
      <c r="A4204" t="s">
        <v>5821</v>
      </c>
      <c r="B4204" t="s">
        <v>373</v>
      </c>
      <c r="C4204" t="s">
        <v>7335</v>
      </c>
      <c r="D4204">
        <v>44.76304</v>
      </c>
    </row>
    <row r="4205" spans="1:4">
      <c r="A4205" t="s">
        <v>5822</v>
      </c>
      <c r="B4205" t="s">
        <v>373</v>
      </c>
      <c r="C4205" t="s">
        <v>7293</v>
      </c>
      <c r="D4205">
        <v>59.504319</v>
      </c>
    </row>
    <row r="4206" spans="1:4">
      <c r="A4206" t="s">
        <v>5823</v>
      </c>
      <c r="B4206" t="s">
        <v>373</v>
      </c>
      <c r="C4206" t="s">
        <v>7336</v>
      </c>
      <c r="D4206">
        <v>308.984204</v>
      </c>
    </row>
    <row r="4207" spans="1:4">
      <c r="A4207" t="s">
        <v>5824</v>
      </c>
      <c r="B4207" t="s">
        <v>373</v>
      </c>
      <c r="C4207" t="s">
        <v>7337</v>
      </c>
      <c r="D4207">
        <v>3.242093</v>
      </c>
    </row>
    <row r="4208" spans="1:4">
      <c r="A4208" t="s">
        <v>5825</v>
      </c>
      <c r="B4208" t="s">
        <v>373</v>
      </c>
      <c r="C4208" t="s">
        <v>7338</v>
      </c>
      <c r="D4208">
        <v>21.557446</v>
      </c>
    </row>
    <row r="4209" spans="1:4">
      <c r="A4209" t="s">
        <v>5826</v>
      </c>
      <c r="B4209" t="s">
        <v>373</v>
      </c>
      <c r="C4209" t="s">
        <v>7339</v>
      </c>
      <c r="D4209">
        <v>106.670158</v>
      </c>
    </row>
    <row r="4210" spans="1:4">
      <c r="A4210" t="s">
        <v>5827</v>
      </c>
      <c r="B4210" t="s">
        <v>373</v>
      </c>
      <c r="C4210" t="s">
        <v>7340</v>
      </c>
      <c r="D4210">
        <v>154.492034</v>
      </c>
    </row>
    <row r="4211" spans="1:4">
      <c r="A4211" t="s">
        <v>5828</v>
      </c>
      <c r="B4211" t="s">
        <v>373</v>
      </c>
      <c r="C4211" t="s">
        <v>7294</v>
      </c>
      <c r="D4211">
        <v>217.678719</v>
      </c>
    </row>
    <row r="4212" spans="1:4">
      <c r="A4212" t="s">
        <v>5829</v>
      </c>
      <c r="B4212" t="s">
        <v>373</v>
      </c>
      <c r="C4212" t="s">
        <v>7341</v>
      </c>
      <c r="D4212">
        <v>0.134099</v>
      </c>
    </row>
    <row r="4213" spans="1:4">
      <c r="A4213" t="s">
        <v>5830</v>
      </c>
      <c r="B4213" t="s">
        <v>373</v>
      </c>
      <c r="C4213" t="s">
        <v>7295</v>
      </c>
      <c r="D4213">
        <v>384.535722</v>
      </c>
    </row>
    <row r="4214" spans="1:4">
      <c r="A4214" t="s">
        <v>5831</v>
      </c>
      <c r="B4214" t="s">
        <v>373</v>
      </c>
      <c r="C4214" t="s">
        <v>7342</v>
      </c>
      <c r="D4214">
        <v>13198.314848</v>
      </c>
    </row>
    <row r="4215" spans="1:4">
      <c r="A4215" t="s">
        <v>5832</v>
      </c>
      <c r="B4215" t="s">
        <v>373</v>
      </c>
      <c r="C4215" t="s">
        <v>7343</v>
      </c>
      <c r="D4215">
        <v>0.333906</v>
      </c>
    </row>
    <row r="4216" spans="1:4">
      <c r="A4216" t="s">
        <v>5833</v>
      </c>
      <c r="B4216" t="s">
        <v>373</v>
      </c>
      <c r="C4216" t="s">
        <v>7344</v>
      </c>
      <c r="D4216">
        <v>45.54016</v>
      </c>
    </row>
    <row r="4217" spans="1:4">
      <c r="A4217" t="s">
        <v>5834</v>
      </c>
      <c r="B4217" t="s">
        <v>373</v>
      </c>
      <c r="C4217" t="s">
        <v>7296</v>
      </c>
      <c r="D4217">
        <v>45.510071</v>
      </c>
    </row>
    <row r="4218" spans="1:4">
      <c r="A4218" t="s">
        <v>5835</v>
      </c>
      <c r="B4218" t="s">
        <v>373</v>
      </c>
      <c r="C4218" t="s">
        <v>7345</v>
      </c>
      <c r="D4218">
        <v>0.091639</v>
      </c>
    </row>
    <row r="4219" spans="1:4">
      <c r="A4219" t="s">
        <v>5836</v>
      </c>
      <c r="B4219" t="s">
        <v>373</v>
      </c>
      <c r="C4219" t="s">
        <v>7346</v>
      </c>
      <c r="D4219">
        <v>0.68127</v>
      </c>
    </row>
    <row r="4220" spans="1:4">
      <c r="A4220" t="s">
        <v>5837</v>
      </c>
      <c r="B4220" t="s">
        <v>373</v>
      </c>
      <c r="C4220" t="s">
        <v>7347</v>
      </c>
      <c r="D4220">
        <v>12.874339</v>
      </c>
    </row>
    <row r="4221" spans="1:4">
      <c r="A4221" t="s">
        <v>5838</v>
      </c>
      <c r="B4221" t="s">
        <v>373</v>
      </c>
      <c r="C4221" t="s">
        <v>7348</v>
      </c>
      <c r="D4221">
        <v>3.205228</v>
      </c>
    </row>
    <row r="4222" spans="1:4">
      <c r="A4222" t="s">
        <v>5839</v>
      </c>
      <c r="B4222" t="s">
        <v>373</v>
      </c>
      <c r="C4222" t="s">
        <v>7297</v>
      </c>
      <c r="D4222">
        <v>14.609543</v>
      </c>
    </row>
    <row r="4223" spans="1:4">
      <c r="A4223" t="s">
        <v>5840</v>
      </c>
      <c r="B4223" t="s">
        <v>373</v>
      </c>
      <c r="C4223" t="s">
        <v>7349</v>
      </c>
      <c r="D4223">
        <v>1.738591</v>
      </c>
    </row>
    <row r="4224" spans="1:4">
      <c r="A4224" t="s">
        <v>5841</v>
      </c>
      <c r="B4224" t="s">
        <v>373</v>
      </c>
      <c r="C4224" t="s">
        <v>7298</v>
      </c>
      <c r="D4224">
        <v>47.36544</v>
      </c>
    </row>
    <row r="4225" spans="1:4">
      <c r="A4225" t="s">
        <v>5842</v>
      </c>
      <c r="B4225" t="s">
        <v>373</v>
      </c>
      <c r="C4225" t="s">
        <v>7350</v>
      </c>
      <c r="D4225">
        <v>5.215541</v>
      </c>
    </row>
    <row r="4226" spans="1:4">
      <c r="A4226" t="s">
        <v>5843</v>
      </c>
      <c r="B4226" t="s">
        <v>373</v>
      </c>
      <c r="C4226" t="s">
        <v>7351</v>
      </c>
      <c r="D4226">
        <v>2.326346</v>
      </c>
    </row>
    <row r="4227" spans="1:4">
      <c r="A4227" t="s">
        <v>5844</v>
      </c>
      <c r="B4227" t="s">
        <v>373</v>
      </c>
      <c r="C4227" t="s">
        <v>7352</v>
      </c>
      <c r="D4227">
        <v>6.293752</v>
      </c>
    </row>
    <row r="4228" spans="1:4">
      <c r="A4228" t="s">
        <v>5845</v>
      </c>
      <c r="B4228" t="s">
        <v>373</v>
      </c>
      <c r="C4228" t="s">
        <v>7353</v>
      </c>
      <c r="D4228">
        <v>20.598942</v>
      </c>
    </row>
    <row r="4229" spans="1:4">
      <c r="A4229" t="s">
        <v>5846</v>
      </c>
      <c r="B4229" t="s">
        <v>373</v>
      </c>
      <c r="C4229" t="s">
        <v>7354</v>
      </c>
      <c r="D4229">
        <v>1.89459</v>
      </c>
    </row>
    <row r="4230" spans="1:4">
      <c r="A4230" t="s">
        <v>5847</v>
      </c>
      <c r="B4230" t="s">
        <v>373</v>
      </c>
      <c r="C4230" t="s">
        <v>7355</v>
      </c>
      <c r="D4230">
        <v>136.720262</v>
      </c>
    </row>
    <row r="4231" spans="1:4">
      <c r="A4231" t="s">
        <v>5848</v>
      </c>
      <c r="B4231" t="s">
        <v>373</v>
      </c>
      <c r="C4231" t="s">
        <v>7356</v>
      </c>
      <c r="D4231">
        <v>412.574449</v>
      </c>
    </row>
    <row r="4232" spans="1:4">
      <c r="A4232" t="s">
        <v>5849</v>
      </c>
      <c r="B4232" t="s">
        <v>373</v>
      </c>
      <c r="C4232" t="s">
        <v>7357</v>
      </c>
      <c r="D4232">
        <v>47.365446</v>
      </c>
    </row>
    <row r="4233" spans="1:4">
      <c r="A4233" t="s">
        <v>5850</v>
      </c>
      <c r="B4233" t="s">
        <v>373</v>
      </c>
      <c r="C4233" t="s">
        <v>7299</v>
      </c>
      <c r="D4233">
        <v>412.574449</v>
      </c>
    </row>
    <row r="4234" spans="1:4">
      <c r="A4234" t="s">
        <v>5851</v>
      </c>
      <c r="B4234" t="s">
        <v>373</v>
      </c>
      <c r="C4234" t="s">
        <v>7358</v>
      </c>
      <c r="D4234">
        <v>117.051537</v>
      </c>
    </row>
    <row r="4235" spans="1:4">
      <c r="A4235" t="s">
        <v>5852</v>
      </c>
      <c r="B4235" t="s">
        <v>373</v>
      </c>
      <c r="C4235" t="s">
        <v>7359</v>
      </c>
      <c r="D4235">
        <v>412.574449</v>
      </c>
    </row>
    <row r="4236" spans="1:4">
      <c r="A4236" t="s">
        <v>5853</v>
      </c>
      <c r="B4236" t="s">
        <v>373</v>
      </c>
      <c r="C4236" t="s">
        <v>7360</v>
      </c>
      <c r="D4236">
        <v>27.221241</v>
      </c>
    </row>
    <row r="4237" spans="1:4">
      <c r="A4237" t="s">
        <v>5854</v>
      </c>
      <c r="B4237" t="s">
        <v>373</v>
      </c>
      <c r="C4237" t="s">
        <v>7361</v>
      </c>
      <c r="D4237">
        <v>412.574449</v>
      </c>
    </row>
    <row r="4238" spans="1:4">
      <c r="A4238" t="s">
        <v>5855</v>
      </c>
      <c r="B4238" t="s">
        <v>373</v>
      </c>
      <c r="C4238" t="s">
        <v>7362</v>
      </c>
      <c r="D4238">
        <v>4.164177</v>
      </c>
    </row>
    <row r="4239" spans="1:4">
      <c r="A4239" t="s">
        <v>5856</v>
      </c>
      <c r="B4239" t="s">
        <v>373</v>
      </c>
      <c r="C4239" t="s">
        <v>7363</v>
      </c>
      <c r="D4239">
        <v>0.035237</v>
      </c>
    </row>
    <row r="4240" spans="1:4">
      <c r="A4240" t="s">
        <v>5857</v>
      </c>
      <c r="B4240" t="s">
        <v>373</v>
      </c>
      <c r="C4240" t="s">
        <v>7364</v>
      </c>
      <c r="D4240">
        <v>40.659129</v>
      </c>
    </row>
    <row r="4241" spans="1:4">
      <c r="A4241" t="s">
        <v>5858</v>
      </c>
      <c r="B4241" t="s">
        <v>373</v>
      </c>
      <c r="C4241" t="s">
        <v>7365</v>
      </c>
      <c r="D4241">
        <v>1.484159</v>
      </c>
    </row>
    <row r="4242" spans="1:4">
      <c r="A4242" t="s">
        <v>5859</v>
      </c>
      <c r="B4242" t="s">
        <v>373</v>
      </c>
      <c r="C4242" t="s">
        <v>7300</v>
      </c>
      <c r="D4242">
        <v>39.397002</v>
      </c>
    </row>
    <row r="4243" spans="1:4">
      <c r="A4243" t="s">
        <v>5860</v>
      </c>
      <c r="B4243" t="s">
        <v>373</v>
      </c>
      <c r="C4243" t="s">
        <v>7366</v>
      </c>
      <c r="D4243">
        <v>11.609807</v>
      </c>
    </row>
    <row r="4244" spans="1:4">
      <c r="A4244" t="s">
        <v>5861</v>
      </c>
      <c r="B4244" t="s">
        <v>373</v>
      </c>
      <c r="C4244" t="s">
        <v>7367</v>
      </c>
      <c r="D4244">
        <v>46.907489</v>
      </c>
    </row>
    <row r="4245" spans="1:4">
      <c r="A4245" t="s">
        <v>5862</v>
      </c>
      <c r="B4245" t="s">
        <v>373</v>
      </c>
      <c r="C4245" t="s">
        <v>7368</v>
      </c>
      <c r="D4245">
        <v>2.373445</v>
      </c>
    </row>
    <row r="4246" spans="1:4">
      <c r="A4246" t="s">
        <v>5863</v>
      </c>
      <c r="B4246" t="s">
        <v>373</v>
      </c>
      <c r="C4246" t="s">
        <v>7301</v>
      </c>
      <c r="D4246">
        <v>0.017195</v>
      </c>
    </row>
    <row r="4247" spans="1:4">
      <c r="A4247" t="s">
        <v>5864</v>
      </c>
      <c r="B4247" t="s">
        <v>373</v>
      </c>
      <c r="C4247" t="s">
        <v>7302</v>
      </c>
      <c r="D4247">
        <v>103.023437</v>
      </c>
    </row>
    <row r="4248" spans="1:4">
      <c r="A4248" t="s">
        <v>5865</v>
      </c>
      <c r="B4248" t="s">
        <v>373</v>
      </c>
      <c r="C4248" t="s">
        <v>7369</v>
      </c>
      <c r="D4248">
        <v>412.574449</v>
      </c>
    </row>
    <row r="4249" spans="1:4">
      <c r="A4249" t="s">
        <v>5866</v>
      </c>
      <c r="B4249" t="s">
        <v>373</v>
      </c>
      <c r="C4249" t="s">
        <v>7303</v>
      </c>
      <c r="D4249">
        <v>3.242089</v>
      </c>
    </row>
    <row r="4250" spans="1:4">
      <c r="A4250" t="s">
        <v>5867</v>
      </c>
      <c r="B4250" t="s">
        <v>373</v>
      </c>
      <c r="C4250" t="s">
        <v>7370</v>
      </c>
      <c r="D4250">
        <v>0.236941</v>
      </c>
    </row>
    <row r="4251" spans="1:4">
      <c r="A4251" t="s">
        <v>5868</v>
      </c>
      <c r="B4251" t="s">
        <v>373</v>
      </c>
      <c r="C4251" t="s">
        <v>7371</v>
      </c>
      <c r="D4251">
        <v>0.000225</v>
      </c>
    </row>
    <row r="4252" spans="1:4">
      <c r="A4252" t="s">
        <v>5869</v>
      </c>
      <c r="B4252" t="s">
        <v>373</v>
      </c>
      <c r="C4252" t="s">
        <v>7304</v>
      </c>
      <c r="D4252">
        <v>2.456593</v>
      </c>
    </row>
    <row r="4253" spans="1:4">
      <c r="A4253" t="s">
        <v>5870</v>
      </c>
      <c r="B4253" t="s">
        <v>373</v>
      </c>
      <c r="C4253" t="s">
        <v>7372</v>
      </c>
      <c r="D4253">
        <v>412.574449</v>
      </c>
    </row>
    <row r="4254" spans="1:4">
      <c r="A4254" t="s">
        <v>5871</v>
      </c>
      <c r="B4254" t="s">
        <v>373</v>
      </c>
      <c r="C4254" t="s">
        <v>7373</v>
      </c>
      <c r="D4254">
        <v>1.946947</v>
      </c>
    </row>
    <row r="4255" spans="1:4">
      <c r="A4255" t="s">
        <v>5872</v>
      </c>
      <c r="B4255" t="s">
        <v>373</v>
      </c>
      <c r="C4255" t="s">
        <v>7374</v>
      </c>
      <c r="D4255">
        <v>435.802473</v>
      </c>
    </row>
    <row r="4256" spans="1:4">
      <c r="A4256" t="s">
        <v>5873</v>
      </c>
      <c r="B4256" t="s">
        <v>373</v>
      </c>
      <c r="C4256" t="s">
        <v>7305</v>
      </c>
      <c r="D4256">
        <v>1.915892</v>
      </c>
    </row>
    <row r="4257" spans="1:4">
      <c r="A4257" t="s">
        <v>5874</v>
      </c>
      <c r="B4257" t="s">
        <v>373</v>
      </c>
      <c r="C4257" t="s">
        <v>7375</v>
      </c>
      <c r="D4257">
        <v>2.391713</v>
      </c>
    </row>
    <row r="4258" spans="1:4">
      <c r="A4258" t="s">
        <v>5875</v>
      </c>
      <c r="B4258" t="s">
        <v>373</v>
      </c>
      <c r="C4258" t="s">
        <v>7376</v>
      </c>
      <c r="D4258">
        <v>3.534435</v>
      </c>
    </row>
    <row r="4259" spans="1:4">
      <c r="A4259" t="s">
        <v>5876</v>
      </c>
      <c r="B4259" t="s">
        <v>373</v>
      </c>
      <c r="C4259" t="s">
        <v>7377</v>
      </c>
      <c r="D4259">
        <v>0.076628</v>
      </c>
    </row>
    <row r="4260" spans="1:4">
      <c r="A4260" t="s">
        <v>5877</v>
      </c>
      <c r="B4260" t="s">
        <v>373</v>
      </c>
      <c r="C4260" t="s">
        <v>7378</v>
      </c>
      <c r="D4260">
        <v>214.234824</v>
      </c>
    </row>
    <row r="4261" spans="1:4">
      <c r="A4261" t="s">
        <v>5878</v>
      </c>
      <c r="B4261" t="s">
        <v>373</v>
      </c>
      <c r="C4261" t="s">
        <v>7379</v>
      </c>
      <c r="D4261">
        <v>0.71839</v>
      </c>
    </row>
    <row r="4262" spans="1:4">
      <c r="A4262" t="s">
        <v>5879</v>
      </c>
      <c r="B4262" t="s">
        <v>373</v>
      </c>
      <c r="C4262" t="s">
        <v>7306</v>
      </c>
      <c r="D4262">
        <v>0.201449</v>
      </c>
    </row>
    <row r="4263" spans="1:4">
      <c r="A4263" t="s">
        <v>5880</v>
      </c>
      <c r="B4263" t="s">
        <v>373</v>
      </c>
      <c r="C4263" t="s">
        <v>7380</v>
      </c>
      <c r="D4263">
        <v>999.888178</v>
      </c>
    </row>
    <row r="4264" spans="1:4">
      <c r="A4264" t="s">
        <v>5881</v>
      </c>
      <c r="B4264" t="s">
        <v>373</v>
      </c>
      <c r="C4264" t="s">
        <v>7381</v>
      </c>
      <c r="D4264">
        <v>370.78111</v>
      </c>
    </row>
    <row r="4265" spans="1:4">
      <c r="A4265" t="s">
        <v>5882</v>
      </c>
      <c r="B4265" t="s">
        <v>373</v>
      </c>
      <c r="C4265" t="s">
        <v>7382</v>
      </c>
      <c r="D4265">
        <v>0.652269</v>
      </c>
    </row>
    <row r="4266" spans="1:4">
      <c r="A4266" t="s">
        <v>5883</v>
      </c>
      <c r="B4266" t="s">
        <v>373</v>
      </c>
      <c r="C4266" t="s">
        <v>7383</v>
      </c>
      <c r="D4266">
        <v>0.01395</v>
      </c>
    </row>
    <row r="4267" spans="1:4">
      <c r="A4267" t="s">
        <v>5884</v>
      </c>
      <c r="B4267" t="s">
        <v>373</v>
      </c>
      <c r="C4267" t="s">
        <v>7384</v>
      </c>
      <c r="D4267">
        <v>0.003452</v>
      </c>
    </row>
    <row r="4268" spans="1:4">
      <c r="A4268" t="s">
        <v>5885</v>
      </c>
      <c r="B4268" t="s">
        <v>373</v>
      </c>
      <c r="C4268" t="s">
        <v>7385</v>
      </c>
      <c r="D4268">
        <v>0.921755</v>
      </c>
    </row>
    <row r="4269" spans="1:4">
      <c r="A4269" t="s">
        <v>5886</v>
      </c>
      <c r="B4269" t="s">
        <v>373</v>
      </c>
      <c r="C4269" t="s">
        <v>7386</v>
      </c>
      <c r="D4269">
        <v>1.707254</v>
      </c>
    </row>
    <row r="4270" spans="1:4">
      <c r="A4270" t="s">
        <v>5887</v>
      </c>
      <c r="B4270" t="s">
        <v>373</v>
      </c>
      <c r="C4270" t="s">
        <v>7387</v>
      </c>
      <c r="D4270">
        <v>19.037254</v>
      </c>
    </row>
    <row r="4271" spans="1:4">
      <c r="A4271" t="s">
        <v>5888</v>
      </c>
      <c r="B4271" t="s">
        <v>373</v>
      </c>
      <c r="C4271" t="s">
        <v>7388</v>
      </c>
      <c r="D4271">
        <v>48.422709</v>
      </c>
    </row>
    <row r="4272" spans="1:4">
      <c r="A4272" t="s">
        <v>5889</v>
      </c>
      <c r="B4272" t="s">
        <v>373</v>
      </c>
      <c r="C4272" t="s">
        <v>7389</v>
      </c>
      <c r="D4272">
        <v>33.001191</v>
      </c>
    </row>
    <row r="4273" spans="1:4">
      <c r="A4273" t="s">
        <v>5890</v>
      </c>
      <c r="B4273" t="s">
        <v>373</v>
      </c>
      <c r="C4273" t="s">
        <v>7390</v>
      </c>
      <c r="D4273">
        <v>17.564781</v>
      </c>
    </row>
    <row r="4274" spans="1:4">
      <c r="A4274" t="s">
        <v>5891</v>
      </c>
      <c r="B4274" t="s">
        <v>373</v>
      </c>
      <c r="C4274" t="s">
        <v>7391</v>
      </c>
      <c r="D4274">
        <v>0.073409</v>
      </c>
    </row>
    <row r="4275" spans="1:4">
      <c r="A4275" t="s">
        <v>5892</v>
      </c>
      <c r="B4275" t="s">
        <v>373</v>
      </c>
      <c r="C4275" t="s">
        <v>7392</v>
      </c>
      <c r="D4275">
        <v>5.730926</v>
      </c>
    </row>
    <row r="4276" spans="1:4">
      <c r="A4276" t="s">
        <v>5893</v>
      </c>
      <c r="B4276" t="s">
        <v>373</v>
      </c>
      <c r="C4276" t="s">
        <v>7393</v>
      </c>
      <c r="D4276">
        <v>0.147951</v>
      </c>
    </row>
    <row r="4277" spans="1:4">
      <c r="A4277" t="s">
        <v>5894</v>
      </c>
      <c r="B4277" t="s">
        <v>373</v>
      </c>
      <c r="C4277" t="s">
        <v>7394</v>
      </c>
      <c r="D4277">
        <v>0.086858</v>
      </c>
    </row>
    <row r="4278" spans="1:4">
      <c r="A4278" t="s">
        <v>5895</v>
      </c>
      <c r="B4278" t="s">
        <v>373</v>
      </c>
      <c r="C4278" t="s">
        <v>7395</v>
      </c>
      <c r="D4278">
        <v>38.249539</v>
      </c>
    </row>
    <row r="4279" spans="1:4">
      <c r="A4279" t="s">
        <v>5896</v>
      </c>
      <c r="B4279" t="s">
        <v>373</v>
      </c>
      <c r="C4279" t="s">
        <v>7396</v>
      </c>
      <c r="D4279">
        <v>7.778728</v>
      </c>
    </row>
    <row r="4280" spans="1:4">
      <c r="A4280" t="s">
        <v>5897</v>
      </c>
      <c r="B4280" t="s">
        <v>373</v>
      </c>
      <c r="C4280" t="s">
        <v>7397</v>
      </c>
      <c r="D4280">
        <v>6.579556</v>
      </c>
    </row>
    <row r="4281" spans="1:4">
      <c r="A4281" t="s">
        <v>5898</v>
      </c>
      <c r="B4281" t="s">
        <v>373</v>
      </c>
      <c r="C4281" t="s">
        <v>7398</v>
      </c>
      <c r="D4281">
        <v>20.064823</v>
      </c>
    </row>
    <row r="4282" spans="1:4">
      <c r="A4282" t="s">
        <v>5899</v>
      </c>
      <c r="B4282" t="s">
        <v>373</v>
      </c>
      <c r="C4282" t="s">
        <v>7399</v>
      </c>
      <c r="D4282">
        <v>0.177264</v>
      </c>
    </row>
    <row r="4283" spans="1:4">
      <c r="A4283" t="s">
        <v>5900</v>
      </c>
      <c r="B4283" t="s">
        <v>373</v>
      </c>
      <c r="C4283" t="s">
        <v>7307</v>
      </c>
      <c r="D4283">
        <v>17.689327</v>
      </c>
    </row>
    <row r="4284" spans="1:4">
      <c r="A4284" t="s">
        <v>5901</v>
      </c>
      <c r="B4284" t="s">
        <v>373</v>
      </c>
      <c r="C4284" t="s">
        <v>7308</v>
      </c>
      <c r="D4284">
        <v>75.86005299999999</v>
      </c>
    </row>
    <row r="4285" spans="1:4">
      <c r="A4285" t="s">
        <v>5902</v>
      </c>
      <c r="B4285" t="s">
        <v>373</v>
      </c>
      <c r="C4285" t="s">
        <v>7400</v>
      </c>
      <c r="D4285">
        <v>4.844787</v>
      </c>
    </row>
    <row r="4286" spans="1:4">
      <c r="A4286" t="s">
        <v>5903</v>
      </c>
      <c r="B4286" t="s">
        <v>373</v>
      </c>
      <c r="C4286" t="s">
        <v>7401</v>
      </c>
      <c r="D4286">
        <v>19.037254</v>
      </c>
    </row>
    <row r="4287" spans="1:4">
      <c r="A4287" t="s">
        <v>5904</v>
      </c>
      <c r="B4287" t="s">
        <v>373</v>
      </c>
      <c r="C4287" t="s">
        <v>7402</v>
      </c>
      <c r="D4287">
        <v>0.227789</v>
      </c>
    </row>
    <row r="4288" spans="1:4">
      <c r="A4288" t="s">
        <v>5905</v>
      </c>
      <c r="B4288" t="s">
        <v>373</v>
      </c>
      <c r="C4288" t="s">
        <v>7403</v>
      </c>
      <c r="D4288">
        <v>8.437604</v>
      </c>
    </row>
    <row r="4289" spans="1:4">
      <c r="A4289" t="s">
        <v>5906</v>
      </c>
      <c r="B4289" t="s">
        <v>373</v>
      </c>
      <c r="C4289" t="s">
        <v>7309</v>
      </c>
      <c r="D4289">
        <v>31.406246</v>
      </c>
    </row>
    <row r="4290" spans="1:4">
      <c r="A4290" t="s">
        <v>5907</v>
      </c>
      <c r="B4290" t="s">
        <v>373</v>
      </c>
      <c r="C4290" t="s">
        <v>7404</v>
      </c>
      <c r="D4290">
        <v>2.026308</v>
      </c>
    </row>
    <row r="4291" spans="1:4">
      <c r="A4291" t="s">
        <v>5908</v>
      </c>
      <c r="B4291" t="s">
        <v>373</v>
      </c>
      <c r="C4291" t="s">
        <v>7310</v>
      </c>
      <c r="D4291">
        <v>176.373952</v>
      </c>
    </row>
    <row r="4292" spans="1:4">
      <c r="A4292" t="s">
        <v>5909</v>
      </c>
      <c r="B4292" t="s">
        <v>373</v>
      </c>
      <c r="C4292" t="s">
        <v>7405</v>
      </c>
      <c r="D4292">
        <v>803.606372</v>
      </c>
    </row>
    <row r="4293" spans="1:4">
      <c r="A4293" t="s">
        <v>5910</v>
      </c>
      <c r="B4293" t="s">
        <v>373</v>
      </c>
      <c r="C4293" t="s">
        <v>7406</v>
      </c>
      <c r="D4293">
        <v>308.984204</v>
      </c>
    </row>
    <row r="4294" spans="1:4">
      <c r="A4294" t="s">
        <v>5911</v>
      </c>
      <c r="B4294" t="s">
        <v>373</v>
      </c>
      <c r="C4294" t="s">
        <v>7407</v>
      </c>
      <c r="D4294">
        <v>90.848759</v>
      </c>
    </row>
    <row r="4295" spans="1:4">
      <c r="A4295" t="s">
        <v>5912</v>
      </c>
      <c r="B4295" t="s">
        <v>373</v>
      </c>
      <c r="C4295" t="s">
        <v>7408</v>
      </c>
      <c r="D4295">
        <v>70.696899</v>
      </c>
    </row>
    <row r="4296" spans="1:4">
      <c r="A4296" t="s">
        <v>5913</v>
      </c>
      <c r="B4296" t="s">
        <v>373</v>
      </c>
      <c r="C4296" t="s">
        <v>7311</v>
      </c>
      <c r="D4296">
        <v>5.02739</v>
      </c>
    </row>
    <row r="4297" spans="1:4">
      <c r="A4297" t="s">
        <v>5914</v>
      </c>
      <c r="B4297" t="s">
        <v>373</v>
      </c>
      <c r="C4297" t="s">
        <v>7409</v>
      </c>
      <c r="D4297">
        <v>1.112275</v>
      </c>
    </row>
    <row r="4298" spans="1:4">
      <c r="A4298" t="s">
        <v>5915</v>
      </c>
      <c r="B4298" t="s">
        <v>373</v>
      </c>
      <c r="C4298" t="s">
        <v>7312</v>
      </c>
      <c r="D4298">
        <v>82.429461</v>
      </c>
    </row>
    <row r="4299" spans="1:4">
      <c r="A4299" t="s">
        <v>5916</v>
      </c>
      <c r="B4299" t="s">
        <v>373</v>
      </c>
      <c r="C4299" t="s">
        <v>7410</v>
      </c>
      <c r="D4299">
        <v>0.051224</v>
      </c>
    </row>
    <row r="4300" spans="1:4">
      <c r="A4300" t="s">
        <v>5917</v>
      </c>
      <c r="B4300" t="s">
        <v>373</v>
      </c>
      <c r="C4300" t="s">
        <v>7411</v>
      </c>
      <c r="D4300">
        <v>84.885756</v>
      </c>
    </row>
    <row r="4301" spans="1:4">
      <c r="A4301" t="s">
        <v>5918</v>
      </c>
      <c r="B4301" t="s">
        <v>373</v>
      </c>
      <c r="C4301" t="s">
        <v>7313</v>
      </c>
      <c r="D4301">
        <v>67.542055</v>
      </c>
    </row>
    <row r="4302" spans="1:4">
      <c r="A4302" t="s">
        <v>5919</v>
      </c>
      <c r="B4302" t="s">
        <v>373</v>
      </c>
      <c r="C4302" t="s">
        <v>7412</v>
      </c>
      <c r="D4302">
        <v>3.011666</v>
      </c>
    </row>
    <row r="4303" spans="1:4">
      <c r="A4303" t="s">
        <v>5920</v>
      </c>
      <c r="B4303" t="s">
        <v>373</v>
      </c>
      <c r="C4303" t="s">
        <v>7413</v>
      </c>
      <c r="D4303">
        <v>3.992031</v>
      </c>
    </row>
    <row r="4304" spans="1:4">
      <c r="A4304" t="s">
        <v>5921</v>
      </c>
      <c r="B4304" t="s">
        <v>373</v>
      </c>
      <c r="C4304" t="s">
        <v>7414</v>
      </c>
      <c r="D4304">
        <v>0.210574</v>
      </c>
    </row>
    <row r="4305" spans="1:4">
      <c r="A4305" t="s">
        <v>5922</v>
      </c>
      <c r="B4305" t="s">
        <v>373</v>
      </c>
      <c r="C4305" t="s">
        <v>7415</v>
      </c>
      <c r="D4305">
        <v>82.39577300000001</v>
      </c>
    </row>
    <row r="4306" spans="1:4">
      <c r="A4306" t="s">
        <v>5923</v>
      </c>
      <c r="B4306" t="s">
        <v>373</v>
      </c>
      <c r="C4306" t="s">
        <v>7416</v>
      </c>
      <c r="D4306">
        <v>38.797833</v>
      </c>
    </row>
    <row r="4307" spans="1:4">
      <c r="A4307" t="s">
        <v>5924</v>
      </c>
      <c r="B4307" t="s">
        <v>373</v>
      </c>
      <c r="C4307" t="s">
        <v>7417</v>
      </c>
      <c r="D4307">
        <v>20.904146</v>
      </c>
    </row>
    <row r="4308" spans="1:4">
      <c r="A4308" t="s">
        <v>5925</v>
      </c>
      <c r="B4308" t="s">
        <v>373</v>
      </c>
      <c r="C4308" t="s">
        <v>7418</v>
      </c>
      <c r="D4308">
        <v>0.6946909999999999</v>
      </c>
    </row>
    <row r="4309" spans="1:4">
      <c r="A4309" t="s">
        <v>5926</v>
      </c>
      <c r="B4309" t="s">
        <v>373</v>
      </c>
      <c r="C4309" t="s">
        <v>7314</v>
      </c>
      <c r="D4309">
        <v>32.017094</v>
      </c>
    </row>
    <row r="4310" spans="1:4">
      <c r="A4310" t="s">
        <v>5927</v>
      </c>
      <c r="B4310" t="s">
        <v>373</v>
      </c>
      <c r="C4310" t="s">
        <v>7315</v>
      </c>
      <c r="D4310">
        <v>239.254095</v>
      </c>
    </row>
    <row r="4311" spans="1:4">
      <c r="A4311" t="s">
        <v>5928</v>
      </c>
      <c r="B4311" t="s">
        <v>373</v>
      </c>
      <c r="C4311" t="s">
        <v>7419</v>
      </c>
      <c r="D4311">
        <v>412.574449</v>
      </c>
    </row>
    <row r="4312" spans="1:4">
      <c r="A4312" t="s">
        <v>5929</v>
      </c>
      <c r="B4312" t="s">
        <v>373</v>
      </c>
      <c r="C4312" t="s">
        <v>7420</v>
      </c>
      <c r="D4312">
        <v>12.686639</v>
      </c>
    </row>
    <row r="4313" spans="1:4">
      <c r="A4313" t="s">
        <v>5930</v>
      </c>
      <c r="B4313" t="s">
        <v>373</v>
      </c>
      <c r="C4313" t="s">
        <v>7421</v>
      </c>
      <c r="D4313">
        <v>0.012687</v>
      </c>
    </row>
    <row r="4314" spans="1:4">
      <c r="A4314" t="s">
        <v>5931</v>
      </c>
      <c r="B4314" t="s">
        <v>373</v>
      </c>
      <c r="C4314" t="s">
        <v>7422</v>
      </c>
      <c r="D4314">
        <v>0.543452</v>
      </c>
    </row>
    <row r="4315" spans="1:4">
      <c r="A4315" t="s">
        <v>5932</v>
      </c>
      <c r="B4315" t="s">
        <v>373</v>
      </c>
      <c r="C4315" t="s">
        <v>7423</v>
      </c>
      <c r="D4315">
        <v>8.248578</v>
      </c>
    </row>
    <row r="4316" spans="1:4">
      <c r="A4316" t="s">
        <v>5933</v>
      </c>
      <c r="B4316" t="s">
        <v>373</v>
      </c>
      <c r="C4316" t="s">
        <v>7424</v>
      </c>
      <c r="D4316">
        <v>0.06557300000000001</v>
      </c>
    </row>
    <row r="4317" spans="1:4">
      <c r="A4317" t="s">
        <v>5934</v>
      </c>
      <c r="B4317" t="s">
        <v>373</v>
      </c>
      <c r="C4317" t="s">
        <v>7425</v>
      </c>
      <c r="D4317">
        <v>14.425489</v>
      </c>
    </row>
    <row r="4318" spans="1:4">
      <c r="A4318" t="s">
        <v>5935</v>
      </c>
      <c r="B4318" t="s">
        <v>373</v>
      </c>
      <c r="C4318" t="s">
        <v>7426</v>
      </c>
      <c r="D4318">
        <v>2.737409</v>
      </c>
    </row>
    <row r="4319" spans="1:4">
      <c r="A4319" t="s">
        <v>5936</v>
      </c>
      <c r="B4319" t="s">
        <v>373</v>
      </c>
      <c r="C4319" t="s">
        <v>7427</v>
      </c>
      <c r="D4319">
        <v>19.037254</v>
      </c>
    </row>
    <row r="4320" spans="1:4">
      <c r="A4320" t="s">
        <v>5937</v>
      </c>
      <c r="B4320" t="s">
        <v>373</v>
      </c>
      <c r="C4320" t="s">
        <v>7316</v>
      </c>
      <c r="D4320">
        <v>9.314412000000001</v>
      </c>
    </row>
    <row r="4321" spans="1:4">
      <c r="A4321" t="s">
        <v>5938</v>
      </c>
      <c r="B4321" t="s">
        <v>373</v>
      </c>
      <c r="C4321" t="s">
        <v>7428</v>
      </c>
      <c r="D4321">
        <v>33.328314</v>
      </c>
    </row>
    <row r="4322" spans="1:4">
      <c r="A4322" t="s">
        <v>5939</v>
      </c>
      <c r="B4322" t="s">
        <v>373</v>
      </c>
      <c r="C4322" t="s">
        <v>7429</v>
      </c>
      <c r="D4322">
        <v>88.269306</v>
      </c>
    </row>
    <row r="4323" spans="1:4">
      <c r="A4323" t="s">
        <v>5940</v>
      </c>
      <c r="B4323" t="s">
        <v>373</v>
      </c>
      <c r="C4323" t="s">
        <v>7430</v>
      </c>
      <c r="D4323">
        <v>105.042048</v>
      </c>
    </row>
    <row r="4324" spans="1:4">
      <c r="A4324" t="s">
        <v>5941</v>
      </c>
      <c r="B4324" t="s">
        <v>373</v>
      </c>
      <c r="C4324" t="s">
        <v>7431</v>
      </c>
      <c r="D4324">
        <v>129.596184</v>
      </c>
    </row>
    <row r="4325" spans="1:4">
      <c r="A4325" t="s">
        <v>5942</v>
      </c>
      <c r="B4325" t="s">
        <v>373</v>
      </c>
      <c r="C4325" t="s">
        <v>7317</v>
      </c>
      <c r="D4325">
        <v>6.596868</v>
      </c>
    </row>
    <row r="4326" spans="1:4">
      <c r="A4326" t="s">
        <v>5943</v>
      </c>
      <c r="B4326" t="s">
        <v>373</v>
      </c>
      <c r="C4326" t="s">
        <v>7432</v>
      </c>
      <c r="D4326">
        <v>44.058655</v>
      </c>
    </row>
    <row r="4327" spans="1:4">
      <c r="A4327" t="s">
        <v>5944</v>
      </c>
      <c r="B4327" t="s">
        <v>373</v>
      </c>
      <c r="C4327" t="s">
        <v>7433</v>
      </c>
      <c r="D4327">
        <v>214.234824</v>
      </c>
    </row>
    <row r="4328" spans="1:4">
      <c r="A4328" t="s">
        <v>5945</v>
      </c>
      <c r="B4328" t="s">
        <v>373</v>
      </c>
      <c r="C4328" t="s">
        <v>7434</v>
      </c>
      <c r="D4328">
        <v>9.676463999999999</v>
      </c>
    </row>
    <row r="4329" spans="1:4">
      <c r="A4329" t="s">
        <v>5946</v>
      </c>
      <c r="B4329" t="s">
        <v>373</v>
      </c>
      <c r="C4329" t="s">
        <v>7435</v>
      </c>
      <c r="D4329">
        <v>0.118642</v>
      </c>
    </row>
    <row r="4330" spans="1:4">
      <c r="A4330" t="s">
        <v>5947</v>
      </c>
      <c r="B4330" t="s">
        <v>373</v>
      </c>
      <c r="C4330" t="s">
        <v>7436</v>
      </c>
      <c r="D4330">
        <v>6.914574</v>
      </c>
    </row>
    <row r="4331" spans="1:4">
      <c r="A4331" t="s">
        <v>5948</v>
      </c>
      <c r="B4331" t="s">
        <v>373</v>
      </c>
      <c r="C4331" t="s">
        <v>7437</v>
      </c>
      <c r="D4331">
        <v>0.08523500000000001</v>
      </c>
    </row>
    <row r="4332" spans="1:4">
      <c r="A4332" t="s">
        <v>5949</v>
      </c>
      <c r="B4332" t="s">
        <v>373</v>
      </c>
      <c r="C4332" t="s">
        <v>399</v>
      </c>
      <c r="D4332">
        <v>308.983664</v>
      </c>
    </row>
    <row r="4333" spans="1:4">
      <c r="A4333" t="s">
        <v>5950</v>
      </c>
      <c r="B4333" t="s">
        <v>373</v>
      </c>
      <c r="C4333" t="s">
        <v>7438</v>
      </c>
      <c r="D4333">
        <v>7.723303</v>
      </c>
    </row>
    <row r="4334" spans="1:4">
      <c r="A4334" t="s">
        <v>5951</v>
      </c>
      <c r="B4334" t="s">
        <v>373</v>
      </c>
      <c r="C4334" t="s">
        <v>7439</v>
      </c>
      <c r="D4334">
        <v>0.025861</v>
      </c>
    </row>
    <row r="4335" spans="1:4">
      <c r="A4335" t="s">
        <v>5952</v>
      </c>
      <c r="B4335" t="s">
        <v>373</v>
      </c>
      <c r="C4335" t="s">
        <v>7440</v>
      </c>
      <c r="D4335">
        <v>0.463087</v>
      </c>
    </row>
    <row r="4336" spans="1:4">
      <c r="A4336" t="s">
        <v>5953</v>
      </c>
      <c r="B4336" t="s">
        <v>373</v>
      </c>
      <c r="C4336" t="s">
        <v>7441</v>
      </c>
      <c r="D4336">
        <v>0.011886</v>
      </c>
    </row>
    <row r="4337" spans="1:4">
      <c r="A4337" t="s">
        <v>5954</v>
      </c>
      <c r="B4337" t="s">
        <v>373</v>
      </c>
      <c r="C4337" t="s">
        <v>7442</v>
      </c>
      <c r="D4337">
        <v>2.582054</v>
      </c>
    </row>
    <row r="4338" spans="1:4">
      <c r="A4338" t="s">
        <v>5955</v>
      </c>
      <c r="B4338" t="s">
        <v>373</v>
      </c>
      <c r="C4338" t="s">
        <v>7443</v>
      </c>
      <c r="D4338">
        <v>113.2011</v>
      </c>
    </row>
    <row r="4339" spans="1:4">
      <c r="A4339" t="s">
        <v>5956</v>
      </c>
      <c r="B4339" t="s">
        <v>373</v>
      </c>
      <c r="C4339" t="s">
        <v>7444</v>
      </c>
      <c r="D4339">
        <v>0.538792</v>
      </c>
    </row>
    <row r="4340" spans="1:4">
      <c r="A4340" t="s">
        <v>5957</v>
      </c>
      <c r="B4340" t="s">
        <v>373</v>
      </c>
      <c r="C4340" t="s">
        <v>7445</v>
      </c>
      <c r="D4340">
        <v>114.438553</v>
      </c>
    </row>
    <row r="4341" spans="1:4">
      <c r="A4341" t="s">
        <v>5958</v>
      </c>
      <c r="B4341" t="s">
        <v>373</v>
      </c>
      <c r="C4341" t="s">
        <v>7446</v>
      </c>
      <c r="D4341">
        <v>172.616817</v>
      </c>
    </row>
    <row r="4342" spans="1:4">
      <c r="A4342" t="s">
        <v>5959</v>
      </c>
      <c r="B4342" t="s">
        <v>373</v>
      </c>
      <c r="C4342" t="s">
        <v>7447</v>
      </c>
      <c r="D4342">
        <v>420.335597</v>
      </c>
    </row>
    <row r="4343" spans="1:4">
      <c r="A4343" t="s">
        <v>5960</v>
      </c>
      <c r="B4343" t="s">
        <v>373</v>
      </c>
      <c r="C4343" t="s">
        <v>7448</v>
      </c>
      <c r="D4343">
        <v>0.538792</v>
      </c>
    </row>
    <row r="4344" spans="1:4">
      <c r="A4344" t="s">
        <v>5961</v>
      </c>
      <c r="B4344" t="s">
        <v>373</v>
      </c>
      <c r="C4344" t="s">
        <v>7449</v>
      </c>
      <c r="D4344">
        <v>2.961691</v>
      </c>
    </row>
    <row r="4345" spans="1:4">
      <c r="A4345" t="s">
        <v>5962</v>
      </c>
      <c r="B4345" t="s">
        <v>373</v>
      </c>
      <c r="C4345" t="s">
        <v>7450</v>
      </c>
      <c r="D4345">
        <v>1.300408</v>
      </c>
    </row>
    <row r="4346" spans="1:4">
      <c r="A4346" t="s">
        <v>5963</v>
      </c>
      <c r="B4346" t="s">
        <v>373</v>
      </c>
      <c r="C4346" t="s">
        <v>7318</v>
      </c>
      <c r="D4346">
        <v>19.037237</v>
      </c>
    </row>
    <row r="4347" spans="1:4">
      <c r="A4347" t="s">
        <v>5964</v>
      </c>
      <c r="B4347" t="s">
        <v>373</v>
      </c>
      <c r="C4347" t="s">
        <v>7451</v>
      </c>
      <c r="D4347">
        <v>16.829204</v>
      </c>
    </row>
    <row r="4348" spans="1:4">
      <c r="A4348" t="s">
        <v>5965</v>
      </c>
      <c r="B4348" t="s">
        <v>373</v>
      </c>
      <c r="C4348" t="s">
        <v>7452</v>
      </c>
      <c r="D4348">
        <v>11.509124</v>
      </c>
    </row>
    <row r="4349" spans="1:4">
      <c r="A4349" t="s">
        <v>5966</v>
      </c>
      <c r="B4349" t="s">
        <v>373</v>
      </c>
      <c r="C4349" t="s">
        <v>7453</v>
      </c>
      <c r="D4349">
        <v>11.509124</v>
      </c>
    </row>
    <row r="4350" spans="1:4">
      <c r="A4350" t="s">
        <v>5967</v>
      </c>
      <c r="B4350" t="s">
        <v>374</v>
      </c>
      <c r="C4350" t="s">
        <v>397</v>
      </c>
      <c r="D4350">
        <v>353.153077</v>
      </c>
    </row>
    <row r="4351" spans="1:4">
      <c r="A4351" t="s">
        <v>5968</v>
      </c>
      <c r="B4351" t="s">
        <v>374</v>
      </c>
      <c r="C4351" t="s">
        <v>7319</v>
      </c>
      <c r="D4351">
        <v>84.07585899999999</v>
      </c>
    </row>
    <row r="4352" spans="1:4">
      <c r="A4352" t="s">
        <v>5969</v>
      </c>
      <c r="B4352" t="s">
        <v>374</v>
      </c>
      <c r="C4352" t="s">
        <v>7320</v>
      </c>
      <c r="D4352">
        <v>4.811226</v>
      </c>
    </row>
    <row r="4353" spans="1:4">
      <c r="A4353" t="s">
        <v>5970</v>
      </c>
      <c r="B4353" t="s">
        <v>374</v>
      </c>
      <c r="C4353" t="s">
        <v>7321</v>
      </c>
      <c r="D4353">
        <v>3.760112</v>
      </c>
    </row>
    <row r="4354" spans="1:4">
      <c r="A4354" t="s">
        <v>5971</v>
      </c>
      <c r="B4354" t="s">
        <v>374</v>
      </c>
      <c r="C4354" t="s">
        <v>7322</v>
      </c>
      <c r="D4354">
        <v>0.838261</v>
      </c>
    </row>
    <row r="4355" spans="1:4">
      <c r="A4355" t="s">
        <v>5972</v>
      </c>
      <c r="B4355" t="s">
        <v>374</v>
      </c>
      <c r="C4355" t="s">
        <v>7323</v>
      </c>
      <c r="D4355">
        <v>172.496395</v>
      </c>
    </row>
    <row r="4356" spans="1:4">
      <c r="A4356" t="s">
        <v>5973</v>
      </c>
      <c r="B4356" t="s">
        <v>374</v>
      </c>
      <c r="C4356" t="s">
        <v>7324</v>
      </c>
      <c r="D4356">
        <v>0.333122</v>
      </c>
    </row>
    <row r="4357" spans="1:4">
      <c r="A4357" t="s">
        <v>5974</v>
      </c>
      <c r="B4357" t="s">
        <v>374</v>
      </c>
      <c r="C4357" t="s">
        <v>7325</v>
      </c>
      <c r="D4357">
        <v>0.207424</v>
      </c>
    </row>
    <row r="4358" spans="1:4">
      <c r="A4358" t="s">
        <v>5975</v>
      </c>
      <c r="B4358" t="s">
        <v>374</v>
      </c>
      <c r="C4358" t="s">
        <v>7292</v>
      </c>
      <c r="D4358">
        <v>214.177549</v>
      </c>
    </row>
    <row r="4359" spans="1:4">
      <c r="A4359" t="s">
        <v>5976</v>
      </c>
      <c r="B4359" t="s">
        <v>374</v>
      </c>
      <c r="C4359" t="s">
        <v>7326</v>
      </c>
      <c r="D4359">
        <v>172.496395</v>
      </c>
    </row>
    <row r="4360" spans="1:4">
      <c r="A4360" t="s">
        <v>5977</v>
      </c>
      <c r="B4360" t="s">
        <v>374</v>
      </c>
      <c r="C4360" t="s">
        <v>7327</v>
      </c>
      <c r="D4360">
        <v>181.612097</v>
      </c>
    </row>
    <row r="4361" spans="1:4">
      <c r="A4361" t="s">
        <v>5978</v>
      </c>
      <c r="B4361" t="s">
        <v>374</v>
      </c>
      <c r="C4361" t="s">
        <v>7328</v>
      </c>
      <c r="D4361">
        <v>180.564301</v>
      </c>
    </row>
    <row r="4362" spans="1:4">
      <c r="A4362" t="s">
        <v>5979</v>
      </c>
      <c r="B4362" t="s">
        <v>374</v>
      </c>
      <c r="C4362" t="s">
        <v>7329</v>
      </c>
      <c r="D4362">
        <v>154.384264</v>
      </c>
    </row>
    <row r="4363" spans="1:4">
      <c r="A4363" t="s">
        <v>5980</v>
      </c>
      <c r="B4363" t="s">
        <v>374</v>
      </c>
      <c r="C4363" t="s">
        <v>7330</v>
      </c>
      <c r="D4363">
        <v>2.506074</v>
      </c>
    </row>
    <row r="4364" spans="1:4">
      <c r="A4364" t="s">
        <v>5981</v>
      </c>
      <c r="B4364" t="s">
        <v>374</v>
      </c>
      <c r="C4364" t="s">
        <v>398</v>
      </c>
      <c r="D4364">
        <v>180.564301</v>
      </c>
    </row>
    <row r="4365" spans="1:4">
      <c r="A4365" t="s">
        <v>5982</v>
      </c>
      <c r="B4365" t="s">
        <v>374</v>
      </c>
      <c r="C4365" t="s">
        <v>7331</v>
      </c>
      <c r="D4365">
        <v>821.192648</v>
      </c>
    </row>
    <row r="4366" spans="1:4">
      <c r="A4366" t="s">
        <v>5983</v>
      </c>
      <c r="B4366" t="s">
        <v>374</v>
      </c>
      <c r="C4366" t="s">
        <v>7332</v>
      </c>
      <c r="D4366">
        <v>0.103328</v>
      </c>
    </row>
    <row r="4367" spans="1:4">
      <c r="A4367" t="s">
        <v>5984</v>
      </c>
      <c r="B4367" t="s">
        <v>374</v>
      </c>
      <c r="C4367" t="s">
        <v>7333</v>
      </c>
      <c r="D4367">
        <v>308.768527</v>
      </c>
    </row>
    <row r="4368" spans="1:4">
      <c r="A4368" t="s">
        <v>5985</v>
      </c>
      <c r="B4368" t="s">
        <v>374</v>
      </c>
      <c r="C4368" t="s">
        <v>7334</v>
      </c>
      <c r="D4368">
        <v>239.035903</v>
      </c>
    </row>
    <row r="4369" spans="1:4">
      <c r="A4369" t="s">
        <v>5986</v>
      </c>
      <c r="B4369" t="s">
        <v>374</v>
      </c>
      <c r="C4369" t="s">
        <v>7335</v>
      </c>
      <c r="D4369">
        <v>44.677568</v>
      </c>
    </row>
    <row r="4370" spans="1:4">
      <c r="A4370" t="s">
        <v>5987</v>
      </c>
      <c r="B4370" t="s">
        <v>374</v>
      </c>
      <c r="C4370" t="s">
        <v>7293</v>
      </c>
      <c r="D4370">
        <v>59.471021</v>
      </c>
    </row>
    <row r="4371" spans="1:4">
      <c r="A4371" t="s">
        <v>5988</v>
      </c>
      <c r="B4371" t="s">
        <v>374</v>
      </c>
      <c r="C4371" t="s">
        <v>7336</v>
      </c>
      <c r="D4371">
        <v>308.768527</v>
      </c>
    </row>
    <row r="4372" spans="1:4">
      <c r="A4372" t="s">
        <v>5989</v>
      </c>
      <c r="B4372" t="s">
        <v>374</v>
      </c>
      <c r="C4372" t="s">
        <v>7337</v>
      </c>
      <c r="D4372">
        <v>3.241976</v>
      </c>
    </row>
    <row r="4373" spans="1:4">
      <c r="A4373" t="s">
        <v>5990</v>
      </c>
      <c r="B4373" t="s">
        <v>374</v>
      </c>
      <c r="C4373" t="s">
        <v>7338</v>
      </c>
      <c r="D4373">
        <v>22.602873</v>
      </c>
    </row>
    <row r="4374" spans="1:4">
      <c r="A4374" t="s">
        <v>5991</v>
      </c>
      <c r="B4374" t="s">
        <v>374</v>
      </c>
      <c r="C4374" t="s">
        <v>7339</v>
      </c>
      <c r="D4374">
        <v>106.47198</v>
      </c>
    </row>
    <row r="4375" spans="1:4">
      <c r="A4375" t="s">
        <v>5992</v>
      </c>
      <c r="B4375" t="s">
        <v>374</v>
      </c>
      <c r="C4375" t="s">
        <v>7340</v>
      </c>
      <c r="D4375">
        <v>154.384264</v>
      </c>
    </row>
    <row r="4376" spans="1:4">
      <c r="A4376" t="s">
        <v>5993</v>
      </c>
      <c r="B4376" t="s">
        <v>374</v>
      </c>
      <c r="C4376" t="s">
        <v>7294</v>
      </c>
      <c r="D4376">
        <v>217.404842</v>
      </c>
    </row>
    <row r="4377" spans="1:4">
      <c r="A4377" t="s">
        <v>5994</v>
      </c>
      <c r="B4377" t="s">
        <v>374</v>
      </c>
      <c r="C4377" t="s">
        <v>7341</v>
      </c>
      <c r="D4377">
        <v>0.133516</v>
      </c>
    </row>
    <row r="4378" spans="1:4">
      <c r="A4378" t="s">
        <v>5995</v>
      </c>
      <c r="B4378" t="s">
        <v>374</v>
      </c>
      <c r="C4378" t="s">
        <v>7295</v>
      </c>
      <c r="D4378">
        <v>384.183585</v>
      </c>
    </row>
    <row r="4379" spans="1:4">
      <c r="A4379" t="s">
        <v>5996</v>
      </c>
      <c r="B4379" t="s">
        <v>374</v>
      </c>
      <c r="C4379" t="s">
        <v>7342</v>
      </c>
      <c r="D4379">
        <v>13209.391322</v>
      </c>
    </row>
    <row r="4380" spans="1:4">
      <c r="A4380" t="s">
        <v>5997</v>
      </c>
      <c r="B4380" t="s">
        <v>374</v>
      </c>
      <c r="C4380" t="s">
        <v>7343</v>
      </c>
      <c r="D4380">
        <v>0.334187</v>
      </c>
    </row>
    <row r="4381" spans="1:4">
      <c r="A4381" t="s">
        <v>5998</v>
      </c>
      <c r="B4381" t="s">
        <v>374</v>
      </c>
      <c r="C4381" t="s">
        <v>7344</v>
      </c>
      <c r="D4381">
        <v>45.514778</v>
      </c>
    </row>
    <row r="4382" spans="1:4">
      <c r="A4382" t="s">
        <v>5999</v>
      </c>
      <c r="B4382" t="s">
        <v>374</v>
      </c>
      <c r="C4382" t="s">
        <v>7296</v>
      </c>
      <c r="D4382">
        <v>45.53496</v>
      </c>
    </row>
    <row r="4383" spans="1:4">
      <c r="A4383" t="s">
        <v>6000</v>
      </c>
      <c r="B4383" t="s">
        <v>374</v>
      </c>
      <c r="C4383" t="s">
        <v>7345</v>
      </c>
      <c r="D4383">
        <v>0.09198099999999999</v>
      </c>
    </row>
    <row r="4384" spans="1:4">
      <c r="A4384" t="s">
        <v>6001</v>
      </c>
      <c r="B4384" t="s">
        <v>374</v>
      </c>
      <c r="C4384" t="s">
        <v>7346</v>
      </c>
      <c r="D4384">
        <v>0.678294</v>
      </c>
    </row>
    <row r="4385" spans="1:4">
      <c r="A4385" t="s">
        <v>6002</v>
      </c>
      <c r="B4385" t="s">
        <v>374</v>
      </c>
      <c r="C4385" t="s">
        <v>7347</v>
      </c>
      <c r="D4385">
        <v>12.865358</v>
      </c>
    </row>
    <row r="4386" spans="1:4">
      <c r="A4386" t="s">
        <v>6003</v>
      </c>
      <c r="B4386" t="s">
        <v>374</v>
      </c>
      <c r="C4386" t="s">
        <v>7348</v>
      </c>
      <c r="D4386">
        <v>3.202767</v>
      </c>
    </row>
    <row r="4387" spans="1:4">
      <c r="A4387" t="s">
        <v>6004</v>
      </c>
      <c r="B4387" t="s">
        <v>374</v>
      </c>
      <c r="C4387" t="s">
        <v>7297</v>
      </c>
      <c r="D4387">
        <v>14.601434</v>
      </c>
    </row>
    <row r="4388" spans="1:4">
      <c r="A4388" t="s">
        <v>6005</v>
      </c>
      <c r="B4388" t="s">
        <v>374</v>
      </c>
      <c r="C4388" t="s">
        <v>7349</v>
      </c>
      <c r="D4388">
        <v>1.737378</v>
      </c>
    </row>
    <row r="4389" spans="1:4">
      <c r="A4389" t="s">
        <v>6006</v>
      </c>
      <c r="B4389" t="s">
        <v>374</v>
      </c>
      <c r="C4389" t="s">
        <v>7298</v>
      </c>
      <c r="D4389">
        <v>47.333641</v>
      </c>
    </row>
    <row r="4390" spans="1:4">
      <c r="A4390" t="s">
        <v>6007</v>
      </c>
      <c r="B4390" t="s">
        <v>374</v>
      </c>
      <c r="C4390" t="s">
        <v>7350</v>
      </c>
      <c r="D4390">
        <v>5.221861</v>
      </c>
    </row>
    <row r="4391" spans="1:4">
      <c r="A4391" t="s">
        <v>6008</v>
      </c>
      <c r="B4391" t="s">
        <v>374</v>
      </c>
      <c r="C4391" t="s">
        <v>7351</v>
      </c>
      <c r="D4391">
        <v>2.321056</v>
      </c>
    </row>
    <row r="4392" spans="1:4">
      <c r="A4392" t="s">
        <v>6009</v>
      </c>
      <c r="B4392" t="s">
        <v>374</v>
      </c>
      <c r="C4392" t="s">
        <v>7352</v>
      </c>
      <c r="D4392">
        <v>6.29149</v>
      </c>
    </row>
    <row r="4393" spans="1:4">
      <c r="A4393" t="s">
        <v>6010</v>
      </c>
      <c r="B4393" t="s">
        <v>374</v>
      </c>
      <c r="C4393" t="s">
        <v>7353</v>
      </c>
      <c r="D4393">
        <v>20.584573</v>
      </c>
    </row>
    <row r="4394" spans="1:4">
      <c r="A4394" t="s">
        <v>6011</v>
      </c>
      <c r="B4394" t="s">
        <v>374</v>
      </c>
      <c r="C4394" t="s">
        <v>7354</v>
      </c>
      <c r="D4394">
        <v>1.929067</v>
      </c>
    </row>
    <row r="4395" spans="1:4">
      <c r="A4395" t="s">
        <v>6012</v>
      </c>
      <c r="B4395" t="s">
        <v>374</v>
      </c>
      <c r="C4395" t="s">
        <v>7355</v>
      </c>
      <c r="D4395">
        <v>137.617183</v>
      </c>
    </row>
    <row r="4396" spans="1:4">
      <c r="A4396" t="s">
        <v>6013</v>
      </c>
      <c r="B4396" t="s">
        <v>374</v>
      </c>
      <c r="C4396" t="s">
        <v>7356</v>
      </c>
      <c r="D4396">
        <v>412.208066</v>
      </c>
    </row>
    <row r="4397" spans="1:4">
      <c r="A4397" t="s">
        <v>6014</v>
      </c>
      <c r="B4397" t="s">
        <v>374</v>
      </c>
      <c r="C4397" t="s">
        <v>7357</v>
      </c>
      <c r="D4397">
        <v>47.333647</v>
      </c>
    </row>
    <row r="4398" spans="1:4">
      <c r="A4398" t="s">
        <v>6015</v>
      </c>
      <c r="B4398" t="s">
        <v>374</v>
      </c>
      <c r="C4398" t="s">
        <v>7299</v>
      </c>
      <c r="D4398">
        <v>412.212877</v>
      </c>
    </row>
    <row r="4399" spans="1:4">
      <c r="A4399" t="s">
        <v>6016</v>
      </c>
      <c r="B4399" t="s">
        <v>374</v>
      </c>
      <c r="C4399" t="s">
        <v>7358</v>
      </c>
      <c r="D4399">
        <v>117.122864</v>
      </c>
    </row>
    <row r="4400" spans="1:4">
      <c r="A4400" t="s">
        <v>6017</v>
      </c>
      <c r="B4400" t="s">
        <v>374</v>
      </c>
      <c r="C4400" t="s">
        <v>7359</v>
      </c>
      <c r="D4400">
        <v>412.208066</v>
      </c>
    </row>
    <row r="4401" spans="1:4">
      <c r="A4401" t="s">
        <v>6018</v>
      </c>
      <c r="B4401" t="s">
        <v>374</v>
      </c>
      <c r="C4401" t="s">
        <v>7360</v>
      </c>
      <c r="D4401">
        <v>27.174693</v>
      </c>
    </row>
    <row r="4402" spans="1:4">
      <c r="A4402" t="s">
        <v>6019</v>
      </c>
      <c r="B4402" t="s">
        <v>374</v>
      </c>
      <c r="C4402" t="s">
        <v>7361</v>
      </c>
      <c r="D4402">
        <v>412.208066</v>
      </c>
    </row>
    <row r="4403" spans="1:4">
      <c r="A4403" t="s">
        <v>6020</v>
      </c>
      <c r="B4403" t="s">
        <v>374</v>
      </c>
      <c r="C4403" t="s">
        <v>7362</v>
      </c>
      <c r="D4403">
        <v>4.156809</v>
      </c>
    </row>
    <row r="4404" spans="1:4">
      <c r="A4404" t="s">
        <v>6021</v>
      </c>
      <c r="B4404" t="s">
        <v>374</v>
      </c>
      <c r="C4404" t="s">
        <v>7363</v>
      </c>
      <c r="D4404">
        <v>0.035144</v>
      </c>
    </row>
    <row r="4405" spans="1:4">
      <c r="A4405" t="s">
        <v>6022</v>
      </c>
      <c r="B4405" t="s">
        <v>374</v>
      </c>
      <c r="C4405" t="s">
        <v>7364</v>
      </c>
      <c r="D4405">
        <v>40.491382</v>
      </c>
    </row>
    <row r="4406" spans="1:4">
      <c r="A4406" t="s">
        <v>6023</v>
      </c>
      <c r="B4406" t="s">
        <v>374</v>
      </c>
      <c r="C4406" t="s">
        <v>7365</v>
      </c>
      <c r="D4406">
        <v>1.475708</v>
      </c>
    </row>
    <row r="4407" spans="1:4">
      <c r="A4407" t="s">
        <v>6024</v>
      </c>
      <c r="B4407" t="s">
        <v>374</v>
      </c>
      <c r="C4407" t="s">
        <v>7300</v>
      </c>
      <c r="D4407">
        <v>39.369044</v>
      </c>
    </row>
    <row r="4408" spans="1:4">
      <c r="A4408" t="s">
        <v>6025</v>
      </c>
      <c r="B4408" t="s">
        <v>374</v>
      </c>
      <c r="C4408" t="s">
        <v>7366</v>
      </c>
      <c r="D4408">
        <v>11.560885</v>
      </c>
    </row>
    <row r="4409" spans="1:4">
      <c r="A4409" t="s">
        <v>6026</v>
      </c>
      <c r="B4409" t="s">
        <v>374</v>
      </c>
      <c r="C4409" t="s">
        <v>7367</v>
      </c>
      <c r="D4409">
        <v>46.871468</v>
      </c>
    </row>
    <row r="4410" spans="1:4">
      <c r="A4410" t="s">
        <v>6027</v>
      </c>
      <c r="B4410" t="s">
        <v>374</v>
      </c>
      <c r="C4410" t="s">
        <v>7368</v>
      </c>
      <c r="D4410">
        <v>2.363141</v>
      </c>
    </row>
    <row r="4411" spans="1:4">
      <c r="A4411" t="s">
        <v>6028</v>
      </c>
      <c r="B4411" t="s">
        <v>374</v>
      </c>
      <c r="C4411" t="s">
        <v>7301</v>
      </c>
      <c r="D4411">
        <v>0.017194</v>
      </c>
    </row>
    <row r="4412" spans="1:4">
      <c r="A4412" t="s">
        <v>6029</v>
      </c>
      <c r="B4412" t="s">
        <v>374</v>
      </c>
      <c r="C4412" t="s">
        <v>7302</v>
      </c>
      <c r="D4412">
        <v>102.984401</v>
      </c>
    </row>
    <row r="4413" spans="1:4">
      <c r="A4413" t="s">
        <v>6030</v>
      </c>
      <c r="B4413" t="s">
        <v>374</v>
      </c>
      <c r="C4413" t="s">
        <v>7369</v>
      </c>
      <c r="D4413">
        <v>412.208066</v>
      </c>
    </row>
    <row r="4414" spans="1:4">
      <c r="A4414" t="s">
        <v>6031</v>
      </c>
      <c r="B4414" t="s">
        <v>374</v>
      </c>
      <c r="C4414" t="s">
        <v>7303</v>
      </c>
      <c r="D4414">
        <v>3.241808</v>
      </c>
    </row>
    <row r="4415" spans="1:4">
      <c r="A4415" t="s">
        <v>6032</v>
      </c>
      <c r="B4415" t="s">
        <v>374</v>
      </c>
      <c r="C4415" t="s">
        <v>7370</v>
      </c>
      <c r="D4415">
        <v>0.235913</v>
      </c>
    </row>
    <row r="4416" spans="1:4">
      <c r="A4416" t="s">
        <v>6033</v>
      </c>
      <c r="B4416" t="s">
        <v>374</v>
      </c>
      <c r="C4416" t="s">
        <v>7371</v>
      </c>
      <c r="D4416">
        <v>0.000224</v>
      </c>
    </row>
    <row r="4417" spans="1:4">
      <c r="A4417" t="s">
        <v>6034</v>
      </c>
      <c r="B4417" t="s">
        <v>374</v>
      </c>
      <c r="C4417" t="s">
        <v>7304</v>
      </c>
      <c r="D4417">
        <v>2.453259</v>
      </c>
    </row>
    <row r="4418" spans="1:4">
      <c r="A4418" t="s">
        <v>6035</v>
      </c>
      <c r="B4418" t="s">
        <v>374</v>
      </c>
      <c r="C4418" t="s">
        <v>7372</v>
      </c>
      <c r="D4418">
        <v>412.208066</v>
      </c>
    </row>
    <row r="4419" spans="1:4">
      <c r="A4419" t="s">
        <v>6036</v>
      </c>
      <c r="B4419" t="s">
        <v>374</v>
      </c>
      <c r="C4419" t="s">
        <v>7373</v>
      </c>
      <c r="D4419">
        <v>1.962413</v>
      </c>
    </row>
    <row r="4420" spans="1:4">
      <c r="A4420" t="s">
        <v>6037</v>
      </c>
      <c r="B4420" t="s">
        <v>374</v>
      </c>
      <c r="C4420" t="s">
        <v>7374</v>
      </c>
      <c r="D4420">
        <v>435.498963</v>
      </c>
    </row>
    <row r="4421" spans="1:4">
      <c r="A4421" t="s">
        <v>6038</v>
      </c>
      <c r="B4421" t="s">
        <v>374</v>
      </c>
      <c r="C4421" t="s">
        <v>7305</v>
      </c>
      <c r="D4421">
        <v>1.913202</v>
      </c>
    </row>
    <row r="4422" spans="1:4">
      <c r="A4422" t="s">
        <v>6039</v>
      </c>
      <c r="B4422" t="s">
        <v>374</v>
      </c>
      <c r="C4422" t="s">
        <v>7375</v>
      </c>
      <c r="D4422">
        <v>2.388276</v>
      </c>
    </row>
    <row r="4423" spans="1:4">
      <c r="A4423" t="s">
        <v>6040</v>
      </c>
      <c r="B4423" t="s">
        <v>374</v>
      </c>
      <c r="C4423" t="s">
        <v>7376</v>
      </c>
      <c r="D4423">
        <v>3.529465</v>
      </c>
    </row>
    <row r="4424" spans="1:4">
      <c r="A4424" t="s">
        <v>6041</v>
      </c>
      <c r="B4424" t="s">
        <v>374</v>
      </c>
      <c r="C4424" t="s">
        <v>7377</v>
      </c>
      <c r="D4424">
        <v>0.076295</v>
      </c>
    </row>
    <row r="4425" spans="1:4">
      <c r="A4425" t="s">
        <v>6042</v>
      </c>
      <c r="B4425" t="s">
        <v>374</v>
      </c>
      <c r="C4425" t="s">
        <v>7378</v>
      </c>
      <c r="D4425">
        <v>214.184953</v>
      </c>
    </row>
    <row r="4426" spans="1:4">
      <c r="A4426" t="s">
        <v>6043</v>
      </c>
      <c r="B4426" t="s">
        <v>374</v>
      </c>
      <c r="C4426" t="s">
        <v>7379</v>
      </c>
      <c r="D4426">
        <v>0.717838</v>
      </c>
    </row>
    <row r="4427" spans="1:4">
      <c r="A4427" t="s">
        <v>6044</v>
      </c>
      <c r="B4427" t="s">
        <v>374</v>
      </c>
      <c r="C4427" t="s">
        <v>7306</v>
      </c>
      <c r="D4427">
        <v>0.201582</v>
      </c>
    </row>
    <row r="4428" spans="1:4">
      <c r="A4428" t="s">
        <v>6045</v>
      </c>
      <c r="B4428" t="s">
        <v>374</v>
      </c>
      <c r="C4428" t="s">
        <v>7380</v>
      </c>
      <c r="D4428">
        <v>1000.005881</v>
      </c>
    </row>
    <row r="4429" spans="1:4">
      <c r="A4429" t="s">
        <v>6046</v>
      </c>
      <c r="B4429" t="s">
        <v>374</v>
      </c>
      <c r="C4429" t="s">
        <v>7381</v>
      </c>
      <c r="D4429">
        <v>370.522427</v>
      </c>
    </row>
    <row r="4430" spans="1:4">
      <c r="A4430" t="s">
        <v>6047</v>
      </c>
      <c r="B4430" t="s">
        <v>374</v>
      </c>
      <c r="C4430" t="s">
        <v>7382</v>
      </c>
      <c r="D4430">
        <v>0.65316</v>
      </c>
    </row>
    <row r="4431" spans="1:4">
      <c r="A4431" t="s">
        <v>6048</v>
      </c>
      <c r="B4431" t="s">
        <v>374</v>
      </c>
      <c r="C4431" t="s">
        <v>7383</v>
      </c>
      <c r="D4431">
        <v>0.013959</v>
      </c>
    </row>
    <row r="4432" spans="1:4">
      <c r="A4432" t="s">
        <v>6049</v>
      </c>
      <c r="B4432" t="s">
        <v>374</v>
      </c>
      <c r="C4432" t="s">
        <v>7384</v>
      </c>
      <c r="D4432">
        <v>0.00345</v>
      </c>
    </row>
    <row r="4433" spans="1:4">
      <c r="A4433" t="s">
        <v>6050</v>
      </c>
      <c r="B4433" t="s">
        <v>374</v>
      </c>
      <c r="C4433" t="s">
        <v>7385</v>
      </c>
      <c r="D4433">
        <v>0.9223</v>
      </c>
    </row>
    <row r="4434" spans="1:4">
      <c r="A4434" t="s">
        <v>6051</v>
      </c>
      <c r="B4434" t="s">
        <v>374</v>
      </c>
      <c r="C4434" t="s">
        <v>7386</v>
      </c>
      <c r="D4434">
        <v>1.700203</v>
      </c>
    </row>
    <row r="4435" spans="1:4">
      <c r="A4435" t="s">
        <v>6052</v>
      </c>
      <c r="B4435" t="s">
        <v>374</v>
      </c>
      <c r="C4435" t="s">
        <v>7387</v>
      </c>
      <c r="D4435">
        <v>19.026351</v>
      </c>
    </row>
    <row r="4436" spans="1:4">
      <c r="A4436" t="s">
        <v>6053</v>
      </c>
      <c r="B4436" t="s">
        <v>374</v>
      </c>
      <c r="C4436" t="s">
        <v>7388</v>
      </c>
      <c r="D4436">
        <v>48.178362</v>
      </c>
    </row>
    <row r="4437" spans="1:4">
      <c r="A4437" t="s">
        <v>6054</v>
      </c>
      <c r="B4437" t="s">
        <v>374</v>
      </c>
      <c r="C4437" t="s">
        <v>7389</v>
      </c>
      <c r="D4437">
        <v>32.983567</v>
      </c>
    </row>
    <row r="4438" spans="1:4">
      <c r="A4438" t="s">
        <v>6055</v>
      </c>
      <c r="B4438" t="s">
        <v>374</v>
      </c>
      <c r="C4438" t="s">
        <v>7390</v>
      </c>
      <c r="D4438">
        <v>17.558377</v>
      </c>
    </row>
    <row r="4439" spans="1:4">
      <c r="A4439" t="s">
        <v>6056</v>
      </c>
      <c r="B4439" t="s">
        <v>374</v>
      </c>
      <c r="C4439" t="s">
        <v>7391</v>
      </c>
      <c r="D4439">
        <v>0.072575</v>
      </c>
    </row>
    <row r="4440" spans="1:4">
      <c r="A4440" t="s">
        <v>6057</v>
      </c>
      <c r="B4440" t="s">
        <v>374</v>
      </c>
      <c r="C4440" t="s">
        <v>7392</v>
      </c>
      <c r="D4440">
        <v>5.726525</v>
      </c>
    </row>
    <row r="4441" spans="1:4">
      <c r="A4441" t="s">
        <v>6058</v>
      </c>
      <c r="B4441" t="s">
        <v>374</v>
      </c>
      <c r="C4441" t="s">
        <v>7393</v>
      </c>
      <c r="D4441">
        <v>0.146881</v>
      </c>
    </row>
    <row r="4442" spans="1:4">
      <c r="A4442" t="s">
        <v>6059</v>
      </c>
      <c r="B4442" t="s">
        <v>374</v>
      </c>
      <c r="C4442" t="s">
        <v>7394</v>
      </c>
      <c r="D4442">
        <v>0.08666600000000001</v>
      </c>
    </row>
    <row r="4443" spans="1:4">
      <c r="A4443" t="s">
        <v>6060</v>
      </c>
      <c r="B4443" t="s">
        <v>374</v>
      </c>
      <c r="C4443" t="s">
        <v>7395</v>
      </c>
      <c r="D4443">
        <v>38.220576</v>
      </c>
    </row>
    <row r="4444" spans="1:4">
      <c r="A4444" t="s">
        <v>6061</v>
      </c>
      <c r="B4444" t="s">
        <v>374</v>
      </c>
      <c r="C4444" t="s">
        <v>7396</v>
      </c>
      <c r="D4444">
        <v>7.736928</v>
      </c>
    </row>
    <row r="4445" spans="1:4">
      <c r="A4445" t="s">
        <v>6062</v>
      </c>
      <c r="B4445" t="s">
        <v>374</v>
      </c>
      <c r="C4445" t="s">
        <v>7397</v>
      </c>
      <c r="D4445">
        <v>6.566734</v>
      </c>
    </row>
    <row r="4446" spans="1:4">
      <c r="A4446" t="s">
        <v>6063</v>
      </c>
      <c r="B4446" t="s">
        <v>374</v>
      </c>
      <c r="C4446" t="s">
        <v>7398</v>
      </c>
      <c r="D4446">
        <v>19.97199</v>
      </c>
    </row>
    <row r="4447" spans="1:4">
      <c r="A4447" t="s">
        <v>6064</v>
      </c>
      <c r="B4447" t="s">
        <v>374</v>
      </c>
      <c r="C4447" t="s">
        <v>7399</v>
      </c>
      <c r="D4447">
        <v>0.177471</v>
      </c>
    </row>
    <row r="4448" spans="1:4">
      <c r="A4448" t="s">
        <v>6065</v>
      </c>
      <c r="B4448" t="s">
        <v>374</v>
      </c>
      <c r="C4448" t="s">
        <v>7307</v>
      </c>
      <c r="D4448">
        <v>17.667336</v>
      </c>
    </row>
    <row r="4449" spans="1:4">
      <c r="A4449" t="s">
        <v>6066</v>
      </c>
      <c r="B4449" t="s">
        <v>374</v>
      </c>
      <c r="C4449" t="s">
        <v>7308</v>
      </c>
      <c r="D4449">
        <v>75.82691199999999</v>
      </c>
    </row>
    <row r="4450" spans="1:4">
      <c r="A4450" t="s">
        <v>6067</v>
      </c>
      <c r="B4450" t="s">
        <v>374</v>
      </c>
      <c r="C4450" t="s">
        <v>7400</v>
      </c>
      <c r="D4450">
        <v>4.851364</v>
      </c>
    </row>
    <row r="4451" spans="1:4">
      <c r="A4451" t="s">
        <v>6068</v>
      </c>
      <c r="B4451" t="s">
        <v>374</v>
      </c>
      <c r="C4451" t="s">
        <v>7401</v>
      </c>
      <c r="D4451">
        <v>19.026351</v>
      </c>
    </row>
    <row r="4452" spans="1:4">
      <c r="A4452" t="s">
        <v>6069</v>
      </c>
      <c r="B4452" t="s">
        <v>374</v>
      </c>
      <c r="C4452" t="s">
        <v>7402</v>
      </c>
      <c r="D4452">
        <v>0.22596</v>
      </c>
    </row>
    <row r="4453" spans="1:4">
      <c r="A4453" t="s">
        <v>6070</v>
      </c>
      <c r="B4453" t="s">
        <v>374</v>
      </c>
      <c r="C4453" t="s">
        <v>7403</v>
      </c>
      <c r="D4453">
        <v>8.404916</v>
      </c>
    </row>
    <row r="4454" spans="1:4">
      <c r="A4454" t="s">
        <v>6071</v>
      </c>
      <c r="B4454" t="s">
        <v>374</v>
      </c>
      <c r="C4454" t="s">
        <v>7309</v>
      </c>
      <c r="D4454">
        <v>31.397391</v>
      </c>
    </row>
    <row r="4455" spans="1:4">
      <c r="A4455" t="s">
        <v>6072</v>
      </c>
      <c r="B4455" t="s">
        <v>374</v>
      </c>
      <c r="C4455" t="s">
        <v>7404</v>
      </c>
      <c r="D4455">
        <v>2.026235</v>
      </c>
    </row>
    <row r="4456" spans="1:4">
      <c r="A4456" t="s">
        <v>6073</v>
      </c>
      <c r="B4456" t="s">
        <v>374</v>
      </c>
      <c r="C4456" t="s">
        <v>7310</v>
      </c>
      <c r="D4456">
        <v>176.082539</v>
      </c>
    </row>
    <row r="4457" spans="1:4">
      <c r="A4457" t="s">
        <v>6074</v>
      </c>
      <c r="B4457" t="s">
        <v>374</v>
      </c>
      <c r="C4457" t="s">
        <v>7405</v>
      </c>
      <c r="D4457">
        <v>803.045879</v>
      </c>
    </row>
    <row r="4458" spans="1:4">
      <c r="A4458" t="s">
        <v>6075</v>
      </c>
      <c r="B4458" t="s">
        <v>374</v>
      </c>
      <c r="C4458" t="s">
        <v>7406</v>
      </c>
      <c r="D4458">
        <v>308.768527</v>
      </c>
    </row>
    <row r="4459" spans="1:4">
      <c r="A4459" t="s">
        <v>6076</v>
      </c>
      <c r="B4459" t="s">
        <v>374</v>
      </c>
      <c r="C4459" t="s">
        <v>7407</v>
      </c>
      <c r="D4459">
        <v>90.71754900000001</v>
      </c>
    </row>
    <row r="4460" spans="1:4">
      <c r="A4460" t="s">
        <v>6077</v>
      </c>
      <c r="B4460" t="s">
        <v>374</v>
      </c>
      <c r="C4460" t="s">
        <v>7408</v>
      </c>
      <c r="D4460">
        <v>70.388353</v>
      </c>
    </row>
    <row r="4461" spans="1:4">
      <c r="A4461" t="s">
        <v>6078</v>
      </c>
      <c r="B4461" t="s">
        <v>374</v>
      </c>
      <c r="C4461" t="s">
        <v>7311</v>
      </c>
      <c r="D4461">
        <v>5.026421</v>
      </c>
    </row>
    <row r="4462" spans="1:4">
      <c r="A4462" t="s">
        <v>6079</v>
      </c>
      <c r="B4462" t="s">
        <v>374</v>
      </c>
      <c r="C4462" t="s">
        <v>7409</v>
      </c>
      <c r="D4462">
        <v>1.111559</v>
      </c>
    </row>
    <row r="4463" spans="1:4">
      <c r="A4463" t="s">
        <v>6080</v>
      </c>
      <c r="B4463" t="s">
        <v>374</v>
      </c>
      <c r="C4463" t="s">
        <v>7312</v>
      </c>
      <c r="D4463">
        <v>82.302223</v>
      </c>
    </row>
    <row r="4464" spans="1:4">
      <c r="A4464" t="s">
        <v>6081</v>
      </c>
      <c r="B4464" t="s">
        <v>374</v>
      </c>
      <c r="C4464" t="s">
        <v>7410</v>
      </c>
      <c r="D4464">
        <v>0.051065</v>
      </c>
    </row>
    <row r="4465" spans="1:4">
      <c r="A4465" t="s">
        <v>6082</v>
      </c>
      <c r="B4465" t="s">
        <v>374</v>
      </c>
      <c r="C4465" t="s">
        <v>7411</v>
      </c>
      <c r="D4465">
        <v>84.82654100000001</v>
      </c>
    </row>
    <row r="4466" spans="1:4">
      <c r="A4466" t="s">
        <v>6083</v>
      </c>
      <c r="B4466" t="s">
        <v>374</v>
      </c>
      <c r="C4466" t="s">
        <v>7313</v>
      </c>
      <c r="D4466">
        <v>67.454442</v>
      </c>
    </row>
    <row r="4467" spans="1:4">
      <c r="A4467" t="s">
        <v>6084</v>
      </c>
      <c r="B4467" t="s">
        <v>374</v>
      </c>
      <c r="C4467" t="s">
        <v>7412</v>
      </c>
      <c r="D4467">
        <v>3.009424</v>
      </c>
    </row>
    <row r="4468" spans="1:4">
      <c r="A4468" t="s">
        <v>6085</v>
      </c>
      <c r="B4468" t="s">
        <v>374</v>
      </c>
      <c r="C4468" t="s">
        <v>7413</v>
      </c>
      <c r="D4468">
        <v>3.99317</v>
      </c>
    </row>
    <row r="4469" spans="1:4">
      <c r="A4469" t="s">
        <v>6086</v>
      </c>
      <c r="B4469" t="s">
        <v>374</v>
      </c>
      <c r="C4469" t="s">
        <v>7414</v>
      </c>
      <c r="D4469">
        <v>0.21063</v>
      </c>
    </row>
    <row r="4470" spans="1:4">
      <c r="A4470" t="s">
        <v>6087</v>
      </c>
      <c r="B4470" t="s">
        <v>374</v>
      </c>
      <c r="C4470" t="s">
        <v>7415</v>
      </c>
      <c r="D4470">
        <v>82.33829799999999</v>
      </c>
    </row>
    <row r="4471" spans="1:4">
      <c r="A4471" t="s">
        <v>6088</v>
      </c>
      <c r="B4471" t="s">
        <v>374</v>
      </c>
      <c r="C4471" t="s">
        <v>7416</v>
      </c>
      <c r="D4471">
        <v>38.294381</v>
      </c>
    </row>
    <row r="4472" spans="1:4">
      <c r="A4472" t="s">
        <v>6089</v>
      </c>
      <c r="B4472" t="s">
        <v>374</v>
      </c>
      <c r="C4472" t="s">
        <v>7417</v>
      </c>
      <c r="D4472">
        <v>21.705976</v>
      </c>
    </row>
    <row r="4473" spans="1:4">
      <c r="A4473" t="s">
        <v>6090</v>
      </c>
      <c r="B4473" t="s">
        <v>374</v>
      </c>
      <c r="C4473" t="s">
        <v>7418</v>
      </c>
      <c r="D4473">
        <v>0.690672</v>
      </c>
    </row>
    <row r="4474" spans="1:4">
      <c r="A4474" t="s">
        <v>6091</v>
      </c>
      <c r="B4474" t="s">
        <v>374</v>
      </c>
      <c r="C4474" t="s">
        <v>7314</v>
      </c>
      <c r="D4474">
        <v>32.00622</v>
      </c>
    </row>
    <row r="4475" spans="1:4">
      <c r="A4475" t="s">
        <v>6092</v>
      </c>
      <c r="B4475" t="s">
        <v>374</v>
      </c>
      <c r="C4475" t="s">
        <v>7315</v>
      </c>
      <c r="D4475">
        <v>239.041404</v>
      </c>
    </row>
    <row r="4476" spans="1:4">
      <c r="A4476" t="s">
        <v>6093</v>
      </c>
      <c r="B4476" t="s">
        <v>374</v>
      </c>
      <c r="C4476" t="s">
        <v>7419</v>
      </c>
      <c r="D4476">
        <v>412.208066</v>
      </c>
    </row>
    <row r="4477" spans="1:4">
      <c r="A4477" t="s">
        <v>6094</v>
      </c>
      <c r="B4477" t="s">
        <v>374</v>
      </c>
      <c r="C4477" t="s">
        <v>7420</v>
      </c>
      <c r="D4477">
        <v>12.677802</v>
      </c>
    </row>
    <row r="4478" spans="1:4">
      <c r="A4478" t="s">
        <v>6095</v>
      </c>
      <c r="B4478" t="s">
        <v>374</v>
      </c>
      <c r="C4478" t="s">
        <v>7421</v>
      </c>
      <c r="D4478">
        <v>0.012677</v>
      </c>
    </row>
    <row r="4479" spans="1:4">
      <c r="A4479" t="s">
        <v>6096</v>
      </c>
      <c r="B4479" t="s">
        <v>374</v>
      </c>
      <c r="C4479" t="s">
        <v>7422</v>
      </c>
      <c r="D4479">
        <v>0.540089</v>
      </c>
    </row>
    <row r="4480" spans="1:4">
      <c r="A4480" t="s">
        <v>6097</v>
      </c>
      <c r="B4480" t="s">
        <v>374</v>
      </c>
      <c r="C4480" t="s">
        <v>7423</v>
      </c>
      <c r="D4480">
        <v>8.195703</v>
      </c>
    </row>
    <row r="4481" spans="1:4">
      <c r="A4481" t="s">
        <v>6098</v>
      </c>
      <c r="B4481" t="s">
        <v>374</v>
      </c>
      <c r="C4481" t="s">
        <v>7424</v>
      </c>
      <c r="D4481">
        <v>0.065522</v>
      </c>
    </row>
    <row r="4482" spans="1:4">
      <c r="A4482" t="s">
        <v>6099</v>
      </c>
      <c r="B4482" t="s">
        <v>374</v>
      </c>
      <c r="C4482" t="s">
        <v>7425</v>
      </c>
      <c r="D4482">
        <v>14.414411</v>
      </c>
    </row>
    <row r="4483" spans="1:4">
      <c r="A4483" t="s">
        <v>6100</v>
      </c>
      <c r="B4483" t="s">
        <v>374</v>
      </c>
      <c r="C4483" t="s">
        <v>7426</v>
      </c>
      <c r="D4483">
        <v>2.748628</v>
      </c>
    </row>
    <row r="4484" spans="1:4">
      <c r="A4484" t="s">
        <v>6101</v>
      </c>
      <c r="B4484" t="s">
        <v>374</v>
      </c>
      <c r="C4484" t="s">
        <v>7427</v>
      </c>
      <c r="D4484">
        <v>19.026351</v>
      </c>
    </row>
    <row r="4485" spans="1:4">
      <c r="A4485" t="s">
        <v>6102</v>
      </c>
      <c r="B4485" t="s">
        <v>374</v>
      </c>
      <c r="C4485" t="s">
        <v>7316</v>
      </c>
      <c r="D4485">
        <v>9.309021</v>
      </c>
    </row>
    <row r="4486" spans="1:4">
      <c r="A4486" t="s">
        <v>6103</v>
      </c>
      <c r="B4486" t="s">
        <v>374</v>
      </c>
      <c r="C4486" t="s">
        <v>7428</v>
      </c>
      <c r="D4486">
        <v>33.302771</v>
      </c>
    </row>
    <row r="4487" spans="1:4">
      <c r="A4487" t="s">
        <v>6104</v>
      </c>
      <c r="B4487" t="s">
        <v>374</v>
      </c>
      <c r="C4487" t="s">
        <v>7429</v>
      </c>
      <c r="D4487">
        <v>88.20214</v>
      </c>
    </row>
    <row r="4488" spans="1:4">
      <c r="A4488" t="s">
        <v>6105</v>
      </c>
      <c r="B4488" t="s">
        <v>374</v>
      </c>
      <c r="C4488" t="s">
        <v>7430</v>
      </c>
      <c r="D4488">
        <v>104.96931</v>
      </c>
    </row>
    <row r="4489" spans="1:4">
      <c r="A4489" t="s">
        <v>6106</v>
      </c>
      <c r="B4489" t="s">
        <v>374</v>
      </c>
      <c r="C4489" t="s">
        <v>7431</v>
      </c>
      <c r="D4489">
        <v>129.247188</v>
      </c>
    </row>
    <row r="4490" spans="1:4">
      <c r="A4490" t="s">
        <v>6107</v>
      </c>
      <c r="B4490" t="s">
        <v>374</v>
      </c>
      <c r="C4490" t="s">
        <v>7317</v>
      </c>
      <c r="D4490">
        <v>6.594091</v>
      </c>
    </row>
    <row r="4491" spans="1:4">
      <c r="A4491" t="s">
        <v>6108</v>
      </c>
      <c r="B4491" t="s">
        <v>374</v>
      </c>
      <c r="C4491" t="s">
        <v>7432</v>
      </c>
      <c r="D4491">
        <v>45.391143</v>
      </c>
    </row>
    <row r="4492" spans="1:4">
      <c r="A4492" t="s">
        <v>6109</v>
      </c>
      <c r="B4492" t="s">
        <v>374</v>
      </c>
      <c r="C4492" t="s">
        <v>7433</v>
      </c>
      <c r="D4492">
        <v>214.184953</v>
      </c>
    </row>
    <row r="4493" spans="1:4">
      <c r="A4493" t="s">
        <v>6110</v>
      </c>
      <c r="B4493" t="s">
        <v>374</v>
      </c>
      <c r="C4493" t="s">
        <v>7434</v>
      </c>
      <c r="D4493">
        <v>9.666997</v>
      </c>
    </row>
    <row r="4494" spans="1:4">
      <c r="A4494" t="s">
        <v>6111</v>
      </c>
      <c r="B4494" t="s">
        <v>374</v>
      </c>
      <c r="C4494" t="s">
        <v>7435</v>
      </c>
      <c r="D4494">
        <v>0.117837</v>
      </c>
    </row>
    <row r="4495" spans="1:4">
      <c r="A4495" t="s">
        <v>6112</v>
      </c>
      <c r="B4495" t="s">
        <v>374</v>
      </c>
      <c r="C4495" t="s">
        <v>7436</v>
      </c>
      <c r="D4495">
        <v>6.924023</v>
      </c>
    </row>
    <row r="4496" spans="1:4">
      <c r="A4496" t="s">
        <v>6113</v>
      </c>
      <c r="B4496" t="s">
        <v>374</v>
      </c>
      <c r="C4496" t="s">
        <v>7437</v>
      </c>
      <c r="D4496">
        <v>0.084622</v>
      </c>
    </row>
    <row r="4497" spans="1:4">
      <c r="A4497" t="s">
        <v>6114</v>
      </c>
      <c r="B4497" t="s">
        <v>374</v>
      </c>
      <c r="C4497" t="s">
        <v>399</v>
      </c>
      <c r="D4497">
        <v>308.768527</v>
      </c>
    </row>
    <row r="4498" spans="1:4">
      <c r="A4498" t="s">
        <v>6115</v>
      </c>
      <c r="B4498" t="s">
        <v>374</v>
      </c>
      <c r="C4498" t="s">
        <v>7438</v>
      </c>
      <c r="D4498">
        <v>7.703066</v>
      </c>
    </row>
    <row r="4499" spans="1:4">
      <c r="A4499" t="s">
        <v>6116</v>
      </c>
      <c r="B4499" t="s">
        <v>374</v>
      </c>
      <c r="C4499" t="s">
        <v>7439</v>
      </c>
      <c r="D4499">
        <v>0.026013</v>
      </c>
    </row>
    <row r="4500" spans="1:4">
      <c r="A4500" t="s">
        <v>6117</v>
      </c>
      <c r="B4500" t="s">
        <v>374</v>
      </c>
      <c r="C4500" t="s">
        <v>7440</v>
      </c>
      <c r="D4500">
        <v>0.462732</v>
      </c>
    </row>
    <row r="4501" spans="1:4">
      <c r="A4501" t="s">
        <v>6118</v>
      </c>
      <c r="B4501" t="s">
        <v>374</v>
      </c>
      <c r="C4501" t="s">
        <v>7441</v>
      </c>
      <c r="D4501">
        <v>0.011781</v>
      </c>
    </row>
    <row r="4502" spans="1:4">
      <c r="A4502" t="s">
        <v>6119</v>
      </c>
      <c r="B4502" t="s">
        <v>374</v>
      </c>
      <c r="C4502" t="s">
        <v>7442</v>
      </c>
      <c r="D4502">
        <v>2.581252</v>
      </c>
    </row>
    <row r="4503" spans="1:4">
      <c r="A4503" t="s">
        <v>6120</v>
      </c>
      <c r="B4503" t="s">
        <v>374</v>
      </c>
      <c r="C4503" t="s">
        <v>7443</v>
      </c>
      <c r="D4503">
        <v>112.659973</v>
      </c>
    </row>
    <row r="4504" spans="1:4">
      <c r="A4504" t="s">
        <v>6121</v>
      </c>
      <c r="B4504" t="s">
        <v>374</v>
      </c>
      <c r="C4504" t="s">
        <v>7444</v>
      </c>
      <c r="D4504">
        <v>0.538378</v>
      </c>
    </row>
    <row r="4505" spans="1:4">
      <c r="A4505" t="s">
        <v>6122</v>
      </c>
      <c r="B4505" t="s">
        <v>374</v>
      </c>
      <c r="C4505" t="s">
        <v>7445</v>
      </c>
      <c r="D4505">
        <v>114.358747</v>
      </c>
    </row>
    <row r="4506" spans="1:4">
      <c r="A4506" t="s">
        <v>6123</v>
      </c>
      <c r="B4506" t="s">
        <v>374</v>
      </c>
      <c r="C4506" t="s">
        <v>7446</v>
      </c>
      <c r="D4506">
        <v>172.496395</v>
      </c>
    </row>
    <row r="4507" spans="1:4">
      <c r="A4507" t="s">
        <v>6124</v>
      </c>
      <c r="B4507" t="s">
        <v>374</v>
      </c>
      <c r="C4507" t="s">
        <v>7447</v>
      </c>
      <c r="D4507">
        <v>420.011818</v>
      </c>
    </row>
    <row r="4508" spans="1:4">
      <c r="A4508" t="s">
        <v>6125</v>
      </c>
      <c r="B4508" t="s">
        <v>374</v>
      </c>
      <c r="C4508" t="s">
        <v>7448</v>
      </c>
      <c r="D4508">
        <v>0.538378</v>
      </c>
    </row>
    <row r="4509" spans="1:4">
      <c r="A4509" t="s">
        <v>6126</v>
      </c>
      <c r="B4509" t="s">
        <v>374</v>
      </c>
      <c r="C4509" t="s">
        <v>7449</v>
      </c>
      <c r="D4509">
        <v>2.959416</v>
      </c>
    </row>
    <row r="4510" spans="1:4">
      <c r="A4510" t="s">
        <v>6127</v>
      </c>
      <c r="B4510" t="s">
        <v>374</v>
      </c>
      <c r="C4510" t="s">
        <v>7450</v>
      </c>
      <c r="D4510">
        <v>1.299971</v>
      </c>
    </row>
    <row r="4511" spans="1:4">
      <c r="A4511" t="s">
        <v>6128</v>
      </c>
      <c r="B4511" t="s">
        <v>374</v>
      </c>
      <c r="C4511" t="s">
        <v>7318</v>
      </c>
      <c r="D4511">
        <v>19.026428</v>
      </c>
    </row>
    <row r="4512" spans="1:4">
      <c r="A4512" t="s">
        <v>6129</v>
      </c>
      <c r="B4512" t="s">
        <v>374</v>
      </c>
      <c r="C4512" t="s">
        <v>7451</v>
      </c>
      <c r="D4512">
        <v>16.757578</v>
      </c>
    </row>
    <row r="4513" spans="1:4">
      <c r="A4513" t="s">
        <v>6130</v>
      </c>
      <c r="B4513" t="s">
        <v>374</v>
      </c>
      <c r="C4513" t="s">
        <v>7452</v>
      </c>
      <c r="D4513">
        <v>11.500286</v>
      </c>
    </row>
    <row r="4514" spans="1:4">
      <c r="A4514" t="s">
        <v>6131</v>
      </c>
      <c r="B4514" t="s">
        <v>374</v>
      </c>
      <c r="C4514" t="s">
        <v>7453</v>
      </c>
      <c r="D4514">
        <v>11.500286</v>
      </c>
    </row>
    <row r="4515" spans="1:4">
      <c r="A4515" t="s">
        <v>6132</v>
      </c>
      <c r="B4515" t="s">
        <v>375</v>
      </c>
      <c r="C4515" t="s">
        <v>397</v>
      </c>
      <c r="D4515">
        <v>359.105926</v>
      </c>
    </row>
    <row r="4516" spans="1:4">
      <c r="A4516" t="s">
        <v>6133</v>
      </c>
      <c r="B4516" t="s">
        <v>375</v>
      </c>
      <c r="C4516" t="s">
        <v>7319</v>
      </c>
      <c r="D4516">
        <v>85.67247</v>
      </c>
    </row>
    <row r="4517" spans="1:4">
      <c r="A4517" t="s">
        <v>6134</v>
      </c>
      <c r="B4517" t="s">
        <v>375</v>
      </c>
      <c r="C4517" t="s">
        <v>7320</v>
      </c>
      <c r="D4517">
        <v>4.838869</v>
      </c>
    </row>
    <row r="4518" spans="1:4">
      <c r="A4518" t="s">
        <v>6135</v>
      </c>
      <c r="B4518" t="s">
        <v>375</v>
      </c>
      <c r="C4518" t="s">
        <v>7321</v>
      </c>
      <c r="D4518">
        <v>3.827586</v>
      </c>
    </row>
    <row r="4519" spans="1:4">
      <c r="A4519" t="s">
        <v>6136</v>
      </c>
      <c r="B4519" t="s">
        <v>375</v>
      </c>
      <c r="C4519" t="s">
        <v>7322</v>
      </c>
      <c r="D4519">
        <v>0.857008</v>
      </c>
    </row>
    <row r="4520" spans="1:4">
      <c r="A4520" t="s">
        <v>6137</v>
      </c>
      <c r="B4520" t="s">
        <v>375</v>
      </c>
      <c r="C4520" t="s">
        <v>7323</v>
      </c>
      <c r="D4520">
        <v>175.772191</v>
      </c>
    </row>
    <row r="4521" spans="1:4">
      <c r="A4521" t="s">
        <v>6138</v>
      </c>
      <c r="B4521" t="s">
        <v>375</v>
      </c>
      <c r="C4521" t="s">
        <v>7324</v>
      </c>
      <c r="D4521">
        <v>0.328816</v>
      </c>
    </row>
    <row r="4522" spans="1:4">
      <c r="A4522" t="s">
        <v>6139</v>
      </c>
      <c r="B4522" t="s">
        <v>375</v>
      </c>
      <c r="C4522" t="s">
        <v>7325</v>
      </c>
      <c r="D4522">
        <v>0.211035</v>
      </c>
    </row>
    <row r="4523" spans="1:4">
      <c r="A4523" t="s">
        <v>6140</v>
      </c>
      <c r="B4523" t="s">
        <v>375</v>
      </c>
      <c r="C4523" t="s">
        <v>7292</v>
      </c>
      <c r="D4523">
        <v>217.982253</v>
      </c>
    </row>
    <row r="4524" spans="1:4">
      <c r="A4524" t="s">
        <v>6141</v>
      </c>
      <c r="B4524" t="s">
        <v>375</v>
      </c>
      <c r="C4524" t="s">
        <v>7326</v>
      </c>
      <c r="D4524">
        <v>175.772191</v>
      </c>
    </row>
    <row r="4525" spans="1:4">
      <c r="A4525" t="s">
        <v>6142</v>
      </c>
      <c r="B4525" t="s">
        <v>375</v>
      </c>
      <c r="C4525" t="s">
        <v>7327</v>
      </c>
      <c r="D4525">
        <v>185.141076</v>
      </c>
    </row>
    <row r="4526" spans="1:4">
      <c r="A4526" t="s">
        <v>6143</v>
      </c>
      <c r="B4526" t="s">
        <v>375</v>
      </c>
      <c r="C4526" t="s">
        <v>7328</v>
      </c>
      <c r="D4526">
        <v>183.607944</v>
      </c>
    </row>
    <row r="4527" spans="1:4">
      <c r="A4527" t="s">
        <v>6144</v>
      </c>
      <c r="B4527" t="s">
        <v>375</v>
      </c>
      <c r="C4527" t="s">
        <v>7329</v>
      </c>
      <c r="D4527">
        <v>157.316097</v>
      </c>
    </row>
    <row r="4528" spans="1:4">
      <c r="A4528" t="s">
        <v>6145</v>
      </c>
      <c r="B4528" t="s">
        <v>375</v>
      </c>
      <c r="C4528" t="s">
        <v>7330</v>
      </c>
      <c r="D4528">
        <v>2.550899</v>
      </c>
    </row>
    <row r="4529" spans="1:4">
      <c r="A4529" t="s">
        <v>6146</v>
      </c>
      <c r="B4529" t="s">
        <v>375</v>
      </c>
      <c r="C4529" t="s">
        <v>398</v>
      </c>
      <c r="D4529">
        <v>183.607944</v>
      </c>
    </row>
    <row r="4530" spans="1:4">
      <c r="A4530" t="s">
        <v>6147</v>
      </c>
      <c r="B4530" t="s">
        <v>375</v>
      </c>
      <c r="C4530" t="s">
        <v>7331</v>
      </c>
      <c r="D4530">
        <v>836.788068</v>
      </c>
    </row>
    <row r="4531" spans="1:4">
      <c r="A4531" t="s">
        <v>6148</v>
      </c>
      <c r="B4531" t="s">
        <v>375</v>
      </c>
      <c r="C4531" t="s">
        <v>7332</v>
      </c>
      <c r="D4531">
        <v>0.10512</v>
      </c>
    </row>
    <row r="4532" spans="1:4">
      <c r="A4532" t="s">
        <v>6149</v>
      </c>
      <c r="B4532" t="s">
        <v>375</v>
      </c>
      <c r="C4532" t="s">
        <v>7333</v>
      </c>
      <c r="D4532">
        <v>314.632056</v>
      </c>
    </row>
    <row r="4533" spans="1:4">
      <c r="A4533" t="s">
        <v>6150</v>
      </c>
      <c r="B4533" t="s">
        <v>375</v>
      </c>
      <c r="C4533" t="s">
        <v>7334</v>
      </c>
      <c r="D4533">
        <v>243.169018</v>
      </c>
    </row>
    <row r="4534" spans="1:4">
      <c r="A4534" t="s">
        <v>6151</v>
      </c>
      <c r="B4534" t="s">
        <v>375</v>
      </c>
      <c r="C4534" t="s">
        <v>7335</v>
      </c>
      <c r="D4534">
        <v>31.74781</v>
      </c>
    </row>
    <row r="4535" spans="1:4">
      <c r="A4535" t="s">
        <v>6152</v>
      </c>
      <c r="B4535" t="s">
        <v>375</v>
      </c>
      <c r="C4535" t="s">
        <v>7293</v>
      </c>
      <c r="D4535">
        <v>61.050259</v>
      </c>
    </row>
    <row r="4536" spans="1:4">
      <c r="A4536" t="s">
        <v>6153</v>
      </c>
      <c r="B4536" t="s">
        <v>375</v>
      </c>
      <c r="C4536" t="s">
        <v>7336</v>
      </c>
      <c r="D4536">
        <v>314.632056</v>
      </c>
    </row>
    <row r="4537" spans="1:4">
      <c r="A4537" t="s">
        <v>6154</v>
      </c>
      <c r="B4537" t="s">
        <v>375</v>
      </c>
      <c r="C4537" t="s">
        <v>7337</v>
      </c>
      <c r="D4537">
        <v>3.294389</v>
      </c>
    </row>
    <row r="4538" spans="1:4">
      <c r="A4538" t="s">
        <v>6155</v>
      </c>
      <c r="B4538" t="s">
        <v>375</v>
      </c>
      <c r="C4538" t="s">
        <v>7338</v>
      </c>
      <c r="D4538">
        <v>22.286231</v>
      </c>
    </row>
    <row r="4539" spans="1:4">
      <c r="A4539" t="s">
        <v>6156</v>
      </c>
      <c r="B4539" t="s">
        <v>375</v>
      </c>
      <c r="C4539" t="s">
        <v>7339</v>
      </c>
      <c r="D4539">
        <v>109.855045</v>
      </c>
    </row>
    <row r="4540" spans="1:4">
      <c r="A4540" t="s">
        <v>6157</v>
      </c>
      <c r="B4540" t="s">
        <v>375</v>
      </c>
      <c r="C4540" t="s">
        <v>7340</v>
      </c>
      <c r="D4540">
        <v>157.316097</v>
      </c>
    </row>
    <row r="4541" spans="1:4">
      <c r="A4541" t="s">
        <v>6158</v>
      </c>
      <c r="B4541" t="s">
        <v>375</v>
      </c>
      <c r="C4541" t="s">
        <v>7294</v>
      </c>
      <c r="D4541">
        <v>221.968887</v>
      </c>
    </row>
    <row r="4542" spans="1:4">
      <c r="A4542" t="s">
        <v>6159</v>
      </c>
      <c r="B4542" t="s">
        <v>375</v>
      </c>
      <c r="C4542" t="s">
        <v>7341</v>
      </c>
      <c r="D4542">
        <v>0.137003</v>
      </c>
    </row>
    <row r="4543" spans="1:4">
      <c r="A4543" t="s">
        <v>6160</v>
      </c>
      <c r="B4543" t="s">
        <v>375</v>
      </c>
      <c r="C4543" t="s">
        <v>7295</v>
      </c>
      <c r="D4543">
        <v>389.057519</v>
      </c>
    </row>
    <row r="4544" spans="1:4">
      <c r="A4544" t="s">
        <v>6161</v>
      </c>
      <c r="B4544" t="s">
        <v>375</v>
      </c>
      <c r="C4544" t="s">
        <v>7342</v>
      </c>
      <c r="D4544">
        <v>13397.475228</v>
      </c>
    </row>
    <row r="4545" spans="1:4">
      <c r="A4545" t="s">
        <v>6162</v>
      </c>
      <c r="B4545" t="s">
        <v>375</v>
      </c>
      <c r="C4545" t="s">
        <v>7343</v>
      </c>
      <c r="D4545">
        <v>0.33895</v>
      </c>
    </row>
    <row r="4546" spans="1:4">
      <c r="A4546" t="s">
        <v>6163</v>
      </c>
      <c r="B4546" t="s">
        <v>375</v>
      </c>
      <c r="C4546" t="s">
        <v>7344</v>
      </c>
      <c r="D4546">
        <v>46.237467</v>
      </c>
    </row>
    <row r="4547" spans="1:4">
      <c r="A4547" t="s">
        <v>6164</v>
      </c>
      <c r="B4547" t="s">
        <v>375</v>
      </c>
      <c r="C4547" t="s">
        <v>7296</v>
      </c>
      <c r="D4547">
        <v>46.220322</v>
      </c>
    </row>
    <row r="4548" spans="1:4">
      <c r="A4548" t="s">
        <v>6165</v>
      </c>
      <c r="B4548" t="s">
        <v>375</v>
      </c>
      <c r="C4548" t="s">
        <v>7345</v>
      </c>
      <c r="D4548">
        <v>0.094262</v>
      </c>
    </row>
    <row r="4549" spans="1:4">
      <c r="A4549" t="s">
        <v>6166</v>
      </c>
      <c r="B4549" t="s">
        <v>375</v>
      </c>
      <c r="C4549" t="s">
        <v>7346</v>
      </c>
      <c r="D4549">
        <v>0.691178</v>
      </c>
    </row>
    <row r="4550" spans="1:4">
      <c r="A4550" t="s">
        <v>6167</v>
      </c>
      <c r="B4550" t="s">
        <v>375</v>
      </c>
      <c r="C4550" t="s">
        <v>7347</v>
      </c>
      <c r="D4550">
        <v>13.109674</v>
      </c>
    </row>
    <row r="4551" spans="1:4">
      <c r="A4551" t="s">
        <v>6168</v>
      </c>
      <c r="B4551" t="s">
        <v>375</v>
      </c>
      <c r="C4551" t="s">
        <v>7348</v>
      </c>
      <c r="D4551">
        <v>3.256754</v>
      </c>
    </row>
    <row r="4552" spans="1:4">
      <c r="A4552" t="s">
        <v>6169</v>
      </c>
      <c r="B4552" t="s">
        <v>375</v>
      </c>
      <c r="C4552" t="s">
        <v>7297</v>
      </c>
      <c r="D4552">
        <v>14.800986</v>
      </c>
    </row>
    <row r="4553" spans="1:4">
      <c r="A4553" t="s">
        <v>6170</v>
      </c>
      <c r="B4553" t="s">
        <v>375</v>
      </c>
      <c r="C4553" t="s">
        <v>7349</v>
      </c>
      <c r="D4553">
        <v>1.770371</v>
      </c>
    </row>
    <row r="4554" spans="1:4">
      <c r="A4554" t="s">
        <v>6171</v>
      </c>
      <c r="B4554" t="s">
        <v>375</v>
      </c>
      <c r="C4554" t="s">
        <v>7298</v>
      </c>
      <c r="D4554">
        <v>48.113319</v>
      </c>
    </row>
    <row r="4555" spans="1:4">
      <c r="A4555" t="s">
        <v>6172</v>
      </c>
      <c r="B4555" t="s">
        <v>375</v>
      </c>
      <c r="C4555" t="s">
        <v>7350</v>
      </c>
      <c r="D4555">
        <v>5.329349</v>
      </c>
    </row>
    <row r="4556" spans="1:4">
      <c r="A4556" t="s">
        <v>6173</v>
      </c>
      <c r="B4556" t="s">
        <v>375</v>
      </c>
      <c r="C4556" t="s">
        <v>7351</v>
      </c>
      <c r="D4556">
        <v>2.364647</v>
      </c>
    </row>
    <row r="4557" spans="1:4">
      <c r="A4557" t="s">
        <v>6174</v>
      </c>
      <c r="B4557" t="s">
        <v>375</v>
      </c>
      <c r="C4557" t="s">
        <v>7352</v>
      </c>
      <c r="D4557">
        <v>6.343361</v>
      </c>
    </row>
    <row r="4558" spans="1:4">
      <c r="A4558" t="s">
        <v>6175</v>
      </c>
      <c r="B4558" t="s">
        <v>375</v>
      </c>
      <c r="C4558" t="s">
        <v>7353</v>
      </c>
      <c r="D4558">
        <v>20.975478</v>
      </c>
    </row>
    <row r="4559" spans="1:4">
      <c r="A4559" t="s">
        <v>6176</v>
      </c>
      <c r="B4559" t="s">
        <v>375</v>
      </c>
      <c r="C4559" t="s">
        <v>7354</v>
      </c>
      <c r="D4559">
        <v>1.935293</v>
      </c>
    </row>
    <row r="4560" spans="1:4">
      <c r="A4560" t="s">
        <v>6177</v>
      </c>
      <c r="B4560" t="s">
        <v>375</v>
      </c>
      <c r="C4560" t="s">
        <v>7355</v>
      </c>
      <c r="D4560">
        <v>140.813042</v>
      </c>
    </row>
    <row r="4561" spans="1:4">
      <c r="A4561" t="s">
        <v>6178</v>
      </c>
      <c r="B4561" t="s">
        <v>375</v>
      </c>
      <c r="C4561" t="s">
        <v>7356</v>
      </c>
      <c r="D4561">
        <v>420.794876</v>
      </c>
    </row>
    <row r="4562" spans="1:4">
      <c r="A4562" t="s">
        <v>6179</v>
      </c>
      <c r="B4562" t="s">
        <v>375</v>
      </c>
      <c r="C4562" t="s">
        <v>7357</v>
      </c>
      <c r="D4562">
        <v>48.113331</v>
      </c>
    </row>
    <row r="4563" spans="1:4">
      <c r="A4563" t="s">
        <v>6180</v>
      </c>
      <c r="B4563" t="s">
        <v>375</v>
      </c>
      <c r="C4563" t="s">
        <v>7299</v>
      </c>
      <c r="D4563">
        <v>420.790438</v>
      </c>
    </row>
    <row r="4564" spans="1:4">
      <c r="A4564" t="s">
        <v>6181</v>
      </c>
      <c r="B4564" t="s">
        <v>375</v>
      </c>
      <c r="C4564" t="s">
        <v>7358</v>
      </c>
      <c r="D4564">
        <v>119.437739</v>
      </c>
    </row>
    <row r="4565" spans="1:4">
      <c r="A4565" t="s">
        <v>6182</v>
      </c>
      <c r="B4565" t="s">
        <v>375</v>
      </c>
      <c r="C4565" t="s">
        <v>7359</v>
      </c>
      <c r="D4565">
        <v>420.794876</v>
      </c>
    </row>
    <row r="4566" spans="1:4">
      <c r="A4566" t="s">
        <v>6183</v>
      </c>
      <c r="B4566" t="s">
        <v>375</v>
      </c>
      <c r="C4566" t="s">
        <v>7360</v>
      </c>
      <c r="D4566">
        <v>27.551312</v>
      </c>
    </row>
    <row r="4567" spans="1:4">
      <c r="A4567" t="s">
        <v>6184</v>
      </c>
      <c r="B4567" t="s">
        <v>375</v>
      </c>
      <c r="C4567" t="s">
        <v>7361</v>
      </c>
      <c r="D4567">
        <v>420.794876</v>
      </c>
    </row>
    <row r="4568" spans="1:4">
      <c r="A4568" t="s">
        <v>6185</v>
      </c>
      <c r="B4568" t="s">
        <v>375</v>
      </c>
      <c r="C4568" t="s">
        <v>7362</v>
      </c>
      <c r="D4568">
        <v>4.236411</v>
      </c>
    </row>
    <row r="4569" spans="1:4">
      <c r="A4569" t="s">
        <v>6186</v>
      </c>
      <c r="B4569" t="s">
        <v>375</v>
      </c>
      <c r="C4569" t="s">
        <v>7363</v>
      </c>
      <c r="D4569">
        <v>0.035839</v>
      </c>
    </row>
    <row r="4570" spans="1:4">
      <c r="A4570" t="s">
        <v>6187</v>
      </c>
      <c r="B4570" t="s">
        <v>375</v>
      </c>
      <c r="C4570" t="s">
        <v>7364</v>
      </c>
      <c r="D4570">
        <v>41.246433</v>
      </c>
    </row>
    <row r="4571" spans="1:4">
      <c r="A4571" t="s">
        <v>6188</v>
      </c>
      <c r="B4571" t="s">
        <v>375</v>
      </c>
      <c r="C4571" t="s">
        <v>7365</v>
      </c>
      <c r="D4571">
        <v>1.503964</v>
      </c>
    </row>
    <row r="4572" spans="1:4">
      <c r="A4572" t="s">
        <v>6189</v>
      </c>
      <c r="B4572" t="s">
        <v>375</v>
      </c>
      <c r="C4572" t="s">
        <v>7300</v>
      </c>
      <c r="D4572">
        <v>40.130194</v>
      </c>
    </row>
    <row r="4573" spans="1:4">
      <c r="A4573" t="s">
        <v>6190</v>
      </c>
      <c r="B4573" t="s">
        <v>375</v>
      </c>
      <c r="C4573" t="s">
        <v>7366</v>
      </c>
      <c r="D4573">
        <v>11.752861</v>
      </c>
    </row>
    <row r="4574" spans="1:4">
      <c r="A4574" t="s">
        <v>6191</v>
      </c>
      <c r="B4574" t="s">
        <v>375</v>
      </c>
      <c r="C4574" t="s">
        <v>7367</v>
      </c>
      <c r="D4574">
        <v>47.661547</v>
      </c>
    </row>
    <row r="4575" spans="1:4">
      <c r="A4575" t="s">
        <v>6192</v>
      </c>
      <c r="B4575" t="s">
        <v>375</v>
      </c>
      <c r="C4575" t="s">
        <v>7368</v>
      </c>
      <c r="D4575">
        <v>2.404707</v>
      </c>
    </row>
    <row r="4576" spans="1:4">
      <c r="A4576" t="s">
        <v>6193</v>
      </c>
      <c r="B4576" t="s">
        <v>375</v>
      </c>
      <c r="C4576" t="s">
        <v>7301</v>
      </c>
      <c r="D4576">
        <v>0.017477</v>
      </c>
    </row>
    <row r="4577" spans="1:4">
      <c r="A4577" t="s">
        <v>6194</v>
      </c>
      <c r="B4577" t="s">
        <v>375</v>
      </c>
      <c r="C4577" t="s">
        <v>7302</v>
      </c>
      <c r="D4577">
        <v>103.331509</v>
      </c>
    </row>
    <row r="4578" spans="1:4">
      <c r="A4578" t="s">
        <v>6195</v>
      </c>
      <c r="B4578" t="s">
        <v>375</v>
      </c>
      <c r="C4578" t="s">
        <v>7369</v>
      </c>
      <c r="D4578">
        <v>420.794876</v>
      </c>
    </row>
    <row r="4579" spans="1:4">
      <c r="A4579" t="s">
        <v>6196</v>
      </c>
      <c r="B4579" t="s">
        <v>375</v>
      </c>
      <c r="C4579" t="s">
        <v>7303</v>
      </c>
      <c r="D4579">
        <v>3.294342</v>
      </c>
    </row>
    <row r="4580" spans="1:4">
      <c r="A4580" t="s">
        <v>6197</v>
      </c>
      <c r="B4580" t="s">
        <v>375</v>
      </c>
      <c r="C4580" t="s">
        <v>7370</v>
      </c>
      <c r="D4580">
        <v>0.240266</v>
      </c>
    </row>
    <row r="4581" spans="1:4">
      <c r="A4581" t="s">
        <v>6198</v>
      </c>
      <c r="B4581" t="s">
        <v>375</v>
      </c>
      <c r="C4581" t="s">
        <v>7371</v>
      </c>
      <c r="D4581">
        <v>0.000229</v>
      </c>
    </row>
    <row r="4582" spans="1:4">
      <c r="A4582" t="s">
        <v>6199</v>
      </c>
      <c r="B4582" t="s">
        <v>375</v>
      </c>
      <c r="C4582" t="s">
        <v>7304</v>
      </c>
      <c r="D4582">
        <v>2.505673</v>
      </c>
    </row>
    <row r="4583" spans="1:4">
      <c r="A4583" t="s">
        <v>6200</v>
      </c>
      <c r="B4583" t="s">
        <v>375</v>
      </c>
      <c r="C4583" t="s">
        <v>7372</v>
      </c>
      <c r="D4583">
        <v>420.794876</v>
      </c>
    </row>
    <row r="4584" spans="1:4">
      <c r="A4584" t="s">
        <v>6201</v>
      </c>
      <c r="B4584" t="s">
        <v>375</v>
      </c>
      <c r="C4584" t="s">
        <v>7373</v>
      </c>
      <c r="D4584">
        <v>1.988828</v>
      </c>
    </row>
    <row r="4585" spans="1:4">
      <c r="A4585" t="s">
        <v>6202</v>
      </c>
      <c r="B4585" t="s">
        <v>375</v>
      </c>
      <c r="C4585" t="s">
        <v>7374</v>
      </c>
      <c r="D4585">
        <v>443.769078</v>
      </c>
    </row>
    <row r="4586" spans="1:4">
      <c r="A4586" t="s">
        <v>6203</v>
      </c>
      <c r="B4586" t="s">
        <v>375</v>
      </c>
      <c r="C4586" t="s">
        <v>7305</v>
      </c>
      <c r="D4586">
        <v>1.935719</v>
      </c>
    </row>
    <row r="4587" spans="1:4">
      <c r="A4587" t="s">
        <v>6204</v>
      </c>
      <c r="B4587" t="s">
        <v>375</v>
      </c>
      <c r="C4587" t="s">
        <v>7375</v>
      </c>
      <c r="D4587">
        <v>2.434313</v>
      </c>
    </row>
    <row r="4588" spans="1:4">
      <c r="A4588" t="s">
        <v>6205</v>
      </c>
      <c r="B4588" t="s">
        <v>375</v>
      </c>
      <c r="C4588" t="s">
        <v>7376</v>
      </c>
      <c r="D4588">
        <v>3.598206</v>
      </c>
    </row>
    <row r="4589" spans="1:4">
      <c r="A4589" t="s">
        <v>6206</v>
      </c>
      <c r="B4589" t="s">
        <v>375</v>
      </c>
      <c r="C4589" t="s">
        <v>7377</v>
      </c>
      <c r="D4589">
        <v>0.07770299999999999</v>
      </c>
    </row>
    <row r="4590" spans="1:4">
      <c r="A4590" t="s">
        <v>6207</v>
      </c>
      <c r="B4590" t="s">
        <v>375</v>
      </c>
      <c r="C4590" t="s">
        <v>7378</v>
      </c>
      <c r="D4590">
        <v>217.978945</v>
      </c>
    </row>
    <row r="4591" spans="1:4">
      <c r="A4591" t="s">
        <v>6208</v>
      </c>
      <c r="B4591" t="s">
        <v>375</v>
      </c>
      <c r="C4591" t="s">
        <v>7379</v>
      </c>
      <c r="D4591">
        <v>0.729938</v>
      </c>
    </row>
    <row r="4592" spans="1:4">
      <c r="A4592" t="s">
        <v>6209</v>
      </c>
      <c r="B4592" t="s">
        <v>375</v>
      </c>
      <c r="C4592" t="s">
        <v>7306</v>
      </c>
      <c r="D4592">
        <v>0.208692</v>
      </c>
    </row>
    <row r="4593" spans="1:4">
      <c r="A4593" t="s">
        <v>6210</v>
      </c>
      <c r="B4593" t="s">
        <v>375</v>
      </c>
      <c r="C4593" t="s">
        <v>7380</v>
      </c>
      <c r="D4593">
        <v>1018.503287</v>
      </c>
    </row>
    <row r="4594" spans="1:4">
      <c r="A4594" t="s">
        <v>6211</v>
      </c>
      <c r="B4594" t="s">
        <v>375</v>
      </c>
      <c r="C4594" t="s">
        <v>7381</v>
      </c>
      <c r="D4594">
        <v>377.558731</v>
      </c>
    </row>
    <row r="4595" spans="1:4">
      <c r="A4595" t="s">
        <v>6212</v>
      </c>
      <c r="B4595" t="s">
        <v>375</v>
      </c>
      <c r="C4595" t="s">
        <v>7382</v>
      </c>
      <c r="D4595">
        <v>0.670812</v>
      </c>
    </row>
    <row r="4596" spans="1:4">
      <c r="A4596" t="s">
        <v>6213</v>
      </c>
      <c r="B4596" t="s">
        <v>375</v>
      </c>
      <c r="C4596" t="s">
        <v>7383</v>
      </c>
      <c r="D4596">
        <v>0.01407</v>
      </c>
    </row>
    <row r="4597" spans="1:4">
      <c r="A4597" t="s">
        <v>6214</v>
      </c>
      <c r="B4597" t="s">
        <v>375</v>
      </c>
      <c r="C4597" t="s">
        <v>7384</v>
      </c>
      <c r="D4597">
        <v>0.003515</v>
      </c>
    </row>
    <row r="4598" spans="1:4">
      <c r="A4598" t="s">
        <v>6215</v>
      </c>
      <c r="B4598" t="s">
        <v>375</v>
      </c>
      <c r="C4598" t="s">
        <v>7385</v>
      </c>
      <c r="D4598">
        <v>0.93834</v>
      </c>
    </row>
    <row r="4599" spans="1:4">
      <c r="A4599" t="s">
        <v>6216</v>
      </c>
      <c r="B4599" t="s">
        <v>375</v>
      </c>
      <c r="C4599" t="s">
        <v>7386</v>
      </c>
      <c r="D4599">
        <v>1.734689</v>
      </c>
    </row>
    <row r="4600" spans="1:4">
      <c r="A4600" t="s">
        <v>6217</v>
      </c>
      <c r="B4600" t="s">
        <v>375</v>
      </c>
      <c r="C4600" t="s">
        <v>7387</v>
      </c>
      <c r="D4600">
        <v>19.174404</v>
      </c>
    </row>
    <row r="4601" spans="1:4">
      <c r="A4601" t="s">
        <v>6218</v>
      </c>
      <c r="B4601" t="s">
        <v>375</v>
      </c>
      <c r="C4601" t="s">
        <v>7388</v>
      </c>
      <c r="D4601">
        <v>49.041906</v>
      </c>
    </row>
    <row r="4602" spans="1:4">
      <c r="A4602" t="s">
        <v>6219</v>
      </c>
      <c r="B4602" t="s">
        <v>375</v>
      </c>
      <c r="C4602" t="s">
        <v>7389</v>
      </c>
      <c r="D4602">
        <v>33.615488</v>
      </c>
    </row>
    <row r="4603" spans="1:4">
      <c r="A4603" t="s">
        <v>6220</v>
      </c>
      <c r="B4603" t="s">
        <v>375</v>
      </c>
      <c r="C4603" t="s">
        <v>7390</v>
      </c>
      <c r="D4603">
        <v>17.910072</v>
      </c>
    </row>
    <row r="4604" spans="1:4">
      <c r="A4604" t="s">
        <v>6221</v>
      </c>
      <c r="B4604" t="s">
        <v>375</v>
      </c>
      <c r="C4604" t="s">
        <v>7391</v>
      </c>
      <c r="D4604">
        <v>0.074805</v>
      </c>
    </row>
    <row r="4605" spans="1:4">
      <c r="A4605" t="s">
        <v>6222</v>
      </c>
      <c r="B4605" t="s">
        <v>375</v>
      </c>
      <c r="C4605" t="s">
        <v>7392</v>
      </c>
      <c r="D4605">
        <v>5.824706</v>
      </c>
    </row>
    <row r="4606" spans="1:4">
      <c r="A4606" t="s">
        <v>6223</v>
      </c>
      <c r="B4606" t="s">
        <v>375</v>
      </c>
      <c r="C4606" t="s">
        <v>7393</v>
      </c>
      <c r="D4606">
        <v>0.149688</v>
      </c>
    </row>
    <row r="4607" spans="1:4">
      <c r="A4607" t="s">
        <v>6224</v>
      </c>
      <c r="B4607" t="s">
        <v>375</v>
      </c>
      <c r="C4607" t="s">
        <v>7394</v>
      </c>
      <c r="D4607">
        <v>0.08787300000000001</v>
      </c>
    </row>
    <row r="4608" spans="1:4">
      <c r="A4608" t="s">
        <v>6225</v>
      </c>
      <c r="B4608" t="s">
        <v>375</v>
      </c>
      <c r="C4608" t="s">
        <v>7395</v>
      </c>
      <c r="D4608">
        <v>38.954856</v>
      </c>
    </row>
    <row r="4609" spans="1:4">
      <c r="A4609" t="s">
        <v>6226</v>
      </c>
      <c r="B4609" t="s">
        <v>375</v>
      </c>
      <c r="C4609" t="s">
        <v>7396</v>
      </c>
      <c r="D4609">
        <v>7.842902</v>
      </c>
    </row>
    <row r="4610" spans="1:4">
      <c r="A4610" t="s">
        <v>6227</v>
      </c>
      <c r="B4610" t="s">
        <v>375</v>
      </c>
      <c r="C4610" t="s">
        <v>7397</v>
      </c>
      <c r="D4610">
        <v>6.680643</v>
      </c>
    </row>
    <row r="4611" spans="1:4">
      <c r="A4611" t="s">
        <v>6228</v>
      </c>
      <c r="B4611" t="s">
        <v>375</v>
      </c>
      <c r="C4611" t="s">
        <v>7398</v>
      </c>
      <c r="D4611">
        <v>20.359891</v>
      </c>
    </row>
    <row r="4612" spans="1:4">
      <c r="A4612" t="s">
        <v>6229</v>
      </c>
      <c r="B4612" t="s">
        <v>375</v>
      </c>
      <c r="C4612" t="s">
        <v>7399</v>
      </c>
      <c r="D4612">
        <v>0.180277</v>
      </c>
    </row>
    <row r="4613" spans="1:4">
      <c r="A4613" t="s">
        <v>6230</v>
      </c>
      <c r="B4613" t="s">
        <v>375</v>
      </c>
      <c r="C4613" t="s">
        <v>7307</v>
      </c>
      <c r="D4613">
        <v>17.89804</v>
      </c>
    </row>
    <row r="4614" spans="1:4">
      <c r="A4614" t="s">
        <v>6231</v>
      </c>
      <c r="B4614" t="s">
        <v>375</v>
      </c>
      <c r="C4614" t="s">
        <v>7308</v>
      </c>
      <c r="D4614">
        <v>77.184787</v>
      </c>
    </row>
    <row r="4615" spans="1:4">
      <c r="A4615" t="s">
        <v>6232</v>
      </c>
      <c r="B4615" t="s">
        <v>375</v>
      </c>
      <c r="C4615" t="s">
        <v>7400</v>
      </c>
      <c r="D4615">
        <v>4.933126</v>
      </c>
    </row>
    <row r="4616" spans="1:4">
      <c r="A4616" t="s">
        <v>6233</v>
      </c>
      <c r="B4616" t="s">
        <v>375</v>
      </c>
      <c r="C4616" t="s">
        <v>7401</v>
      </c>
      <c r="D4616">
        <v>19.174404</v>
      </c>
    </row>
    <row r="4617" spans="1:4">
      <c r="A4617" t="s">
        <v>6234</v>
      </c>
      <c r="B4617" t="s">
        <v>375</v>
      </c>
      <c r="C4617" t="s">
        <v>7402</v>
      </c>
      <c r="D4617">
        <v>0.230567</v>
      </c>
    </row>
    <row r="4618" spans="1:4">
      <c r="A4618" t="s">
        <v>6235</v>
      </c>
      <c r="B4618" t="s">
        <v>375</v>
      </c>
      <c r="C4618" t="s">
        <v>7403</v>
      </c>
      <c r="D4618">
        <v>8.553800000000001</v>
      </c>
    </row>
    <row r="4619" spans="1:4">
      <c r="A4619" t="s">
        <v>6236</v>
      </c>
      <c r="B4619" t="s">
        <v>375</v>
      </c>
      <c r="C4619" t="s">
        <v>7309</v>
      </c>
      <c r="D4619">
        <v>32.201796</v>
      </c>
    </row>
    <row r="4620" spans="1:4">
      <c r="A4620" t="s">
        <v>6237</v>
      </c>
      <c r="B4620" t="s">
        <v>375</v>
      </c>
      <c r="C4620" t="s">
        <v>7404</v>
      </c>
      <c r="D4620">
        <v>2.058993</v>
      </c>
    </row>
    <row r="4621" spans="1:4">
      <c r="A4621" t="s">
        <v>6238</v>
      </c>
      <c r="B4621" t="s">
        <v>375</v>
      </c>
      <c r="C4621" t="s">
        <v>7310</v>
      </c>
      <c r="D4621">
        <v>179.489513</v>
      </c>
    </row>
    <row r="4622" spans="1:4">
      <c r="A4622" t="s">
        <v>6239</v>
      </c>
      <c r="B4622" t="s">
        <v>375</v>
      </c>
      <c r="C4622" t="s">
        <v>7405</v>
      </c>
      <c r="D4622">
        <v>818.2959990000001</v>
      </c>
    </row>
    <row r="4623" spans="1:4">
      <c r="A4623" t="s">
        <v>6240</v>
      </c>
      <c r="B4623" t="s">
        <v>375</v>
      </c>
      <c r="C4623" t="s">
        <v>7406</v>
      </c>
      <c r="D4623">
        <v>314.632056</v>
      </c>
    </row>
    <row r="4624" spans="1:4">
      <c r="A4624" t="s">
        <v>6241</v>
      </c>
      <c r="B4624" t="s">
        <v>375</v>
      </c>
      <c r="C4624" t="s">
        <v>7407</v>
      </c>
      <c r="D4624">
        <v>92.338268</v>
      </c>
    </row>
    <row r="4625" spans="1:4">
      <c r="A4625" t="s">
        <v>6242</v>
      </c>
      <c r="B4625" t="s">
        <v>375</v>
      </c>
      <c r="C4625" t="s">
        <v>7408</v>
      </c>
      <c r="D4625">
        <v>71.611807</v>
      </c>
    </row>
    <row r="4626" spans="1:4">
      <c r="A4626" t="s">
        <v>6243</v>
      </c>
      <c r="B4626" t="s">
        <v>375</v>
      </c>
      <c r="C4626" t="s">
        <v>7311</v>
      </c>
      <c r="D4626">
        <v>5.112476</v>
      </c>
    </row>
    <row r="4627" spans="1:4">
      <c r="A4627" t="s">
        <v>6244</v>
      </c>
      <c r="B4627" t="s">
        <v>375</v>
      </c>
      <c r="C4627" t="s">
        <v>7409</v>
      </c>
      <c r="D4627">
        <v>1.129912</v>
      </c>
    </row>
    <row r="4628" spans="1:4">
      <c r="A4628" t="s">
        <v>6245</v>
      </c>
      <c r="B4628" t="s">
        <v>375</v>
      </c>
      <c r="C4628" t="s">
        <v>7312</v>
      </c>
      <c r="D4628">
        <v>83.349234</v>
      </c>
    </row>
    <row r="4629" spans="1:4">
      <c r="A4629" t="s">
        <v>6246</v>
      </c>
      <c r="B4629" t="s">
        <v>375</v>
      </c>
      <c r="C4629" t="s">
        <v>7410</v>
      </c>
      <c r="D4629">
        <v>0.0518</v>
      </c>
    </row>
    <row r="4630" spans="1:4">
      <c r="A4630" t="s">
        <v>6247</v>
      </c>
      <c r="B4630" t="s">
        <v>375</v>
      </c>
      <c r="C4630" t="s">
        <v>7411</v>
      </c>
      <c r="D4630">
        <v>86.437405</v>
      </c>
    </row>
    <row r="4631" spans="1:4">
      <c r="A4631" t="s">
        <v>6248</v>
      </c>
      <c r="B4631" t="s">
        <v>375</v>
      </c>
      <c r="C4631" t="s">
        <v>7313</v>
      </c>
      <c r="D4631">
        <v>68.594199</v>
      </c>
    </row>
    <row r="4632" spans="1:4">
      <c r="A4632" t="s">
        <v>6249</v>
      </c>
      <c r="B4632" t="s">
        <v>375</v>
      </c>
      <c r="C4632" t="s">
        <v>7412</v>
      </c>
      <c r="D4632">
        <v>3.060324</v>
      </c>
    </row>
    <row r="4633" spans="1:4">
      <c r="A4633" t="s">
        <v>6250</v>
      </c>
      <c r="B4633" t="s">
        <v>375</v>
      </c>
      <c r="C4633" t="s">
        <v>7413</v>
      </c>
      <c r="D4633">
        <v>4.112738</v>
      </c>
    </row>
    <row r="4634" spans="1:4">
      <c r="A4634" t="s">
        <v>6251</v>
      </c>
      <c r="B4634" t="s">
        <v>375</v>
      </c>
      <c r="C4634" t="s">
        <v>7414</v>
      </c>
      <c r="D4634">
        <v>0.214288</v>
      </c>
    </row>
    <row r="4635" spans="1:4">
      <c r="A4635" t="s">
        <v>6252</v>
      </c>
      <c r="B4635" t="s">
        <v>375</v>
      </c>
      <c r="C4635" t="s">
        <v>7415</v>
      </c>
      <c r="D4635">
        <v>83.901921</v>
      </c>
    </row>
    <row r="4636" spans="1:4">
      <c r="A4636" t="s">
        <v>6253</v>
      </c>
      <c r="B4636" t="s">
        <v>375</v>
      </c>
      <c r="C4636" t="s">
        <v>7416</v>
      </c>
      <c r="D4636">
        <v>39.408373</v>
      </c>
    </row>
    <row r="4637" spans="1:4">
      <c r="A4637" t="s">
        <v>6254</v>
      </c>
      <c r="B4637" t="s">
        <v>375</v>
      </c>
      <c r="C4637" t="s">
        <v>7417</v>
      </c>
      <c r="D4637">
        <v>21.377059</v>
      </c>
    </row>
    <row r="4638" spans="1:4">
      <c r="A4638" t="s">
        <v>6255</v>
      </c>
      <c r="B4638" t="s">
        <v>375</v>
      </c>
      <c r="C4638" t="s">
        <v>7418</v>
      </c>
      <c r="D4638">
        <v>0.703418</v>
      </c>
    </row>
    <row r="4639" spans="1:4">
      <c r="A4639" t="s">
        <v>6256</v>
      </c>
      <c r="B4639" t="s">
        <v>375</v>
      </c>
      <c r="C4639" t="s">
        <v>7314</v>
      </c>
      <c r="D4639">
        <v>32.436392</v>
      </c>
    </row>
    <row r="4640" spans="1:4">
      <c r="A4640" t="s">
        <v>6257</v>
      </c>
      <c r="B4640" t="s">
        <v>375</v>
      </c>
      <c r="C4640" t="s">
        <v>7315</v>
      </c>
      <c r="D4640">
        <v>243.159962</v>
      </c>
    </row>
    <row r="4641" spans="1:4">
      <c r="A4641" t="s">
        <v>6258</v>
      </c>
      <c r="B4641" t="s">
        <v>375</v>
      </c>
      <c r="C4641" t="s">
        <v>7419</v>
      </c>
      <c r="D4641">
        <v>420.794876</v>
      </c>
    </row>
    <row r="4642" spans="1:4">
      <c r="A4642" t="s">
        <v>6259</v>
      </c>
      <c r="B4642" t="s">
        <v>375</v>
      </c>
      <c r="C4642" t="s">
        <v>7420</v>
      </c>
      <c r="D4642">
        <v>12.932812</v>
      </c>
    </row>
    <row r="4643" spans="1:4">
      <c r="A4643" t="s">
        <v>6260</v>
      </c>
      <c r="B4643" t="s">
        <v>375</v>
      </c>
      <c r="C4643" t="s">
        <v>7421</v>
      </c>
      <c r="D4643">
        <v>0.012933</v>
      </c>
    </row>
    <row r="4644" spans="1:4">
      <c r="A4644" t="s">
        <v>6261</v>
      </c>
      <c r="B4644" t="s">
        <v>375</v>
      </c>
      <c r="C4644" t="s">
        <v>7422</v>
      </c>
      <c r="D4644">
        <v>0.550056</v>
      </c>
    </row>
    <row r="4645" spans="1:4">
      <c r="A4645" t="s">
        <v>6262</v>
      </c>
      <c r="B4645" t="s">
        <v>375</v>
      </c>
      <c r="C4645" t="s">
        <v>7423</v>
      </c>
      <c r="D4645">
        <v>8.358196</v>
      </c>
    </row>
    <row r="4646" spans="1:4">
      <c r="A4646" t="s">
        <v>6263</v>
      </c>
      <c r="B4646" t="s">
        <v>375</v>
      </c>
      <c r="C4646" t="s">
        <v>7424</v>
      </c>
      <c r="D4646">
        <v>0.066825</v>
      </c>
    </row>
    <row r="4647" spans="1:4">
      <c r="A4647" t="s">
        <v>6264</v>
      </c>
      <c r="B4647" t="s">
        <v>375</v>
      </c>
      <c r="C4647" t="s">
        <v>7425</v>
      </c>
      <c r="D4647">
        <v>14.657385</v>
      </c>
    </row>
    <row r="4648" spans="1:4">
      <c r="A4648" t="s">
        <v>6265</v>
      </c>
      <c r="B4648" t="s">
        <v>375</v>
      </c>
      <c r="C4648" t="s">
        <v>7426</v>
      </c>
      <c r="D4648">
        <v>2.586861</v>
      </c>
    </row>
    <row r="4649" spans="1:4">
      <c r="A4649" t="s">
        <v>6266</v>
      </c>
      <c r="B4649" t="s">
        <v>375</v>
      </c>
      <c r="C4649" t="s">
        <v>7427</v>
      </c>
      <c r="D4649">
        <v>19.174404</v>
      </c>
    </row>
    <row r="4650" spans="1:4">
      <c r="A4650" t="s">
        <v>6267</v>
      </c>
      <c r="B4650" t="s">
        <v>375</v>
      </c>
      <c r="C4650" t="s">
        <v>7316</v>
      </c>
      <c r="D4650">
        <v>9.403154000000001</v>
      </c>
    </row>
    <row r="4651" spans="1:4">
      <c r="A4651" t="s">
        <v>6268</v>
      </c>
      <c r="B4651" t="s">
        <v>375</v>
      </c>
      <c r="C4651" t="s">
        <v>7428</v>
      </c>
      <c r="D4651">
        <v>34.003989</v>
      </c>
    </row>
    <row r="4652" spans="1:4">
      <c r="A4652" t="s">
        <v>6269</v>
      </c>
      <c r="B4652" t="s">
        <v>375</v>
      </c>
      <c r="C4652" t="s">
        <v>7429</v>
      </c>
      <c r="D4652">
        <v>89.926749</v>
      </c>
    </row>
    <row r="4653" spans="1:4">
      <c r="A4653" t="s">
        <v>6270</v>
      </c>
      <c r="B4653" t="s">
        <v>375</v>
      </c>
      <c r="C4653" t="s">
        <v>7430</v>
      </c>
      <c r="D4653">
        <v>106.633031</v>
      </c>
    </row>
    <row r="4654" spans="1:4">
      <c r="A4654" t="s">
        <v>6271</v>
      </c>
      <c r="B4654" t="s">
        <v>375</v>
      </c>
      <c r="C4654" t="s">
        <v>7431</v>
      </c>
      <c r="D4654">
        <v>131.659801</v>
      </c>
    </row>
    <row r="4655" spans="1:4">
      <c r="A4655" t="s">
        <v>6272</v>
      </c>
      <c r="B4655" t="s">
        <v>375</v>
      </c>
      <c r="C4655" t="s">
        <v>7317</v>
      </c>
      <c r="D4655">
        <v>6.709475</v>
      </c>
    </row>
    <row r="4656" spans="1:4">
      <c r="A4656" t="s">
        <v>6273</v>
      </c>
      <c r="B4656" t="s">
        <v>375</v>
      </c>
      <c r="C4656" t="s">
        <v>7432</v>
      </c>
      <c r="D4656">
        <v>43.803395</v>
      </c>
    </row>
    <row r="4657" spans="1:4">
      <c r="A4657" t="s">
        <v>6274</v>
      </c>
      <c r="B4657" t="s">
        <v>375</v>
      </c>
      <c r="C4657" t="s">
        <v>7433</v>
      </c>
      <c r="D4657">
        <v>217.978945</v>
      </c>
    </row>
    <row r="4658" spans="1:4">
      <c r="A4658" t="s">
        <v>6275</v>
      </c>
      <c r="B4658" t="s">
        <v>375</v>
      </c>
      <c r="C4658" t="s">
        <v>7434</v>
      </c>
      <c r="D4658">
        <v>9.805113</v>
      </c>
    </row>
    <row r="4659" spans="1:4">
      <c r="A4659" t="s">
        <v>6276</v>
      </c>
      <c r="B4659" t="s">
        <v>375</v>
      </c>
      <c r="C4659" t="s">
        <v>7435</v>
      </c>
      <c r="D4659">
        <v>0.120523</v>
      </c>
    </row>
    <row r="4660" spans="1:4">
      <c r="A4660" t="s">
        <v>6277</v>
      </c>
      <c r="B4660" t="s">
        <v>375</v>
      </c>
      <c r="C4660" t="s">
        <v>7436</v>
      </c>
      <c r="D4660">
        <v>7.07034</v>
      </c>
    </row>
    <row r="4661" spans="1:4">
      <c r="A4661" t="s">
        <v>6278</v>
      </c>
      <c r="B4661" t="s">
        <v>375</v>
      </c>
      <c r="C4661" t="s">
        <v>7437</v>
      </c>
      <c r="D4661">
        <v>0.08631900000000001</v>
      </c>
    </row>
    <row r="4662" spans="1:4">
      <c r="A4662" t="s">
        <v>6279</v>
      </c>
      <c r="B4662" t="s">
        <v>375</v>
      </c>
      <c r="C4662" t="s">
        <v>399</v>
      </c>
      <c r="D4662">
        <v>314.626818</v>
      </c>
    </row>
    <row r="4663" spans="1:4">
      <c r="A4663" t="s">
        <v>6280</v>
      </c>
      <c r="B4663" t="s">
        <v>375</v>
      </c>
      <c r="C4663" t="s">
        <v>7438</v>
      </c>
      <c r="D4663">
        <v>7.80911</v>
      </c>
    </row>
    <row r="4664" spans="1:4">
      <c r="A4664" t="s">
        <v>6281</v>
      </c>
      <c r="B4664" t="s">
        <v>375</v>
      </c>
      <c r="C4664" t="s">
        <v>7439</v>
      </c>
      <c r="D4664">
        <v>0.026319</v>
      </c>
    </row>
    <row r="4665" spans="1:4">
      <c r="A4665" t="s">
        <v>6282</v>
      </c>
      <c r="B4665" t="s">
        <v>375</v>
      </c>
      <c r="C4665" t="s">
        <v>7440</v>
      </c>
      <c r="D4665">
        <v>0.449843</v>
      </c>
    </row>
    <row r="4666" spans="1:4">
      <c r="A4666" t="s">
        <v>6283</v>
      </c>
      <c r="B4666" t="s">
        <v>375</v>
      </c>
      <c r="C4666" t="s">
        <v>7441</v>
      </c>
      <c r="D4666">
        <v>0.012</v>
      </c>
    </row>
    <row r="4667" spans="1:4">
      <c r="A4667" t="s">
        <v>6284</v>
      </c>
      <c r="B4667" t="s">
        <v>375</v>
      </c>
      <c r="C4667" t="s">
        <v>7442</v>
      </c>
      <c r="D4667">
        <v>2.629845</v>
      </c>
    </row>
    <row r="4668" spans="1:4">
      <c r="A4668" t="s">
        <v>6285</v>
      </c>
      <c r="B4668" t="s">
        <v>375</v>
      </c>
      <c r="C4668" t="s">
        <v>7443</v>
      </c>
      <c r="D4668">
        <v>115.002108</v>
      </c>
    </row>
    <row r="4669" spans="1:4">
      <c r="A4669" t="s">
        <v>6286</v>
      </c>
      <c r="B4669" t="s">
        <v>375</v>
      </c>
      <c r="C4669" t="s">
        <v>7444</v>
      </c>
      <c r="D4669">
        <v>0.547453</v>
      </c>
    </row>
    <row r="4670" spans="1:4">
      <c r="A4670" t="s">
        <v>6287</v>
      </c>
      <c r="B4670" t="s">
        <v>375</v>
      </c>
      <c r="C4670" t="s">
        <v>7445</v>
      </c>
      <c r="D4670">
        <v>116.530444</v>
      </c>
    </row>
    <row r="4671" spans="1:4">
      <c r="A4671" t="s">
        <v>6288</v>
      </c>
      <c r="B4671" t="s">
        <v>375</v>
      </c>
      <c r="C4671" t="s">
        <v>7446</v>
      </c>
      <c r="D4671">
        <v>175.772191</v>
      </c>
    </row>
    <row r="4672" spans="1:4">
      <c r="A4672" t="s">
        <v>6289</v>
      </c>
      <c r="B4672" t="s">
        <v>375</v>
      </c>
      <c r="C4672" t="s">
        <v>7447</v>
      </c>
      <c r="D4672">
        <v>427.07388</v>
      </c>
    </row>
    <row r="4673" spans="1:4">
      <c r="A4673" t="s">
        <v>6290</v>
      </c>
      <c r="B4673" t="s">
        <v>375</v>
      </c>
      <c r="C4673" t="s">
        <v>7448</v>
      </c>
      <c r="D4673">
        <v>0.547453</v>
      </c>
    </row>
    <row r="4674" spans="1:4">
      <c r="A4674" t="s">
        <v>6291</v>
      </c>
      <c r="B4674" t="s">
        <v>375</v>
      </c>
      <c r="C4674" t="s">
        <v>7449</v>
      </c>
      <c r="D4674">
        <v>3.009301</v>
      </c>
    </row>
    <row r="4675" spans="1:4">
      <c r="A4675" t="s">
        <v>6292</v>
      </c>
      <c r="B4675" t="s">
        <v>375</v>
      </c>
      <c r="C4675" t="s">
        <v>7450</v>
      </c>
      <c r="D4675">
        <v>1.325081</v>
      </c>
    </row>
    <row r="4676" spans="1:4">
      <c r="A4676" t="s">
        <v>6293</v>
      </c>
      <c r="B4676" t="s">
        <v>375</v>
      </c>
      <c r="C4676" t="s">
        <v>7318</v>
      </c>
      <c r="D4676">
        <v>19.173864</v>
      </c>
    </row>
    <row r="4677" spans="1:4">
      <c r="A4677" t="s">
        <v>6294</v>
      </c>
      <c r="B4677" t="s">
        <v>375</v>
      </c>
      <c r="C4677" t="s">
        <v>7451</v>
      </c>
      <c r="D4677">
        <v>17.131004</v>
      </c>
    </row>
    <row r="4678" spans="1:4">
      <c r="A4678" t="s">
        <v>6295</v>
      </c>
      <c r="B4678" t="s">
        <v>375</v>
      </c>
      <c r="C4678" t="s">
        <v>7452</v>
      </c>
      <c r="D4678">
        <v>11.748465</v>
      </c>
    </row>
    <row r="4679" spans="1:4">
      <c r="A4679" t="s">
        <v>6296</v>
      </c>
      <c r="B4679" t="s">
        <v>375</v>
      </c>
      <c r="C4679" t="s">
        <v>7453</v>
      </c>
      <c r="D4679">
        <v>11.748465</v>
      </c>
    </row>
    <row r="4680" spans="1:4">
      <c r="A4680" t="s">
        <v>6297</v>
      </c>
      <c r="B4680" t="s">
        <v>376</v>
      </c>
      <c r="C4680" t="s">
        <v>397</v>
      </c>
      <c r="D4680">
        <v>356.661537</v>
      </c>
    </row>
    <row r="4681" spans="1:4">
      <c r="A4681" t="s">
        <v>6298</v>
      </c>
      <c r="B4681" t="s">
        <v>376</v>
      </c>
      <c r="C4681" t="s">
        <v>7319</v>
      </c>
      <c r="D4681">
        <v>85.15102400000001</v>
      </c>
    </row>
    <row r="4682" spans="1:4">
      <c r="A4682" t="s">
        <v>6299</v>
      </c>
      <c r="B4682" t="s">
        <v>376</v>
      </c>
      <c r="C4682" t="s">
        <v>7320</v>
      </c>
      <c r="D4682">
        <v>4.813532</v>
      </c>
    </row>
    <row r="4683" spans="1:4">
      <c r="A4683" t="s">
        <v>6300</v>
      </c>
      <c r="B4683" t="s">
        <v>376</v>
      </c>
      <c r="C4683" t="s">
        <v>7321</v>
      </c>
      <c r="D4683">
        <v>3.803024</v>
      </c>
    </row>
    <row r="4684" spans="1:4">
      <c r="A4684" t="s">
        <v>6301</v>
      </c>
      <c r="B4684" t="s">
        <v>376</v>
      </c>
      <c r="C4684" t="s">
        <v>7322</v>
      </c>
      <c r="D4684">
        <v>0.850411</v>
      </c>
    </row>
    <row r="4685" spans="1:4">
      <c r="A4685" t="s">
        <v>6302</v>
      </c>
      <c r="B4685" t="s">
        <v>376</v>
      </c>
      <c r="C4685" t="s">
        <v>7323</v>
      </c>
      <c r="D4685">
        <v>174.702289</v>
      </c>
    </row>
    <row r="4686" spans="1:4">
      <c r="A4686" t="s">
        <v>6303</v>
      </c>
      <c r="B4686" t="s">
        <v>376</v>
      </c>
      <c r="C4686" t="s">
        <v>7324</v>
      </c>
      <c r="D4686">
        <v>0.335792</v>
      </c>
    </row>
    <row r="4687" spans="1:4">
      <c r="A4687" t="s">
        <v>6304</v>
      </c>
      <c r="B4687" t="s">
        <v>376</v>
      </c>
      <c r="C4687" t="s">
        <v>7325</v>
      </c>
      <c r="D4687">
        <v>0.20975</v>
      </c>
    </row>
    <row r="4688" spans="1:4">
      <c r="A4688" t="s">
        <v>6305</v>
      </c>
      <c r="B4688" t="s">
        <v>376</v>
      </c>
      <c r="C4688" t="s">
        <v>7292</v>
      </c>
      <c r="D4688">
        <v>217.04233</v>
      </c>
    </row>
    <row r="4689" spans="1:4">
      <c r="A4689" t="s">
        <v>6306</v>
      </c>
      <c r="B4689" t="s">
        <v>376</v>
      </c>
      <c r="C4689" t="s">
        <v>7326</v>
      </c>
      <c r="D4689">
        <v>174.702289</v>
      </c>
    </row>
    <row r="4690" spans="1:4">
      <c r="A4690" t="s">
        <v>6307</v>
      </c>
      <c r="B4690" t="s">
        <v>376</v>
      </c>
      <c r="C4690" t="s">
        <v>7327</v>
      </c>
      <c r="D4690">
        <v>183.691436</v>
      </c>
    </row>
    <row r="4691" spans="1:4">
      <c r="A4691" t="s">
        <v>6308</v>
      </c>
      <c r="B4691" t="s">
        <v>376</v>
      </c>
      <c r="C4691" t="s">
        <v>7328</v>
      </c>
      <c r="D4691">
        <v>182.358148</v>
      </c>
    </row>
    <row r="4692" spans="1:4">
      <c r="A4692" t="s">
        <v>6309</v>
      </c>
      <c r="B4692" t="s">
        <v>376</v>
      </c>
      <c r="C4692" t="s">
        <v>7329</v>
      </c>
      <c r="D4692">
        <v>156.35856</v>
      </c>
    </row>
    <row r="4693" spans="1:4">
      <c r="A4693" t="s">
        <v>6310</v>
      </c>
      <c r="B4693" t="s">
        <v>376</v>
      </c>
      <c r="C4693" t="s">
        <v>7330</v>
      </c>
      <c r="D4693">
        <v>2.53614</v>
      </c>
    </row>
    <row r="4694" spans="1:4">
      <c r="A4694" t="s">
        <v>6311</v>
      </c>
      <c r="B4694" t="s">
        <v>376</v>
      </c>
      <c r="C4694" t="s">
        <v>398</v>
      </c>
      <c r="D4694">
        <v>182.358148</v>
      </c>
    </row>
    <row r="4695" spans="1:4">
      <c r="A4695" t="s">
        <v>6312</v>
      </c>
      <c r="B4695" t="s">
        <v>376</v>
      </c>
      <c r="C4695" t="s">
        <v>7331</v>
      </c>
      <c r="D4695">
        <v>831.694879</v>
      </c>
    </row>
    <row r="4696" spans="1:4">
      <c r="A4696" t="s">
        <v>6313</v>
      </c>
      <c r="B4696" t="s">
        <v>376</v>
      </c>
      <c r="C4696" t="s">
        <v>7332</v>
      </c>
      <c r="D4696">
        <v>0.104506</v>
      </c>
    </row>
    <row r="4697" spans="1:4">
      <c r="A4697" t="s">
        <v>6314</v>
      </c>
      <c r="B4697" t="s">
        <v>376</v>
      </c>
      <c r="C4697" t="s">
        <v>7333</v>
      </c>
      <c r="D4697">
        <v>312.717257</v>
      </c>
    </row>
    <row r="4698" spans="1:4">
      <c r="A4698" t="s">
        <v>6315</v>
      </c>
      <c r="B4698" t="s">
        <v>376</v>
      </c>
      <c r="C4698" t="s">
        <v>7334</v>
      </c>
      <c r="D4698">
        <v>241.938113</v>
      </c>
    </row>
    <row r="4699" spans="1:4">
      <c r="A4699" t="s">
        <v>6316</v>
      </c>
      <c r="B4699" t="s">
        <v>376</v>
      </c>
      <c r="C4699" t="s">
        <v>7335</v>
      </c>
      <c r="D4699">
        <v>31.180434</v>
      </c>
    </row>
    <row r="4700" spans="1:4">
      <c r="A4700" t="s">
        <v>6317</v>
      </c>
      <c r="B4700" t="s">
        <v>376</v>
      </c>
      <c r="C4700" t="s">
        <v>7293</v>
      </c>
      <c r="D4700">
        <v>61.031246</v>
      </c>
    </row>
    <row r="4701" spans="1:4">
      <c r="A4701" t="s">
        <v>6318</v>
      </c>
      <c r="B4701" t="s">
        <v>376</v>
      </c>
      <c r="C4701" t="s">
        <v>7336</v>
      </c>
      <c r="D4701">
        <v>312.717257</v>
      </c>
    </row>
    <row r="4702" spans="1:4">
      <c r="A4702" t="s">
        <v>6319</v>
      </c>
      <c r="B4702" t="s">
        <v>376</v>
      </c>
      <c r="C4702" t="s">
        <v>7337</v>
      </c>
      <c r="D4702">
        <v>3.277814</v>
      </c>
    </row>
    <row r="4703" spans="1:4">
      <c r="A4703" t="s">
        <v>6320</v>
      </c>
      <c r="B4703" t="s">
        <v>376</v>
      </c>
      <c r="C4703" t="s">
        <v>7338</v>
      </c>
      <c r="D4703">
        <v>22.433863</v>
      </c>
    </row>
    <row r="4704" spans="1:4">
      <c r="A4704" t="s">
        <v>6321</v>
      </c>
      <c r="B4704" t="s">
        <v>376</v>
      </c>
      <c r="C4704" t="s">
        <v>7339</v>
      </c>
      <c r="D4704">
        <v>109.061868</v>
      </c>
    </row>
    <row r="4705" spans="1:4">
      <c r="A4705" t="s">
        <v>6322</v>
      </c>
      <c r="B4705" t="s">
        <v>376</v>
      </c>
      <c r="C4705" t="s">
        <v>7340</v>
      </c>
      <c r="D4705">
        <v>156.35856</v>
      </c>
    </row>
    <row r="4706" spans="1:4">
      <c r="A4706" t="s">
        <v>6323</v>
      </c>
      <c r="B4706" t="s">
        <v>376</v>
      </c>
      <c r="C4706" t="s">
        <v>7294</v>
      </c>
      <c r="D4706">
        <v>220.774979</v>
      </c>
    </row>
    <row r="4707" spans="1:4">
      <c r="A4707" t="s">
        <v>6324</v>
      </c>
      <c r="B4707" t="s">
        <v>376</v>
      </c>
      <c r="C4707" t="s">
        <v>7341</v>
      </c>
      <c r="D4707">
        <v>0.136064</v>
      </c>
    </row>
    <row r="4708" spans="1:4">
      <c r="A4708" t="s">
        <v>6325</v>
      </c>
      <c r="B4708" t="s">
        <v>376</v>
      </c>
      <c r="C4708" t="s">
        <v>7295</v>
      </c>
      <c r="D4708">
        <v>386.429349</v>
      </c>
    </row>
    <row r="4709" spans="1:4">
      <c r="A4709" t="s">
        <v>6326</v>
      </c>
      <c r="B4709" t="s">
        <v>376</v>
      </c>
      <c r="C4709" t="s">
        <v>7342</v>
      </c>
      <c r="D4709">
        <v>13325.669232</v>
      </c>
    </row>
    <row r="4710" spans="1:4">
      <c r="A4710" t="s">
        <v>6327</v>
      </c>
      <c r="B4710" t="s">
        <v>376</v>
      </c>
      <c r="C4710" t="s">
        <v>7343</v>
      </c>
      <c r="D4710">
        <v>0.337134</v>
      </c>
    </row>
    <row r="4711" spans="1:4">
      <c r="A4711" t="s">
        <v>6328</v>
      </c>
      <c r="B4711" t="s">
        <v>376</v>
      </c>
      <c r="C4711" t="s">
        <v>7344</v>
      </c>
      <c r="D4711">
        <v>46.082898</v>
      </c>
    </row>
    <row r="4712" spans="1:4">
      <c r="A4712" t="s">
        <v>6329</v>
      </c>
      <c r="B4712" t="s">
        <v>376</v>
      </c>
      <c r="C4712" t="s">
        <v>7296</v>
      </c>
      <c r="D4712">
        <v>46.150894</v>
      </c>
    </row>
    <row r="4713" spans="1:4">
      <c r="A4713" t="s">
        <v>6330</v>
      </c>
      <c r="B4713" t="s">
        <v>376</v>
      </c>
      <c r="C4713" t="s">
        <v>7345</v>
      </c>
      <c r="D4713">
        <v>0.095343</v>
      </c>
    </row>
    <row r="4714" spans="1:4">
      <c r="A4714" t="s">
        <v>6331</v>
      </c>
      <c r="B4714" t="s">
        <v>376</v>
      </c>
      <c r="C4714" t="s">
        <v>7346</v>
      </c>
      <c r="D4714">
        <v>0.686462</v>
      </c>
    </row>
    <row r="4715" spans="1:4">
      <c r="A4715" t="s">
        <v>6332</v>
      </c>
      <c r="B4715" t="s">
        <v>376</v>
      </c>
      <c r="C4715" t="s">
        <v>7347</v>
      </c>
      <c r="D4715">
        <v>13.029881</v>
      </c>
    </row>
    <row r="4716" spans="1:4">
      <c r="A4716" t="s">
        <v>6333</v>
      </c>
      <c r="B4716" t="s">
        <v>376</v>
      </c>
      <c r="C4716" t="s">
        <v>7348</v>
      </c>
      <c r="D4716">
        <v>3.234585</v>
      </c>
    </row>
    <row r="4717" spans="1:4">
      <c r="A4717" t="s">
        <v>6334</v>
      </c>
      <c r="B4717" t="s">
        <v>376</v>
      </c>
      <c r="C4717" t="s">
        <v>7297</v>
      </c>
      <c r="D4717">
        <v>14.7045</v>
      </c>
    </row>
    <row r="4718" spans="1:4">
      <c r="A4718" t="s">
        <v>6335</v>
      </c>
      <c r="B4718" t="s">
        <v>376</v>
      </c>
      <c r="C4718" t="s">
        <v>7349</v>
      </c>
      <c r="D4718">
        <v>1.759596</v>
      </c>
    </row>
    <row r="4719" spans="1:4">
      <c r="A4719" t="s">
        <v>6336</v>
      </c>
      <c r="B4719" t="s">
        <v>376</v>
      </c>
      <c r="C4719" t="s">
        <v>7298</v>
      </c>
      <c r="D4719">
        <v>47.803763</v>
      </c>
    </row>
    <row r="4720" spans="1:4">
      <c r="A4720" t="s">
        <v>6337</v>
      </c>
      <c r="B4720" t="s">
        <v>376</v>
      </c>
      <c r="C4720" t="s">
        <v>7350</v>
      </c>
      <c r="D4720">
        <v>5.320234</v>
      </c>
    </row>
    <row r="4721" spans="1:4">
      <c r="A4721" t="s">
        <v>6338</v>
      </c>
      <c r="B4721" t="s">
        <v>376</v>
      </c>
      <c r="C4721" t="s">
        <v>7351</v>
      </c>
      <c r="D4721">
        <v>2.344593</v>
      </c>
    </row>
    <row r="4722" spans="1:4">
      <c r="A4722" t="s">
        <v>6339</v>
      </c>
      <c r="B4722" t="s">
        <v>376</v>
      </c>
      <c r="C4722" t="s">
        <v>7352</v>
      </c>
      <c r="D4722">
        <v>6.277323</v>
      </c>
    </row>
    <row r="4723" spans="1:4">
      <c r="A4723" t="s">
        <v>6340</v>
      </c>
      <c r="B4723" t="s">
        <v>376</v>
      </c>
      <c r="C4723" t="s">
        <v>7353</v>
      </c>
      <c r="D4723">
        <v>20.84781</v>
      </c>
    </row>
    <row r="4724" spans="1:4">
      <c r="A4724" t="s">
        <v>6341</v>
      </c>
      <c r="B4724" t="s">
        <v>376</v>
      </c>
      <c r="C4724" t="s">
        <v>7354</v>
      </c>
      <c r="D4724">
        <v>1.934326</v>
      </c>
    </row>
    <row r="4725" spans="1:4">
      <c r="A4725" t="s">
        <v>6342</v>
      </c>
      <c r="B4725" t="s">
        <v>376</v>
      </c>
      <c r="C4725" t="s">
        <v>7355</v>
      </c>
      <c r="D4725">
        <v>140.331243</v>
      </c>
    </row>
    <row r="4726" spans="1:4">
      <c r="A4726" t="s">
        <v>6343</v>
      </c>
      <c r="B4726" t="s">
        <v>376</v>
      </c>
      <c r="C4726" t="s">
        <v>7356</v>
      </c>
      <c r="D4726">
        <v>418.648767</v>
      </c>
    </row>
    <row r="4727" spans="1:4">
      <c r="A4727" t="s">
        <v>6344</v>
      </c>
      <c r="B4727" t="s">
        <v>376</v>
      </c>
      <c r="C4727" t="s">
        <v>7357</v>
      </c>
      <c r="D4727">
        <v>47.803763</v>
      </c>
    </row>
    <row r="4728" spans="1:4">
      <c r="A4728" t="s">
        <v>6345</v>
      </c>
      <c r="B4728" t="s">
        <v>376</v>
      </c>
      <c r="C4728" t="s">
        <v>7299</v>
      </c>
      <c r="D4728">
        <v>418.643361</v>
      </c>
    </row>
    <row r="4729" spans="1:4">
      <c r="A4729" t="s">
        <v>6346</v>
      </c>
      <c r="B4729" t="s">
        <v>376</v>
      </c>
      <c r="C4729" t="s">
        <v>7358</v>
      </c>
      <c r="D4729">
        <v>118.697342</v>
      </c>
    </row>
    <row r="4730" spans="1:4">
      <c r="A4730" t="s">
        <v>6347</v>
      </c>
      <c r="B4730" t="s">
        <v>376</v>
      </c>
      <c r="C4730" t="s">
        <v>7359</v>
      </c>
      <c r="D4730">
        <v>418.648767</v>
      </c>
    </row>
    <row r="4731" spans="1:4">
      <c r="A4731" t="s">
        <v>6348</v>
      </c>
      <c r="B4731" t="s">
        <v>376</v>
      </c>
      <c r="C4731" t="s">
        <v>7360</v>
      </c>
      <c r="D4731">
        <v>27.251863</v>
      </c>
    </row>
    <row r="4732" spans="1:4">
      <c r="A4732" t="s">
        <v>6349</v>
      </c>
      <c r="B4732" t="s">
        <v>376</v>
      </c>
      <c r="C4732" t="s">
        <v>7361</v>
      </c>
      <c r="D4732">
        <v>418.648767</v>
      </c>
    </row>
    <row r="4733" spans="1:4">
      <c r="A4733" t="s">
        <v>6350</v>
      </c>
      <c r="B4733" t="s">
        <v>376</v>
      </c>
      <c r="C4733" t="s">
        <v>7362</v>
      </c>
      <c r="D4733">
        <v>4.206302</v>
      </c>
    </row>
    <row r="4734" spans="1:4">
      <c r="A4734" t="s">
        <v>6351</v>
      </c>
      <c r="B4734" t="s">
        <v>376</v>
      </c>
      <c r="C4734" t="s">
        <v>7363</v>
      </c>
      <c r="D4734">
        <v>0.035548</v>
      </c>
    </row>
    <row r="4735" spans="1:4">
      <c r="A4735" t="s">
        <v>6352</v>
      </c>
      <c r="B4735" t="s">
        <v>376</v>
      </c>
      <c r="C4735" t="s">
        <v>7364</v>
      </c>
      <c r="D4735">
        <v>40.939459</v>
      </c>
    </row>
    <row r="4736" spans="1:4">
      <c r="A4736" t="s">
        <v>6353</v>
      </c>
      <c r="B4736" t="s">
        <v>376</v>
      </c>
      <c r="C4736" t="s">
        <v>7365</v>
      </c>
      <c r="D4736">
        <v>1.493663</v>
      </c>
    </row>
    <row r="4737" spans="1:4">
      <c r="A4737" t="s">
        <v>6354</v>
      </c>
      <c r="B4737" t="s">
        <v>376</v>
      </c>
      <c r="C4737" t="s">
        <v>7300</v>
      </c>
      <c r="D4737">
        <v>39.873426</v>
      </c>
    </row>
    <row r="4738" spans="1:4">
      <c r="A4738" t="s">
        <v>6355</v>
      </c>
      <c r="B4738" t="s">
        <v>376</v>
      </c>
      <c r="C4738" t="s">
        <v>7366</v>
      </c>
      <c r="D4738">
        <v>11.670572</v>
      </c>
    </row>
    <row r="4739" spans="1:4">
      <c r="A4739" t="s">
        <v>6356</v>
      </c>
      <c r="B4739" t="s">
        <v>376</v>
      </c>
      <c r="C4739" t="s">
        <v>7367</v>
      </c>
      <c r="D4739">
        <v>47.337121</v>
      </c>
    </row>
    <row r="4740" spans="1:4">
      <c r="A4740" t="s">
        <v>6357</v>
      </c>
      <c r="B4740" t="s">
        <v>376</v>
      </c>
      <c r="C4740" t="s">
        <v>7368</v>
      </c>
      <c r="D4740">
        <v>2.388236</v>
      </c>
    </row>
    <row r="4741" spans="1:4">
      <c r="A4741" t="s">
        <v>6358</v>
      </c>
      <c r="B4741" t="s">
        <v>376</v>
      </c>
      <c r="C4741" t="s">
        <v>7301</v>
      </c>
      <c r="D4741">
        <v>0.017259</v>
      </c>
    </row>
    <row r="4742" spans="1:4">
      <c r="A4742" t="s">
        <v>6359</v>
      </c>
      <c r="B4742" t="s">
        <v>376</v>
      </c>
      <c r="C4742" t="s">
        <v>7302</v>
      </c>
      <c r="D4742">
        <v>103.893086</v>
      </c>
    </row>
    <row r="4743" spans="1:4">
      <c r="A4743" t="s">
        <v>6360</v>
      </c>
      <c r="B4743" t="s">
        <v>376</v>
      </c>
      <c r="C4743" t="s">
        <v>7369</v>
      </c>
      <c r="D4743">
        <v>418.648767</v>
      </c>
    </row>
    <row r="4744" spans="1:4">
      <c r="A4744" t="s">
        <v>6361</v>
      </c>
      <c r="B4744" t="s">
        <v>376</v>
      </c>
      <c r="C4744" t="s">
        <v>7303</v>
      </c>
      <c r="D4744">
        <v>3.278043</v>
      </c>
    </row>
    <row r="4745" spans="1:4">
      <c r="A4745" t="s">
        <v>6362</v>
      </c>
      <c r="B4745" t="s">
        <v>376</v>
      </c>
      <c r="C4745" t="s">
        <v>7370</v>
      </c>
      <c r="D4745">
        <v>0.238621</v>
      </c>
    </row>
    <row r="4746" spans="1:4">
      <c r="A4746" t="s">
        <v>6363</v>
      </c>
      <c r="B4746" t="s">
        <v>376</v>
      </c>
      <c r="C4746" t="s">
        <v>7371</v>
      </c>
      <c r="D4746">
        <v>0.000227</v>
      </c>
    </row>
    <row r="4747" spans="1:4">
      <c r="A4747" t="s">
        <v>6364</v>
      </c>
      <c r="B4747" t="s">
        <v>376</v>
      </c>
      <c r="C4747" t="s">
        <v>7304</v>
      </c>
      <c r="D4747">
        <v>2.4878</v>
      </c>
    </row>
    <row r="4748" spans="1:4">
      <c r="A4748" t="s">
        <v>6365</v>
      </c>
      <c r="B4748" t="s">
        <v>376</v>
      </c>
      <c r="C4748" t="s">
        <v>7372</v>
      </c>
      <c r="D4748">
        <v>418.648767</v>
      </c>
    </row>
    <row r="4749" spans="1:4">
      <c r="A4749" t="s">
        <v>6366</v>
      </c>
      <c r="B4749" t="s">
        <v>376</v>
      </c>
      <c r="C4749" t="s">
        <v>7373</v>
      </c>
      <c r="D4749">
        <v>1.967482</v>
      </c>
    </row>
    <row r="4750" spans="1:4">
      <c r="A4750" t="s">
        <v>6367</v>
      </c>
      <c r="B4750" t="s">
        <v>376</v>
      </c>
      <c r="C4750" t="s">
        <v>7374</v>
      </c>
      <c r="D4750">
        <v>441.0678</v>
      </c>
    </row>
    <row r="4751" spans="1:4">
      <c r="A4751" t="s">
        <v>6368</v>
      </c>
      <c r="B4751" t="s">
        <v>376</v>
      </c>
      <c r="C4751" t="s">
        <v>7305</v>
      </c>
      <c r="D4751">
        <v>1.931845</v>
      </c>
    </row>
    <row r="4752" spans="1:4">
      <c r="A4752" t="s">
        <v>6369</v>
      </c>
      <c r="B4752" t="s">
        <v>376</v>
      </c>
      <c r="C4752" t="s">
        <v>7375</v>
      </c>
      <c r="D4752">
        <v>2.416513</v>
      </c>
    </row>
    <row r="4753" spans="1:4">
      <c r="A4753" t="s">
        <v>6370</v>
      </c>
      <c r="B4753" t="s">
        <v>376</v>
      </c>
      <c r="C4753" t="s">
        <v>7376</v>
      </c>
      <c r="D4753">
        <v>3.57081</v>
      </c>
    </row>
    <row r="4754" spans="1:4">
      <c r="A4754" t="s">
        <v>6371</v>
      </c>
      <c r="B4754" t="s">
        <v>376</v>
      </c>
      <c r="C4754" t="s">
        <v>7377</v>
      </c>
      <c r="D4754">
        <v>0.077171</v>
      </c>
    </row>
    <row r="4755" spans="1:4">
      <c r="A4755" t="s">
        <v>6372</v>
      </c>
      <c r="B4755" t="s">
        <v>376</v>
      </c>
      <c r="C4755" t="s">
        <v>7378</v>
      </c>
      <c r="D4755">
        <v>217.049859</v>
      </c>
    </row>
    <row r="4756" spans="1:4">
      <c r="A4756" t="s">
        <v>6373</v>
      </c>
      <c r="B4756" t="s">
        <v>376</v>
      </c>
      <c r="C4756" t="s">
        <v>7379</v>
      </c>
      <c r="D4756">
        <v>0.724969</v>
      </c>
    </row>
    <row r="4757" spans="1:4">
      <c r="A4757" t="s">
        <v>6374</v>
      </c>
      <c r="B4757" t="s">
        <v>376</v>
      </c>
      <c r="C4757" t="s">
        <v>7306</v>
      </c>
      <c r="D4757">
        <v>0.207896</v>
      </c>
    </row>
    <row r="4758" spans="1:4">
      <c r="A4758" t="s">
        <v>6375</v>
      </c>
      <c r="B4758" t="s">
        <v>376</v>
      </c>
      <c r="C4758" t="s">
        <v>7380</v>
      </c>
      <c r="D4758">
        <v>1010.836523</v>
      </c>
    </row>
    <row r="4759" spans="1:4">
      <c r="A4759" t="s">
        <v>6376</v>
      </c>
      <c r="B4759" t="s">
        <v>376</v>
      </c>
      <c r="C4759" t="s">
        <v>7381</v>
      </c>
      <c r="D4759">
        <v>375.260577</v>
      </c>
    </row>
    <row r="4760" spans="1:4">
      <c r="A4760" t="s">
        <v>6377</v>
      </c>
      <c r="B4760" t="s">
        <v>376</v>
      </c>
      <c r="C4760" t="s">
        <v>7382</v>
      </c>
      <c r="D4760">
        <v>0.659787</v>
      </c>
    </row>
    <row r="4761" spans="1:4">
      <c r="A4761" t="s">
        <v>6378</v>
      </c>
      <c r="B4761" t="s">
        <v>376</v>
      </c>
      <c r="C4761" t="s">
        <v>7383</v>
      </c>
      <c r="D4761">
        <v>0.013973</v>
      </c>
    </row>
    <row r="4762" spans="1:4">
      <c r="A4762" t="s">
        <v>6379</v>
      </c>
      <c r="B4762" t="s">
        <v>376</v>
      </c>
      <c r="C4762" t="s">
        <v>7384</v>
      </c>
      <c r="D4762">
        <v>0.003494</v>
      </c>
    </row>
    <row r="4763" spans="1:4">
      <c r="A4763" t="s">
        <v>6380</v>
      </c>
      <c r="B4763" t="s">
        <v>376</v>
      </c>
      <c r="C4763" t="s">
        <v>7385</v>
      </c>
      <c r="D4763">
        <v>0.931715</v>
      </c>
    </row>
    <row r="4764" spans="1:4">
      <c r="A4764" t="s">
        <v>6381</v>
      </c>
      <c r="B4764" t="s">
        <v>376</v>
      </c>
      <c r="C4764" t="s">
        <v>7386</v>
      </c>
      <c r="D4764">
        <v>1.722543</v>
      </c>
    </row>
    <row r="4765" spans="1:4">
      <c r="A4765" t="s">
        <v>6382</v>
      </c>
      <c r="B4765" t="s">
        <v>376</v>
      </c>
      <c r="C4765" t="s">
        <v>7387</v>
      </c>
      <c r="D4765">
        <v>19.124558</v>
      </c>
    </row>
    <row r="4766" spans="1:4">
      <c r="A4766" t="s">
        <v>6383</v>
      </c>
      <c r="B4766" t="s">
        <v>376</v>
      </c>
      <c r="C4766" t="s">
        <v>7388</v>
      </c>
      <c r="D4766">
        <v>48.861359</v>
      </c>
    </row>
    <row r="4767" spans="1:4">
      <c r="A4767" t="s">
        <v>6384</v>
      </c>
      <c r="B4767" t="s">
        <v>376</v>
      </c>
      <c r="C4767" t="s">
        <v>7389</v>
      </c>
      <c r="D4767">
        <v>33.42944</v>
      </c>
    </row>
    <row r="4768" spans="1:4">
      <c r="A4768" t="s">
        <v>6385</v>
      </c>
      <c r="B4768" t="s">
        <v>376</v>
      </c>
      <c r="C4768" t="s">
        <v>7390</v>
      </c>
      <c r="D4768">
        <v>17.836228</v>
      </c>
    </row>
    <row r="4769" spans="1:4">
      <c r="A4769" t="s">
        <v>6386</v>
      </c>
      <c r="B4769" t="s">
        <v>376</v>
      </c>
      <c r="C4769" t="s">
        <v>7391</v>
      </c>
      <c r="D4769">
        <v>0.07321</v>
      </c>
    </row>
    <row r="4770" spans="1:4">
      <c r="A4770" t="s">
        <v>6387</v>
      </c>
      <c r="B4770" t="s">
        <v>376</v>
      </c>
      <c r="C4770" t="s">
        <v>7392</v>
      </c>
      <c r="D4770">
        <v>5.787893</v>
      </c>
    </row>
    <row r="4771" spans="1:4">
      <c r="A4771" t="s">
        <v>6388</v>
      </c>
      <c r="B4771" t="s">
        <v>376</v>
      </c>
      <c r="C4771" t="s">
        <v>7393</v>
      </c>
      <c r="D4771">
        <v>0.148551</v>
      </c>
    </row>
    <row r="4772" spans="1:4">
      <c r="A4772" t="s">
        <v>6389</v>
      </c>
      <c r="B4772" t="s">
        <v>376</v>
      </c>
      <c r="C4772" t="s">
        <v>7394</v>
      </c>
      <c r="D4772">
        <v>0.087439</v>
      </c>
    </row>
    <row r="4773" spans="1:4">
      <c r="A4773" t="s">
        <v>6390</v>
      </c>
      <c r="B4773" t="s">
        <v>376</v>
      </c>
      <c r="C4773" t="s">
        <v>7395</v>
      </c>
      <c r="D4773">
        <v>38.712103</v>
      </c>
    </row>
    <row r="4774" spans="1:4">
      <c r="A4774" t="s">
        <v>6391</v>
      </c>
      <c r="B4774" t="s">
        <v>376</v>
      </c>
      <c r="C4774" t="s">
        <v>7396</v>
      </c>
      <c r="D4774">
        <v>7.796291</v>
      </c>
    </row>
    <row r="4775" spans="1:4">
      <c r="A4775" t="s">
        <v>6392</v>
      </c>
      <c r="B4775" t="s">
        <v>376</v>
      </c>
      <c r="C4775" t="s">
        <v>7397</v>
      </c>
      <c r="D4775">
        <v>6.636566</v>
      </c>
    </row>
    <row r="4776" spans="1:4">
      <c r="A4776" t="s">
        <v>6393</v>
      </c>
      <c r="B4776" t="s">
        <v>376</v>
      </c>
      <c r="C4776" t="s">
        <v>7398</v>
      </c>
      <c r="D4776">
        <v>20.201432</v>
      </c>
    </row>
    <row r="4777" spans="1:4">
      <c r="A4777" t="s">
        <v>6394</v>
      </c>
      <c r="B4777" t="s">
        <v>376</v>
      </c>
      <c r="C4777" t="s">
        <v>7399</v>
      </c>
      <c r="D4777">
        <v>0.179509</v>
      </c>
    </row>
    <row r="4778" spans="1:4">
      <c r="A4778" t="s">
        <v>6395</v>
      </c>
      <c r="B4778" t="s">
        <v>376</v>
      </c>
      <c r="C4778" t="s">
        <v>7307</v>
      </c>
      <c r="D4778">
        <v>17.851757</v>
      </c>
    </row>
    <row r="4779" spans="1:4">
      <c r="A4779" t="s">
        <v>6396</v>
      </c>
      <c r="B4779" t="s">
        <v>376</v>
      </c>
      <c r="C4779" t="s">
        <v>7308</v>
      </c>
      <c r="D4779">
        <v>76.789226</v>
      </c>
    </row>
    <row r="4780" spans="1:4">
      <c r="A4780" t="s">
        <v>6397</v>
      </c>
      <c r="B4780" t="s">
        <v>376</v>
      </c>
      <c r="C4780" t="s">
        <v>7400</v>
      </c>
      <c r="D4780">
        <v>4.909694</v>
      </c>
    </row>
    <row r="4781" spans="1:4">
      <c r="A4781" t="s">
        <v>6398</v>
      </c>
      <c r="B4781" t="s">
        <v>376</v>
      </c>
      <c r="C4781" t="s">
        <v>7401</v>
      </c>
      <c r="D4781">
        <v>19.124558</v>
      </c>
    </row>
    <row r="4782" spans="1:4">
      <c r="A4782" t="s">
        <v>6399</v>
      </c>
      <c r="B4782" t="s">
        <v>376</v>
      </c>
      <c r="C4782" t="s">
        <v>7402</v>
      </c>
      <c r="D4782">
        <v>0.227478</v>
      </c>
    </row>
    <row r="4783" spans="1:4">
      <c r="A4783" t="s">
        <v>6400</v>
      </c>
      <c r="B4783" t="s">
        <v>376</v>
      </c>
      <c r="C4783" t="s">
        <v>7403</v>
      </c>
      <c r="D4783">
        <v>8.489036</v>
      </c>
    </row>
    <row r="4784" spans="1:4">
      <c r="A4784" t="s">
        <v>6401</v>
      </c>
      <c r="B4784" t="s">
        <v>376</v>
      </c>
      <c r="C4784" t="s">
        <v>7309</v>
      </c>
      <c r="D4784">
        <v>31.978473</v>
      </c>
    </row>
    <row r="4785" spans="1:4">
      <c r="A4785" t="s">
        <v>6402</v>
      </c>
      <c r="B4785" t="s">
        <v>376</v>
      </c>
      <c r="C4785" t="s">
        <v>7404</v>
      </c>
      <c r="D4785">
        <v>2.048634</v>
      </c>
    </row>
    <row r="4786" spans="1:4">
      <c r="A4786" t="s">
        <v>6403</v>
      </c>
      <c r="B4786" t="s">
        <v>376</v>
      </c>
      <c r="C4786" t="s">
        <v>7310</v>
      </c>
      <c r="D4786">
        <v>180.021531</v>
      </c>
    </row>
    <row r="4787" spans="1:4">
      <c r="A4787" t="s">
        <v>6404</v>
      </c>
      <c r="B4787" t="s">
        <v>376</v>
      </c>
      <c r="C4787" t="s">
        <v>7405</v>
      </c>
      <c r="D4787">
        <v>813.3153119999999</v>
      </c>
    </row>
    <row r="4788" spans="1:4">
      <c r="A4788" t="s">
        <v>6405</v>
      </c>
      <c r="B4788" t="s">
        <v>376</v>
      </c>
      <c r="C4788" t="s">
        <v>7406</v>
      </c>
      <c r="D4788">
        <v>312.717257</v>
      </c>
    </row>
    <row r="4789" spans="1:4">
      <c r="A4789" t="s">
        <v>6406</v>
      </c>
      <c r="B4789" t="s">
        <v>376</v>
      </c>
      <c r="C4789" t="s">
        <v>7407</v>
      </c>
      <c r="D4789">
        <v>91.97252400000001</v>
      </c>
    </row>
    <row r="4790" spans="1:4">
      <c r="A4790" t="s">
        <v>6407</v>
      </c>
      <c r="B4790" t="s">
        <v>376</v>
      </c>
      <c r="C4790" t="s">
        <v>7408</v>
      </c>
      <c r="D4790">
        <v>70.52496600000001</v>
      </c>
    </row>
    <row r="4791" spans="1:4">
      <c r="A4791" t="s">
        <v>6408</v>
      </c>
      <c r="B4791" t="s">
        <v>376</v>
      </c>
      <c r="C4791" t="s">
        <v>7311</v>
      </c>
      <c r="D4791">
        <v>5.07551</v>
      </c>
    </row>
    <row r="4792" spans="1:4">
      <c r="A4792" t="s">
        <v>6409</v>
      </c>
      <c r="B4792" t="s">
        <v>376</v>
      </c>
      <c r="C4792" t="s">
        <v>7409</v>
      </c>
      <c r="D4792">
        <v>1.124329</v>
      </c>
    </row>
    <row r="4793" spans="1:4">
      <c r="A4793" t="s">
        <v>6410</v>
      </c>
      <c r="B4793" t="s">
        <v>376</v>
      </c>
      <c r="C4793" t="s">
        <v>7312</v>
      </c>
      <c r="D4793">
        <v>82.234345</v>
      </c>
    </row>
    <row r="4794" spans="1:4">
      <c r="A4794" t="s">
        <v>6411</v>
      </c>
      <c r="B4794" t="s">
        <v>376</v>
      </c>
      <c r="C4794" t="s">
        <v>7410</v>
      </c>
      <c r="D4794">
        <v>0.051512</v>
      </c>
    </row>
    <row r="4795" spans="1:4">
      <c r="A4795" t="s">
        <v>6412</v>
      </c>
      <c r="B4795" t="s">
        <v>376</v>
      </c>
      <c r="C4795" t="s">
        <v>7411</v>
      </c>
      <c r="D4795">
        <v>85.9113</v>
      </c>
    </row>
    <row r="4796" spans="1:4">
      <c r="A4796" t="s">
        <v>6413</v>
      </c>
      <c r="B4796" t="s">
        <v>376</v>
      </c>
      <c r="C4796" t="s">
        <v>7313</v>
      </c>
      <c r="D4796">
        <v>68.143505</v>
      </c>
    </row>
    <row r="4797" spans="1:4">
      <c r="A4797" t="s">
        <v>6414</v>
      </c>
      <c r="B4797" t="s">
        <v>376</v>
      </c>
      <c r="C4797" t="s">
        <v>7412</v>
      </c>
      <c r="D4797">
        <v>3.039393</v>
      </c>
    </row>
    <row r="4798" spans="1:4">
      <c r="A4798" t="s">
        <v>6415</v>
      </c>
      <c r="B4798" t="s">
        <v>376</v>
      </c>
      <c r="C4798" t="s">
        <v>7413</v>
      </c>
      <c r="D4798">
        <v>4.063437</v>
      </c>
    </row>
    <row r="4799" spans="1:4">
      <c r="A4799" t="s">
        <v>6416</v>
      </c>
      <c r="B4799" t="s">
        <v>376</v>
      </c>
      <c r="C4799" t="s">
        <v>7414</v>
      </c>
      <c r="D4799">
        <v>0.212958</v>
      </c>
    </row>
    <row r="4800" spans="1:4">
      <c r="A4800" t="s">
        <v>6417</v>
      </c>
      <c r="B4800" t="s">
        <v>376</v>
      </c>
      <c r="C4800" t="s">
        <v>7415</v>
      </c>
      <c r="D4800">
        <v>83.391249</v>
      </c>
    </row>
    <row r="4801" spans="1:4">
      <c r="A4801" t="s">
        <v>6418</v>
      </c>
      <c r="B4801" t="s">
        <v>376</v>
      </c>
      <c r="C4801" t="s">
        <v>7416</v>
      </c>
      <c r="D4801">
        <v>39.185566</v>
      </c>
    </row>
    <row r="4802" spans="1:4">
      <c r="A4802" t="s">
        <v>6419</v>
      </c>
      <c r="B4802" t="s">
        <v>376</v>
      </c>
      <c r="C4802" t="s">
        <v>7417</v>
      </c>
      <c r="D4802">
        <v>21.261741</v>
      </c>
    </row>
    <row r="4803" spans="1:4">
      <c r="A4803" t="s">
        <v>6420</v>
      </c>
      <c r="B4803" t="s">
        <v>376</v>
      </c>
      <c r="C4803" t="s">
        <v>7418</v>
      </c>
      <c r="D4803">
        <v>0.6986</v>
      </c>
    </row>
    <row r="4804" spans="1:4">
      <c r="A4804" t="s">
        <v>6421</v>
      </c>
      <c r="B4804" t="s">
        <v>376</v>
      </c>
      <c r="C4804" t="s">
        <v>7314</v>
      </c>
      <c r="D4804">
        <v>32.317771</v>
      </c>
    </row>
    <row r="4805" spans="1:4">
      <c r="A4805" t="s">
        <v>6422</v>
      </c>
      <c r="B4805" t="s">
        <v>376</v>
      </c>
      <c r="C4805" t="s">
        <v>7315</v>
      </c>
      <c r="D4805">
        <v>241.937785</v>
      </c>
    </row>
    <row r="4806" spans="1:4">
      <c r="A4806" t="s">
        <v>6423</v>
      </c>
      <c r="B4806" t="s">
        <v>376</v>
      </c>
      <c r="C4806" t="s">
        <v>7419</v>
      </c>
      <c r="D4806">
        <v>418.648767</v>
      </c>
    </row>
    <row r="4807" spans="1:4">
      <c r="A4807" t="s">
        <v>6424</v>
      </c>
      <c r="B4807" t="s">
        <v>376</v>
      </c>
      <c r="C4807" t="s">
        <v>7420</v>
      </c>
      <c r="D4807">
        <v>12.854091</v>
      </c>
    </row>
    <row r="4808" spans="1:4">
      <c r="A4808" t="s">
        <v>6425</v>
      </c>
      <c r="B4808" t="s">
        <v>376</v>
      </c>
      <c r="C4808" t="s">
        <v>7421</v>
      </c>
      <c r="D4808">
        <v>0.012854</v>
      </c>
    </row>
    <row r="4809" spans="1:4">
      <c r="A4809" t="s">
        <v>6426</v>
      </c>
      <c r="B4809" t="s">
        <v>376</v>
      </c>
      <c r="C4809" t="s">
        <v>7422</v>
      </c>
      <c r="D4809">
        <v>0.546289</v>
      </c>
    </row>
    <row r="4810" spans="1:4">
      <c r="A4810" t="s">
        <v>6427</v>
      </c>
      <c r="B4810" t="s">
        <v>376</v>
      </c>
      <c r="C4810" t="s">
        <v>7423</v>
      </c>
      <c r="D4810">
        <v>8.286732000000001</v>
      </c>
    </row>
    <row r="4811" spans="1:4">
      <c r="A4811" t="s">
        <v>6428</v>
      </c>
      <c r="B4811" t="s">
        <v>376</v>
      </c>
      <c r="C4811" t="s">
        <v>7424</v>
      </c>
      <c r="D4811">
        <v>0.065154</v>
      </c>
    </row>
    <row r="4812" spans="1:4">
      <c r="A4812" t="s">
        <v>6429</v>
      </c>
      <c r="B4812" t="s">
        <v>376</v>
      </c>
      <c r="C4812" t="s">
        <v>7425</v>
      </c>
      <c r="D4812">
        <v>14.557614</v>
      </c>
    </row>
    <row r="4813" spans="1:4">
      <c r="A4813" t="s">
        <v>6430</v>
      </c>
      <c r="B4813" t="s">
        <v>376</v>
      </c>
      <c r="C4813" t="s">
        <v>7426</v>
      </c>
      <c r="D4813">
        <v>2.567638</v>
      </c>
    </row>
    <row r="4814" spans="1:4">
      <c r="A4814" t="s">
        <v>6431</v>
      </c>
      <c r="B4814" t="s">
        <v>376</v>
      </c>
      <c r="C4814" t="s">
        <v>7427</v>
      </c>
      <c r="D4814">
        <v>19.124558</v>
      </c>
    </row>
    <row r="4815" spans="1:4">
      <c r="A4815" t="s">
        <v>6432</v>
      </c>
      <c r="B4815" t="s">
        <v>376</v>
      </c>
      <c r="C4815" t="s">
        <v>7316</v>
      </c>
      <c r="D4815">
        <v>9.374748</v>
      </c>
    </row>
    <row r="4816" spans="1:4">
      <c r="A4816" t="s">
        <v>6433</v>
      </c>
      <c r="B4816" t="s">
        <v>376</v>
      </c>
      <c r="C4816" t="s">
        <v>7428</v>
      </c>
      <c r="D4816">
        <v>33.782179</v>
      </c>
    </row>
    <row r="4817" spans="1:4">
      <c r="A4817" t="s">
        <v>6434</v>
      </c>
      <c r="B4817" t="s">
        <v>376</v>
      </c>
      <c r="C4817" t="s">
        <v>7429</v>
      </c>
      <c r="D4817">
        <v>89.22866999999999</v>
      </c>
    </row>
    <row r="4818" spans="1:4">
      <c r="A4818" t="s">
        <v>6435</v>
      </c>
      <c r="B4818" t="s">
        <v>376</v>
      </c>
      <c r="C4818" t="s">
        <v>7430</v>
      </c>
      <c r="D4818">
        <v>106.166203</v>
      </c>
    </row>
    <row r="4819" spans="1:4">
      <c r="A4819" t="s">
        <v>6436</v>
      </c>
      <c r="B4819" t="s">
        <v>376</v>
      </c>
      <c r="C4819" t="s">
        <v>7431</v>
      </c>
      <c r="D4819">
        <v>130.918983</v>
      </c>
    </row>
    <row r="4820" spans="1:4">
      <c r="A4820" t="s">
        <v>6437</v>
      </c>
      <c r="B4820" t="s">
        <v>376</v>
      </c>
      <c r="C4820" t="s">
        <v>7317</v>
      </c>
      <c r="D4820">
        <v>6.649252</v>
      </c>
    </row>
    <row r="4821" spans="1:4">
      <c r="A4821" t="s">
        <v>6438</v>
      </c>
      <c r="B4821" t="s">
        <v>376</v>
      </c>
      <c r="C4821" t="s">
        <v>7432</v>
      </c>
      <c r="D4821">
        <v>45.718388</v>
      </c>
    </row>
    <row r="4822" spans="1:4">
      <c r="A4822" t="s">
        <v>6439</v>
      </c>
      <c r="B4822" t="s">
        <v>376</v>
      </c>
      <c r="C4822" t="s">
        <v>7433</v>
      </c>
      <c r="D4822">
        <v>217.049859</v>
      </c>
    </row>
    <row r="4823" spans="1:4">
      <c r="A4823" t="s">
        <v>6440</v>
      </c>
      <c r="B4823" t="s">
        <v>376</v>
      </c>
      <c r="C4823" t="s">
        <v>7434</v>
      </c>
      <c r="D4823">
        <v>9.732903</v>
      </c>
    </row>
    <row r="4824" spans="1:4">
      <c r="A4824" t="s">
        <v>6441</v>
      </c>
      <c r="B4824" t="s">
        <v>376</v>
      </c>
      <c r="C4824" t="s">
        <v>7435</v>
      </c>
      <c r="D4824">
        <v>0.119106</v>
      </c>
    </row>
    <row r="4825" spans="1:4">
      <c r="A4825" t="s">
        <v>6442</v>
      </c>
      <c r="B4825" t="s">
        <v>376</v>
      </c>
      <c r="C4825" t="s">
        <v>7436</v>
      </c>
      <c r="D4825">
        <v>7.013899</v>
      </c>
    </row>
    <row r="4826" spans="1:4">
      <c r="A4826" t="s">
        <v>6443</v>
      </c>
      <c r="B4826" t="s">
        <v>376</v>
      </c>
      <c r="C4826" t="s">
        <v>7437</v>
      </c>
      <c r="D4826">
        <v>0.0854</v>
      </c>
    </row>
    <row r="4827" spans="1:4">
      <c r="A4827" t="s">
        <v>6444</v>
      </c>
      <c r="B4827" t="s">
        <v>376</v>
      </c>
      <c r="C4827" t="s">
        <v>399</v>
      </c>
      <c r="D4827">
        <v>312.716983</v>
      </c>
    </row>
    <row r="4828" spans="1:4">
      <c r="A4828" t="s">
        <v>6445</v>
      </c>
      <c r="B4828" t="s">
        <v>376</v>
      </c>
      <c r="C4828" t="s">
        <v>7438</v>
      </c>
      <c r="D4828">
        <v>7.772759</v>
      </c>
    </row>
    <row r="4829" spans="1:4">
      <c r="A4829" t="s">
        <v>6446</v>
      </c>
      <c r="B4829" t="s">
        <v>376</v>
      </c>
      <c r="C4829" t="s">
        <v>7439</v>
      </c>
      <c r="D4829">
        <v>0.025508</v>
      </c>
    </row>
    <row r="4830" spans="1:4">
      <c r="A4830" t="s">
        <v>6447</v>
      </c>
      <c r="B4830" t="s">
        <v>376</v>
      </c>
      <c r="C4830" t="s">
        <v>7440</v>
      </c>
      <c r="D4830">
        <v>0.432872</v>
      </c>
    </row>
    <row r="4831" spans="1:4">
      <c r="A4831" t="s">
        <v>6448</v>
      </c>
      <c r="B4831" t="s">
        <v>376</v>
      </c>
      <c r="C4831" t="s">
        <v>7441</v>
      </c>
      <c r="D4831">
        <v>0.011935</v>
      </c>
    </row>
    <row r="4832" spans="1:4">
      <c r="A4832" t="s">
        <v>6449</v>
      </c>
      <c r="B4832" t="s">
        <v>376</v>
      </c>
      <c r="C4832" t="s">
        <v>7442</v>
      </c>
      <c r="D4832">
        <v>2.60654</v>
      </c>
    </row>
    <row r="4833" spans="1:4">
      <c r="A4833" t="s">
        <v>6450</v>
      </c>
      <c r="B4833" t="s">
        <v>376</v>
      </c>
      <c r="C4833" t="s">
        <v>7443</v>
      </c>
      <c r="D4833">
        <v>114.614208</v>
      </c>
    </row>
    <row r="4834" spans="1:4">
      <c r="A4834" t="s">
        <v>6451</v>
      </c>
      <c r="B4834" t="s">
        <v>376</v>
      </c>
      <c r="C4834" t="s">
        <v>7444</v>
      </c>
      <c r="D4834">
        <v>0.543727</v>
      </c>
    </row>
    <row r="4835" spans="1:4">
      <c r="A4835" t="s">
        <v>6452</v>
      </c>
      <c r="B4835" t="s">
        <v>376</v>
      </c>
      <c r="C4835" t="s">
        <v>7445</v>
      </c>
      <c r="D4835">
        <v>115.821161</v>
      </c>
    </row>
    <row r="4836" spans="1:4">
      <c r="A4836" t="s">
        <v>6453</v>
      </c>
      <c r="B4836" t="s">
        <v>376</v>
      </c>
      <c r="C4836" t="s">
        <v>7446</v>
      </c>
      <c r="D4836">
        <v>174.702289</v>
      </c>
    </row>
    <row r="4837" spans="1:4">
      <c r="A4837" t="s">
        <v>6454</v>
      </c>
      <c r="B4837" t="s">
        <v>376</v>
      </c>
      <c r="C4837" t="s">
        <v>7447</v>
      </c>
      <c r="D4837">
        <v>423.544761</v>
      </c>
    </row>
    <row r="4838" spans="1:4">
      <c r="A4838" t="s">
        <v>6455</v>
      </c>
      <c r="B4838" t="s">
        <v>376</v>
      </c>
      <c r="C4838" t="s">
        <v>7448</v>
      </c>
      <c r="D4838">
        <v>0.543727</v>
      </c>
    </row>
    <row r="4839" spans="1:4">
      <c r="A4839" t="s">
        <v>6456</v>
      </c>
      <c r="B4839" t="s">
        <v>376</v>
      </c>
      <c r="C4839" t="s">
        <v>7449</v>
      </c>
      <c r="D4839">
        <v>2.988817</v>
      </c>
    </row>
    <row r="4840" spans="1:4">
      <c r="A4840" t="s">
        <v>6457</v>
      </c>
      <c r="B4840" t="s">
        <v>376</v>
      </c>
      <c r="C4840" t="s">
        <v>7450</v>
      </c>
      <c r="D4840">
        <v>1.314331</v>
      </c>
    </row>
    <row r="4841" spans="1:4">
      <c r="A4841" t="s">
        <v>6458</v>
      </c>
      <c r="B4841" t="s">
        <v>376</v>
      </c>
      <c r="C4841" t="s">
        <v>7318</v>
      </c>
      <c r="D4841">
        <v>19.124646</v>
      </c>
    </row>
    <row r="4842" spans="1:4">
      <c r="A4842" t="s">
        <v>6459</v>
      </c>
      <c r="B4842" t="s">
        <v>376</v>
      </c>
      <c r="C4842" t="s">
        <v>7451</v>
      </c>
      <c r="D4842">
        <v>17.334163</v>
      </c>
    </row>
    <row r="4843" spans="1:4">
      <c r="A4843" t="s">
        <v>6460</v>
      </c>
      <c r="B4843" t="s">
        <v>376</v>
      </c>
      <c r="C4843" t="s">
        <v>7452</v>
      </c>
      <c r="D4843">
        <v>11.672275</v>
      </c>
    </row>
    <row r="4844" spans="1:4">
      <c r="A4844" t="s">
        <v>6461</v>
      </c>
      <c r="B4844" t="s">
        <v>376</v>
      </c>
      <c r="C4844" t="s">
        <v>7453</v>
      </c>
      <c r="D4844">
        <v>11.672275</v>
      </c>
    </row>
    <row r="4845" spans="1:4">
      <c r="A4845" t="s">
        <v>6462</v>
      </c>
      <c r="B4845" t="s">
        <v>377</v>
      </c>
      <c r="C4845" t="s">
        <v>397</v>
      </c>
      <c r="D4845">
        <v>359.105689</v>
      </c>
    </row>
    <row r="4846" spans="1:4">
      <c r="A4846" t="s">
        <v>6463</v>
      </c>
      <c r="B4846" t="s">
        <v>377</v>
      </c>
      <c r="C4846" t="s">
        <v>7319</v>
      </c>
      <c r="D4846">
        <v>85.406391</v>
      </c>
    </row>
    <row r="4847" spans="1:4">
      <c r="A4847" t="s">
        <v>6464</v>
      </c>
      <c r="B4847" t="s">
        <v>377</v>
      </c>
      <c r="C4847" t="s">
        <v>7320</v>
      </c>
      <c r="D4847">
        <v>4.755813</v>
      </c>
    </row>
    <row r="4848" spans="1:4">
      <c r="A4848" t="s">
        <v>6465</v>
      </c>
      <c r="B4848" t="s">
        <v>377</v>
      </c>
      <c r="C4848" t="s">
        <v>7321</v>
      </c>
      <c r="D4848">
        <v>3.826318</v>
      </c>
    </row>
    <row r="4849" spans="1:4">
      <c r="A4849" t="s">
        <v>6466</v>
      </c>
      <c r="B4849" t="s">
        <v>377</v>
      </c>
      <c r="C4849" t="s">
        <v>7322</v>
      </c>
      <c r="D4849">
        <v>0.856845</v>
      </c>
    </row>
    <row r="4850" spans="1:4">
      <c r="A4850" t="s">
        <v>6467</v>
      </c>
      <c r="B4850" t="s">
        <v>377</v>
      </c>
      <c r="C4850" t="s">
        <v>7323</v>
      </c>
      <c r="D4850">
        <v>175.226246</v>
      </c>
    </row>
    <row r="4851" spans="1:4">
      <c r="A4851" t="s">
        <v>6468</v>
      </c>
      <c r="B4851" t="s">
        <v>377</v>
      </c>
      <c r="C4851" t="s">
        <v>7324</v>
      </c>
      <c r="D4851">
        <v>0.333754</v>
      </c>
    </row>
    <row r="4852" spans="1:4">
      <c r="A4852" t="s">
        <v>6469</v>
      </c>
      <c r="B4852" t="s">
        <v>377</v>
      </c>
      <c r="C4852" t="s">
        <v>7325</v>
      </c>
      <c r="D4852">
        <v>0.212584</v>
      </c>
    </row>
    <row r="4853" spans="1:4">
      <c r="A4853" t="s">
        <v>6470</v>
      </c>
      <c r="B4853" t="s">
        <v>377</v>
      </c>
      <c r="C4853" t="s">
        <v>7292</v>
      </c>
      <c r="D4853">
        <v>219.480253</v>
      </c>
    </row>
    <row r="4854" spans="1:4">
      <c r="A4854" t="s">
        <v>6471</v>
      </c>
      <c r="B4854" t="s">
        <v>377</v>
      </c>
      <c r="C4854" t="s">
        <v>7326</v>
      </c>
      <c r="D4854">
        <v>175.226246</v>
      </c>
    </row>
    <row r="4855" spans="1:4">
      <c r="A4855" t="s">
        <v>6472</v>
      </c>
      <c r="B4855" t="s">
        <v>377</v>
      </c>
      <c r="C4855" t="s">
        <v>7327</v>
      </c>
      <c r="D4855">
        <v>184.926342</v>
      </c>
    </row>
    <row r="4856" spans="1:4">
      <c r="A4856" t="s">
        <v>6473</v>
      </c>
      <c r="B4856" t="s">
        <v>377</v>
      </c>
      <c r="C4856" t="s">
        <v>7328</v>
      </c>
      <c r="D4856">
        <v>183.607823</v>
      </c>
    </row>
    <row r="4857" spans="1:4">
      <c r="A4857" t="s">
        <v>6474</v>
      </c>
      <c r="B4857" t="s">
        <v>377</v>
      </c>
      <c r="C4857" t="s">
        <v>7329</v>
      </c>
      <c r="D4857">
        <v>156.827518</v>
      </c>
    </row>
    <row r="4858" spans="1:4">
      <c r="A4858" t="s">
        <v>6475</v>
      </c>
      <c r="B4858" t="s">
        <v>377</v>
      </c>
      <c r="C4858" t="s">
        <v>7330</v>
      </c>
      <c r="D4858">
        <v>2.54165</v>
      </c>
    </row>
    <row r="4859" spans="1:4">
      <c r="A4859" t="s">
        <v>6476</v>
      </c>
      <c r="B4859" t="s">
        <v>377</v>
      </c>
      <c r="C4859" t="s">
        <v>398</v>
      </c>
      <c r="D4859">
        <v>183.607823</v>
      </c>
    </row>
    <row r="4860" spans="1:4">
      <c r="A4860" t="s">
        <v>6477</v>
      </c>
      <c r="B4860" t="s">
        <v>377</v>
      </c>
      <c r="C4860" t="s">
        <v>7331</v>
      </c>
      <c r="D4860">
        <v>834.188622</v>
      </c>
    </row>
    <row r="4861" spans="1:4">
      <c r="A4861" t="s">
        <v>6478</v>
      </c>
      <c r="B4861" t="s">
        <v>377</v>
      </c>
      <c r="C4861" t="s">
        <v>7332</v>
      </c>
      <c r="D4861">
        <v>0.104913</v>
      </c>
    </row>
    <row r="4862" spans="1:4">
      <c r="A4862" t="s">
        <v>6479</v>
      </c>
      <c r="B4862" t="s">
        <v>377</v>
      </c>
      <c r="C4862" t="s">
        <v>7333</v>
      </c>
      <c r="D4862">
        <v>313.654899</v>
      </c>
    </row>
    <row r="4863" spans="1:4">
      <c r="A4863" t="s">
        <v>6480</v>
      </c>
      <c r="B4863" t="s">
        <v>377</v>
      </c>
      <c r="C4863" t="s">
        <v>7334</v>
      </c>
      <c r="D4863">
        <v>243.182525</v>
      </c>
    </row>
    <row r="4864" spans="1:4">
      <c r="A4864" t="s">
        <v>6481</v>
      </c>
      <c r="B4864" t="s">
        <v>377</v>
      </c>
      <c r="C4864" t="s">
        <v>7335</v>
      </c>
      <c r="D4864">
        <v>30.231788</v>
      </c>
    </row>
    <row r="4865" spans="1:4">
      <c r="A4865" t="s">
        <v>6482</v>
      </c>
      <c r="B4865" t="s">
        <v>377</v>
      </c>
      <c r="C4865" t="s">
        <v>7293</v>
      </c>
      <c r="D4865">
        <v>61.82847</v>
      </c>
    </row>
    <row r="4866" spans="1:4">
      <c r="A4866" t="s">
        <v>6483</v>
      </c>
      <c r="B4866" t="s">
        <v>377</v>
      </c>
      <c r="C4866" t="s">
        <v>7336</v>
      </c>
      <c r="D4866">
        <v>313.654899</v>
      </c>
    </row>
    <row r="4867" spans="1:4">
      <c r="A4867" t="s">
        <v>6484</v>
      </c>
      <c r="B4867" t="s">
        <v>377</v>
      </c>
      <c r="C4867" t="s">
        <v>7337</v>
      </c>
      <c r="D4867">
        <v>3.264033</v>
      </c>
    </row>
    <row r="4868" spans="1:4">
      <c r="A4868" t="s">
        <v>6485</v>
      </c>
      <c r="B4868" t="s">
        <v>377</v>
      </c>
      <c r="C4868" t="s">
        <v>7338</v>
      </c>
      <c r="D4868">
        <v>21.954977</v>
      </c>
    </row>
    <row r="4869" spans="1:4">
      <c r="A4869" t="s">
        <v>6486</v>
      </c>
      <c r="B4869" t="s">
        <v>377</v>
      </c>
      <c r="C4869" t="s">
        <v>7339</v>
      </c>
      <c r="D4869">
        <v>109.375434</v>
      </c>
    </row>
    <row r="4870" spans="1:4">
      <c r="A4870" t="s">
        <v>6487</v>
      </c>
      <c r="B4870" t="s">
        <v>377</v>
      </c>
      <c r="C4870" t="s">
        <v>7340</v>
      </c>
      <c r="D4870">
        <v>156.827518</v>
      </c>
    </row>
    <row r="4871" spans="1:4">
      <c r="A4871" t="s">
        <v>6488</v>
      </c>
      <c r="B4871" t="s">
        <v>377</v>
      </c>
      <c r="C4871" t="s">
        <v>7294</v>
      </c>
      <c r="D4871">
        <v>223.258206</v>
      </c>
    </row>
    <row r="4872" spans="1:4">
      <c r="A4872" t="s">
        <v>6489</v>
      </c>
      <c r="B4872" t="s">
        <v>377</v>
      </c>
      <c r="C4872" t="s">
        <v>7341</v>
      </c>
      <c r="D4872">
        <v>0.136736</v>
      </c>
    </row>
    <row r="4873" spans="1:4">
      <c r="A4873" t="s">
        <v>6490</v>
      </c>
      <c r="B4873" t="s">
        <v>377</v>
      </c>
      <c r="C4873" t="s">
        <v>7295</v>
      </c>
      <c r="D4873">
        <v>388.803681</v>
      </c>
    </row>
    <row r="4874" spans="1:4">
      <c r="A4874" t="s">
        <v>6491</v>
      </c>
      <c r="B4874" t="s">
        <v>377</v>
      </c>
      <c r="C4874" t="s">
        <v>7342</v>
      </c>
      <c r="D4874">
        <v>13395.967061</v>
      </c>
    </row>
    <row r="4875" spans="1:4">
      <c r="A4875" t="s">
        <v>6492</v>
      </c>
      <c r="B4875" t="s">
        <v>377</v>
      </c>
      <c r="C4875" t="s">
        <v>7343</v>
      </c>
      <c r="D4875">
        <v>0.338918</v>
      </c>
    </row>
    <row r="4876" spans="1:4">
      <c r="A4876" t="s">
        <v>6493</v>
      </c>
      <c r="B4876" t="s">
        <v>377</v>
      </c>
      <c r="C4876" t="s">
        <v>7344</v>
      </c>
      <c r="D4876">
        <v>46.336128</v>
      </c>
    </row>
    <row r="4877" spans="1:4">
      <c r="A4877" t="s">
        <v>6494</v>
      </c>
      <c r="B4877" t="s">
        <v>377</v>
      </c>
      <c r="C4877" t="s">
        <v>7296</v>
      </c>
      <c r="D4877">
        <v>46.301763</v>
      </c>
    </row>
    <row r="4878" spans="1:4">
      <c r="A4878" t="s">
        <v>6495</v>
      </c>
      <c r="B4878" t="s">
        <v>377</v>
      </c>
      <c r="C4878" t="s">
        <v>7345</v>
      </c>
      <c r="D4878">
        <v>0.096994</v>
      </c>
    </row>
    <row r="4879" spans="1:4">
      <c r="A4879" t="s">
        <v>6496</v>
      </c>
      <c r="B4879" t="s">
        <v>377</v>
      </c>
      <c r="C4879" t="s">
        <v>7346</v>
      </c>
      <c r="D4879">
        <v>0.691367</v>
      </c>
    </row>
    <row r="4880" spans="1:4">
      <c r="A4880" t="s">
        <v>6497</v>
      </c>
      <c r="B4880" t="s">
        <v>377</v>
      </c>
      <c r="C4880" t="s">
        <v>7347</v>
      </c>
      <c r="D4880">
        <v>13.068957</v>
      </c>
    </row>
    <row r="4881" spans="1:4">
      <c r="A4881" t="s">
        <v>6498</v>
      </c>
      <c r="B4881" t="s">
        <v>377</v>
      </c>
      <c r="C4881" t="s">
        <v>7348</v>
      </c>
      <c r="D4881">
        <v>3.256751</v>
      </c>
    </row>
    <row r="4882" spans="1:4">
      <c r="A4882" t="s">
        <v>6499</v>
      </c>
      <c r="B4882" t="s">
        <v>377</v>
      </c>
      <c r="C4882" t="s">
        <v>7297</v>
      </c>
      <c r="D4882">
        <v>14.830449</v>
      </c>
    </row>
    <row r="4883" spans="1:4">
      <c r="A4883" t="s">
        <v>6500</v>
      </c>
      <c r="B4883" t="s">
        <v>377</v>
      </c>
      <c r="C4883" t="s">
        <v>7349</v>
      </c>
      <c r="D4883">
        <v>1.764873</v>
      </c>
    </row>
    <row r="4884" spans="1:4">
      <c r="A4884" t="s">
        <v>6501</v>
      </c>
      <c r="B4884" t="s">
        <v>377</v>
      </c>
      <c r="C4884" t="s">
        <v>7298</v>
      </c>
      <c r="D4884">
        <v>48.113287</v>
      </c>
    </row>
    <row r="4885" spans="1:4">
      <c r="A4885" t="s">
        <v>6502</v>
      </c>
      <c r="B4885" t="s">
        <v>377</v>
      </c>
      <c r="C4885" t="s">
        <v>7350</v>
      </c>
      <c r="D4885">
        <v>5.36315</v>
      </c>
    </row>
    <row r="4886" spans="1:4">
      <c r="A4886" t="s">
        <v>6503</v>
      </c>
      <c r="B4886" t="s">
        <v>377</v>
      </c>
      <c r="C4886" t="s">
        <v>7351</v>
      </c>
      <c r="D4886">
        <v>2.359432</v>
      </c>
    </row>
    <row r="4887" spans="1:4">
      <c r="A4887" t="s">
        <v>6504</v>
      </c>
      <c r="B4887" t="s">
        <v>377</v>
      </c>
      <c r="C4887" t="s">
        <v>7352</v>
      </c>
      <c r="D4887">
        <v>6.220465</v>
      </c>
    </row>
    <row r="4888" spans="1:4">
      <c r="A4888" t="s">
        <v>6505</v>
      </c>
      <c r="B4888" t="s">
        <v>377</v>
      </c>
      <c r="C4888" t="s">
        <v>7353</v>
      </c>
      <c r="D4888">
        <v>20.910333</v>
      </c>
    </row>
    <row r="4889" spans="1:4">
      <c r="A4889" t="s">
        <v>6506</v>
      </c>
      <c r="B4889" t="s">
        <v>377</v>
      </c>
      <c r="C4889" t="s">
        <v>7354</v>
      </c>
      <c r="D4889">
        <v>1.92965</v>
      </c>
    </row>
    <row r="4890" spans="1:4">
      <c r="A4890" t="s">
        <v>6507</v>
      </c>
      <c r="B4890" t="s">
        <v>377</v>
      </c>
      <c r="C4890" t="s">
        <v>7355</v>
      </c>
      <c r="D4890">
        <v>141.490544</v>
      </c>
    </row>
    <row r="4891" spans="1:4">
      <c r="A4891" t="s">
        <v>6508</v>
      </c>
      <c r="B4891" t="s">
        <v>377</v>
      </c>
      <c r="C4891" t="s">
        <v>7356</v>
      </c>
      <c r="D4891">
        <v>423.134384</v>
      </c>
    </row>
    <row r="4892" spans="1:4">
      <c r="A4892" t="s">
        <v>6509</v>
      </c>
      <c r="B4892" t="s">
        <v>377</v>
      </c>
      <c r="C4892" t="s">
        <v>7357</v>
      </c>
      <c r="D4892">
        <v>48.1133</v>
      </c>
    </row>
    <row r="4893" spans="1:4">
      <c r="A4893" t="s">
        <v>6510</v>
      </c>
      <c r="B4893" t="s">
        <v>377</v>
      </c>
      <c r="C4893" t="s">
        <v>7299</v>
      </c>
      <c r="D4893">
        <v>423.127903</v>
      </c>
    </row>
    <row r="4894" spans="1:4">
      <c r="A4894" t="s">
        <v>6511</v>
      </c>
      <c r="B4894" t="s">
        <v>377</v>
      </c>
      <c r="C4894" t="s">
        <v>7358</v>
      </c>
      <c r="D4894">
        <v>119.454744</v>
      </c>
    </row>
    <row r="4895" spans="1:4">
      <c r="A4895" t="s">
        <v>6512</v>
      </c>
      <c r="B4895" t="s">
        <v>377</v>
      </c>
      <c r="C4895" t="s">
        <v>7359</v>
      </c>
      <c r="D4895">
        <v>423.134384</v>
      </c>
    </row>
    <row r="4896" spans="1:4">
      <c r="A4896" t="s">
        <v>6513</v>
      </c>
      <c r="B4896" t="s">
        <v>377</v>
      </c>
      <c r="C4896" t="s">
        <v>7360</v>
      </c>
      <c r="D4896">
        <v>27.210359</v>
      </c>
    </row>
    <row r="4897" spans="1:4">
      <c r="A4897" t="s">
        <v>6514</v>
      </c>
      <c r="B4897" t="s">
        <v>377</v>
      </c>
      <c r="C4897" t="s">
        <v>7361</v>
      </c>
      <c r="D4897">
        <v>423.134384</v>
      </c>
    </row>
    <row r="4898" spans="1:4">
      <c r="A4898" t="s">
        <v>6515</v>
      </c>
      <c r="B4898" t="s">
        <v>377</v>
      </c>
      <c r="C4898" t="s">
        <v>7362</v>
      </c>
      <c r="D4898">
        <v>4.22573</v>
      </c>
    </row>
    <row r="4899" spans="1:4">
      <c r="A4899" t="s">
        <v>6516</v>
      </c>
      <c r="B4899" t="s">
        <v>377</v>
      </c>
      <c r="C4899" t="s">
        <v>7363</v>
      </c>
      <c r="D4899">
        <v>0.035778</v>
      </c>
    </row>
    <row r="4900" spans="1:4">
      <c r="A4900" t="s">
        <v>6517</v>
      </c>
      <c r="B4900" t="s">
        <v>377</v>
      </c>
      <c r="C4900" t="s">
        <v>7364</v>
      </c>
      <c r="D4900">
        <v>41.165332</v>
      </c>
    </row>
    <row r="4901" spans="1:4">
      <c r="A4901" t="s">
        <v>6518</v>
      </c>
      <c r="B4901" t="s">
        <v>377</v>
      </c>
      <c r="C4901" t="s">
        <v>7365</v>
      </c>
      <c r="D4901">
        <v>1.501031</v>
      </c>
    </row>
    <row r="4902" spans="1:4">
      <c r="A4902" t="s">
        <v>6519</v>
      </c>
      <c r="B4902" t="s">
        <v>377</v>
      </c>
      <c r="C4902" t="s">
        <v>7300</v>
      </c>
      <c r="D4902">
        <v>40.012775</v>
      </c>
    </row>
    <row r="4903" spans="1:4">
      <c r="A4903" t="s">
        <v>6520</v>
      </c>
      <c r="B4903" t="s">
        <v>377</v>
      </c>
      <c r="C4903" t="s">
        <v>7366</v>
      </c>
      <c r="D4903">
        <v>11.725553</v>
      </c>
    </row>
    <row r="4904" spans="1:4">
      <c r="A4904" t="s">
        <v>6521</v>
      </c>
      <c r="B4904" t="s">
        <v>377</v>
      </c>
      <c r="C4904" t="s">
        <v>7367</v>
      </c>
      <c r="D4904">
        <v>47.661516</v>
      </c>
    </row>
    <row r="4905" spans="1:4">
      <c r="A4905" t="s">
        <v>6522</v>
      </c>
      <c r="B4905" t="s">
        <v>377</v>
      </c>
      <c r="C4905" t="s">
        <v>7368</v>
      </c>
      <c r="D4905">
        <v>2.402058</v>
      </c>
    </row>
    <row r="4906" spans="1:4">
      <c r="A4906" t="s">
        <v>6523</v>
      </c>
      <c r="B4906" t="s">
        <v>377</v>
      </c>
      <c r="C4906" t="s">
        <v>7301</v>
      </c>
      <c r="D4906">
        <v>0.017411</v>
      </c>
    </row>
    <row r="4907" spans="1:4">
      <c r="A4907" t="s">
        <v>6524</v>
      </c>
      <c r="B4907" t="s">
        <v>377</v>
      </c>
      <c r="C4907" t="s">
        <v>7302</v>
      </c>
      <c r="D4907">
        <v>104.646538</v>
      </c>
    </row>
    <row r="4908" spans="1:4">
      <c r="A4908" t="s">
        <v>6525</v>
      </c>
      <c r="B4908" t="s">
        <v>377</v>
      </c>
      <c r="C4908" t="s">
        <v>7369</v>
      </c>
      <c r="D4908">
        <v>423.134384</v>
      </c>
    </row>
    <row r="4909" spans="1:4">
      <c r="A4909" t="s">
        <v>6526</v>
      </c>
      <c r="B4909" t="s">
        <v>377</v>
      </c>
      <c r="C4909" t="s">
        <v>7303</v>
      </c>
      <c r="D4909">
        <v>3.264029</v>
      </c>
    </row>
    <row r="4910" spans="1:4">
      <c r="A4910" t="s">
        <v>6527</v>
      </c>
      <c r="B4910" t="s">
        <v>377</v>
      </c>
      <c r="C4910" t="s">
        <v>7370</v>
      </c>
      <c r="D4910">
        <v>0.239798</v>
      </c>
    </row>
    <row r="4911" spans="1:4">
      <c r="A4911" t="s">
        <v>6528</v>
      </c>
      <c r="B4911" t="s">
        <v>377</v>
      </c>
      <c r="C4911" t="s">
        <v>7371</v>
      </c>
      <c r="D4911">
        <v>0.000229</v>
      </c>
    </row>
    <row r="4912" spans="1:4">
      <c r="A4912" t="s">
        <v>6529</v>
      </c>
      <c r="B4912" t="s">
        <v>377</v>
      </c>
      <c r="C4912" t="s">
        <v>7304</v>
      </c>
      <c r="D4912">
        <v>2.504287</v>
      </c>
    </row>
    <row r="4913" spans="1:4">
      <c r="A4913" t="s">
        <v>6530</v>
      </c>
      <c r="B4913" t="s">
        <v>377</v>
      </c>
      <c r="C4913" t="s">
        <v>7372</v>
      </c>
      <c r="D4913">
        <v>423.134384</v>
      </c>
    </row>
    <row r="4914" spans="1:4">
      <c r="A4914" t="s">
        <v>6531</v>
      </c>
      <c r="B4914" t="s">
        <v>377</v>
      </c>
      <c r="C4914" t="s">
        <v>7373</v>
      </c>
      <c r="D4914">
        <v>1.977253</v>
      </c>
    </row>
    <row r="4915" spans="1:4">
      <c r="A4915" t="s">
        <v>6532</v>
      </c>
      <c r="B4915" t="s">
        <v>377</v>
      </c>
      <c r="C4915" t="s">
        <v>7374</v>
      </c>
      <c r="D4915">
        <v>442.390582</v>
      </c>
    </row>
    <row r="4916" spans="1:4">
      <c r="A4916" t="s">
        <v>6533</v>
      </c>
      <c r="B4916" t="s">
        <v>377</v>
      </c>
      <c r="C4916" t="s">
        <v>7305</v>
      </c>
      <c r="D4916">
        <v>1.933995</v>
      </c>
    </row>
    <row r="4917" spans="1:4">
      <c r="A4917" t="s">
        <v>6534</v>
      </c>
      <c r="B4917" t="s">
        <v>377</v>
      </c>
      <c r="C4917" t="s">
        <v>7375</v>
      </c>
      <c r="D4917">
        <v>2.427891</v>
      </c>
    </row>
    <row r="4918" spans="1:4">
      <c r="A4918" t="s">
        <v>6535</v>
      </c>
      <c r="B4918" t="s">
        <v>377</v>
      </c>
      <c r="C4918" t="s">
        <v>7376</v>
      </c>
      <c r="D4918">
        <v>3.594622</v>
      </c>
    </row>
    <row r="4919" spans="1:4">
      <c r="A4919" t="s">
        <v>6536</v>
      </c>
      <c r="B4919" t="s">
        <v>377</v>
      </c>
      <c r="C4919" t="s">
        <v>7377</v>
      </c>
      <c r="D4919">
        <v>0.077552</v>
      </c>
    </row>
    <row r="4920" spans="1:4">
      <c r="A4920" t="s">
        <v>6537</v>
      </c>
      <c r="B4920" t="s">
        <v>377</v>
      </c>
      <c r="C4920" t="s">
        <v>7378</v>
      </c>
      <c r="D4920">
        <v>219.491656</v>
      </c>
    </row>
    <row r="4921" spans="1:4">
      <c r="A4921" t="s">
        <v>6538</v>
      </c>
      <c r="B4921" t="s">
        <v>377</v>
      </c>
      <c r="C4921" t="s">
        <v>7379</v>
      </c>
      <c r="D4921">
        <v>0.7299369999999999</v>
      </c>
    </row>
    <row r="4922" spans="1:4">
      <c r="A4922" t="s">
        <v>6539</v>
      </c>
      <c r="B4922" t="s">
        <v>377</v>
      </c>
      <c r="C4922" t="s">
        <v>7306</v>
      </c>
      <c r="D4922">
        <v>0.210706</v>
      </c>
    </row>
    <row r="4923" spans="1:4">
      <c r="A4923" t="s">
        <v>6540</v>
      </c>
      <c r="B4923" t="s">
        <v>377</v>
      </c>
      <c r="C4923" t="s">
        <v>7380</v>
      </c>
      <c r="D4923">
        <v>1017.241817</v>
      </c>
    </row>
    <row r="4924" spans="1:4">
      <c r="A4924" t="s">
        <v>6541</v>
      </c>
      <c r="B4924" t="s">
        <v>377</v>
      </c>
      <c r="C4924" t="s">
        <v>7381</v>
      </c>
      <c r="D4924">
        <v>376.385944</v>
      </c>
    </row>
    <row r="4925" spans="1:4">
      <c r="A4925" t="s">
        <v>6542</v>
      </c>
      <c r="B4925" t="s">
        <v>377</v>
      </c>
      <c r="C4925" t="s">
        <v>7382</v>
      </c>
      <c r="D4925">
        <v>0.667064</v>
      </c>
    </row>
    <row r="4926" spans="1:4">
      <c r="A4926" t="s">
        <v>6543</v>
      </c>
      <c r="B4926" t="s">
        <v>377</v>
      </c>
      <c r="C4926" t="s">
        <v>7383</v>
      </c>
      <c r="D4926">
        <v>0.014198</v>
      </c>
    </row>
    <row r="4927" spans="1:4">
      <c r="A4927" t="s">
        <v>6544</v>
      </c>
      <c r="B4927" t="s">
        <v>377</v>
      </c>
      <c r="C4927" t="s">
        <v>7384</v>
      </c>
      <c r="D4927">
        <v>0.003505</v>
      </c>
    </row>
    <row r="4928" spans="1:4">
      <c r="A4928" t="s">
        <v>6545</v>
      </c>
      <c r="B4928" t="s">
        <v>377</v>
      </c>
      <c r="C4928" t="s">
        <v>7385</v>
      </c>
      <c r="D4928">
        <v>0.933497</v>
      </c>
    </row>
    <row r="4929" spans="1:4">
      <c r="A4929" t="s">
        <v>6546</v>
      </c>
      <c r="B4929" t="s">
        <v>377</v>
      </c>
      <c r="C4929" t="s">
        <v>7386</v>
      </c>
      <c r="D4929">
        <v>1.728988</v>
      </c>
    </row>
    <row r="4930" spans="1:4">
      <c r="A4930" t="s">
        <v>6547</v>
      </c>
      <c r="B4930" t="s">
        <v>377</v>
      </c>
      <c r="C4930" t="s">
        <v>7387</v>
      </c>
      <c r="D4930">
        <v>19.205704</v>
      </c>
    </row>
    <row r="4931" spans="1:4">
      <c r="A4931" t="s">
        <v>6548</v>
      </c>
      <c r="B4931" t="s">
        <v>377</v>
      </c>
      <c r="C4931" t="s">
        <v>7388</v>
      </c>
      <c r="D4931">
        <v>48.998319</v>
      </c>
    </row>
    <row r="4932" spans="1:4">
      <c r="A4932" t="s">
        <v>6549</v>
      </c>
      <c r="B4932" t="s">
        <v>377</v>
      </c>
      <c r="C4932" t="s">
        <v>7389</v>
      </c>
      <c r="D4932">
        <v>33.648019</v>
      </c>
    </row>
    <row r="4933" spans="1:4">
      <c r="A4933" t="s">
        <v>6550</v>
      </c>
      <c r="B4933" t="s">
        <v>377</v>
      </c>
      <c r="C4933" t="s">
        <v>7390</v>
      </c>
      <c r="D4933">
        <v>17.84179</v>
      </c>
    </row>
    <row r="4934" spans="1:4">
      <c r="A4934" t="s">
        <v>6551</v>
      </c>
      <c r="B4934" t="s">
        <v>377</v>
      </c>
      <c r="C4934" t="s">
        <v>7391</v>
      </c>
      <c r="D4934">
        <v>0.073987</v>
      </c>
    </row>
    <row r="4935" spans="1:4">
      <c r="A4935" t="s">
        <v>6552</v>
      </c>
      <c r="B4935" t="s">
        <v>377</v>
      </c>
      <c r="C4935" t="s">
        <v>7392</v>
      </c>
      <c r="D4935">
        <v>5.831436</v>
      </c>
    </row>
    <row r="4936" spans="1:4">
      <c r="A4936" t="s">
        <v>6553</v>
      </c>
      <c r="B4936" t="s">
        <v>377</v>
      </c>
      <c r="C4936" t="s">
        <v>7393</v>
      </c>
      <c r="D4936">
        <v>0.149203</v>
      </c>
    </row>
    <row r="4937" spans="1:4">
      <c r="A4937" t="s">
        <v>6554</v>
      </c>
      <c r="B4937" t="s">
        <v>377</v>
      </c>
      <c r="C4937" t="s">
        <v>7394</v>
      </c>
      <c r="D4937">
        <v>0.08652700000000001</v>
      </c>
    </row>
    <row r="4938" spans="1:4">
      <c r="A4938" t="s">
        <v>6555</v>
      </c>
      <c r="B4938" t="s">
        <v>377</v>
      </c>
      <c r="C4938" t="s">
        <v>7395</v>
      </c>
      <c r="D4938">
        <v>38.835487</v>
      </c>
    </row>
    <row r="4939" spans="1:4">
      <c r="A4939" t="s">
        <v>6556</v>
      </c>
      <c r="B4939" t="s">
        <v>377</v>
      </c>
      <c r="C4939" t="s">
        <v>7396</v>
      </c>
      <c r="D4939">
        <v>7.841894</v>
      </c>
    </row>
    <row r="4940" spans="1:4">
      <c r="A4940" t="s">
        <v>6557</v>
      </c>
      <c r="B4940" t="s">
        <v>377</v>
      </c>
      <c r="C4940" t="s">
        <v>7397</v>
      </c>
      <c r="D4940">
        <v>6.666735</v>
      </c>
    </row>
    <row r="4941" spans="1:4">
      <c r="A4941" t="s">
        <v>6558</v>
      </c>
      <c r="B4941" t="s">
        <v>377</v>
      </c>
      <c r="C4941" t="s">
        <v>7398</v>
      </c>
      <c r="D4941">
        <v>20.320512</v>
      </c>
    </row>
    <row r="4942" spans="1:4">
      <c r="A4942" t="s">
        <v>6559</v>
      </c>
      <c r="B4942" t="s">
        <v>377</v>
      </c>
      <c r="C4942" t="s">
        <v>7399</v>
      </c>
      <c r="D4942">
        <v>0.179964</v>
      </c>
    </row>
    <row r="4943" spans="1:4">
      <c r="A4943" t="s">
        <v>6560</v>
      </c>
      <c r="B4943" t="s">
        <v>377</v>
      </c>
      <c r="C4943" t="s">
        <v>7307</v>
      </c>
      <c r="D4943">
        <v>18.026744</v>
      </c>
    </row>
    <row r="4944" spans="1:4">
      <c r="A4944" t="s">
        <v>6561</v>
      </c>
      <c r="B4944" t="s">
        <v>377</v>
      </c>
      <c r="C4944" t="s">
        <v>7308</v>
      </c>
      <c r="D4944">
        <v>77.012637</v>
      </c>
    </row>
    <row r="4945" spans="1:4">
      <c r="A4945" t="s">
        <v>6562</v>
      </c>
      <c r="B4945" t="s">
        <v>377</v>
      </c>
      <c r="C4945" t="s">
        <v>7400</v>
      </c>
      <c r="D4945">
        <v>4.913592</v>
      </c>
    </row>
    <row r="4946" spans="1:4">
      <c r="A4946" t="s">
        <v>6563</v>
      </c>
      <c r="B4946" t="s">
        <v>377</v>
      </c>
      <c r="C4946" t="s">
        <v>7401</v>
      </c>
      <c r="D4946">
        <v>19.205704</v>
      </c>
    </row>
    <row r="4947" spans="1:4">
      <c r="A4947" t="s">
        <v>6564</v>
      </c>
      <c r="B4947" t="s">
        <v>377</v>
      </c>
      <c r="C4947" t="s">
        <v>7402</v>
      </c>
      <c r="D4947">
        <v>0.230014</v>
      </c>
    </row>
    <row r="4948" spans="1:4">
      <c r="A4948" t="s">
        <v>6565</v>
      </c>
      <c r="B4948" t="s">
        <v>377</v>
      </c>
      <c r="C4948" t="s">
        <v>7403</v>
      </c>
      <c r="D4948">
        <v>8.540265</v>
      </c>
    </row>
    <row r="4949" spans="1:4">
      <c r="A4949" t="s">
        <v>6566</v>
      </c>
      <c r="B4949" t="s">
        <v>377</v>
      </c>
      <c r="C4949" t="s">
        <v>7309</v>
      </c>
      <c r="D4949">
        <v>32.431549</v>
      </c>
    </row>
    <row r="4950" spans="1:4">
      <c r="A4950" t="s">
        <v>6567</v>
      </c>
      <c r="B4950" t="s">
        <v>377</v>
      </c>
      <c r="C4950" t="s">
        <v>7404</v>
      </c>
      <c r="D4950">
        <v>2.04002</v>
      </c>
    </row>
    <row r="4951" spans="1:4">
      <c r="A4951" t="s">
        <v>6568</v>
      </c>
      <c r="B4951" t="s">
        <v>377</v>
      </c>
      <c r="C4951" t="s">
        <v>7310</v>
      </c>
      <c r="D4951">
        <v>183.152804</v>
      </c>
    </row>
    <row r="4952" spans="1:4">
      <c r="A4952" t="s">
        <v>6569</v>
      </c>
      <c r="B4952" t="s">
        <v>377</v>
      </c>
      <c r="C4952" t="s">
        <v>7405</v>
      </c>
      <c r="D4952">
        <v>815.754394</v>
      </c>
    </row>
    <row r="4953" spans="1:4">
      <c r="A4953" t="s">
        <v>6570</v>
      </c>
      <c r="B4953" t="s">
        <v>377</v>
      </c>
      <c r="C4953" t="s">
        <v>7406</v>
      </c>
      <c r="D4953">
        <v>313.654899</v>
      </c>
    </row>
    <row r="4954" spans="1:4">
      <c r="A4954" t="s">
        <v>6571</v>
      </c>
      <c r="B4954" t="s">
        <v>377</v>
      </c>
      <c r="C4954" t="s">
        <v>7407</v>
      </c>
      <c r="D4954">
        <v>92.427806</v>
      </c>
    </row>
    <row r="4955" spans="1:4">
      <c r="A4955" t="s">
        <v>6572</v>
      </c>
      <c r="B4955" t="s">
        <v>377</v>
      </c>
      <c r="C4955" t="s">
        <v>7408</v>
      </c>
      <c r="D4955">
        <v>71.48517200000001</v>
      </c>
    </row>
    <row r="4956" spans="1:4">
      <c r="A4956" t="s">
        <v>6573</v>
      </c>
      <c r="B4956" t="s">
        <v>377</v>
      </c>
      <c r="C4956" t="s">
        <v>7311</v>
      </c>
      <c r="D4956">
        <v>5.089867</v>
      </c>
    </row>
    <row r="4957" spans="1:4">
      <c r="A4957" t="s">
        <v>6574</v>
      </c>
      <c r="B4957" t="s">
        <v>377</v>
      </c>
      <c r="C4957" t="s">
        <v>7409</v>
      </c>
      <c r="D4957">
        <v>1.126831</v>
      </c>
    </row>
    <row r="4958" spans="1:4">
      <c r="A4958" t="s">
        <v>6575</v>
      </c>
      <c r="B4958" t="s">
        <v>377</v>
      </c>
      <c r="C4958" t="s">
        <v>7312</v>
      </c>
      <c r="D4958">
        <v>83.06473</v>
      </c>
    </row>
    <row r="4959" spans="1:4">
      <c r="A4959" t="s">
        <v>6576</v>
      </c>
      <c r="B4959" t="s">
        <v>377</v>
      </c>
      <c r="C4959" t="s">
        <v>7410</v>
      </c>
      <c r="D4959">
        <v>0.051951</v>
      </c>
    </row>
    <row r="4960" spans="1:4">
      <c r="A4960" t="s">
        <v>6577</v>
      </c>
      <c r="B4960" t="s">
        <v>377</v>
      </c>
      <c r="C4960" t="s">
        <v>7411</v>
      </c>
      <c r="D4960">
        <v>86.168959</v>
      </c>
    </row>
    <row r="4961" spans="1:4">
      <c r="A4961" t="s">
        <v>6578</v>
      </c>
      <c r="B4961" t="s">
        <v>377</v>
      </c>
      <c r="C4961" t="s">
        <v>7313</v>
      </c>
      <c r="D4961">
        <v>68.50512000000001</v>
      </c>
    </row>
    <row r="4962" spans="1:4">
      <c r="A4962" t="s">
        <v>6579</v>
      </c>
      <c r="B4962" t="s">
        <v>377</v>
      </c>
      <c r="C4962" t="s">
        <v>7412</v>
      </c>
      <c r="D4962">
        <v>3.059514</v>
      </c>
    </row>
    <row r="4963" spans="1:4">
      <c r="A4963" t="s">
        <v>6580</v>
      </c>
      <c r="B4963" t="s">
        <v>377</v>
      </c>
      <c r="C4963" t="s">
        <v>7413</v>
      </c>
      <c r="D4963">
        <v>4.036823</v>
      </c>
    </row>
    <row r="4964" spans="1:4">
      <c r="A4964" t="s">
        <v>6581</v>
      </c>
      <c r="B4964" t="s">
        <v>377</v>
      </c>
      <c r="C4964" t="s">
        <v>7414</v>
      </c>
      <c r="D4964">
        <v>0.213713</v>
      </c>
    </row>
    <row r="4965" spans="1:4">
      <c r="A4965" t="s">
        <v>6582</v>
      </c>
      <c r="B4965" t="s">
        <v>377</v>
      </c>
      <c r="C4965" t="s">
        <v>7415</v>
      </c>
      <c r="D4965">
        <v>83.64133099999999</v>
      </c>
    </row>
    <row r="4966" spans="1:4">
      <c r="A4966" t="s">
        <v>6583</v>
      </c>
      <c r="B4966" t="s">
        <v>377</v>
      </c>
      <c r="C4966" t="s">
        <v>7416</v>
      </c>
      <c r="D4966">
        <v>39.632124</v>
      </c>
    </row>
    <row r="4967" spans="1:4">
      <c r="A4967" t="s">
        <v>6584</v>
      </c>
      <c r="B4967" t="s">
        <v>377</v>
      </c>
      <c r="C4967" t="s">
        <v>7417</v>
      </c>
      <c r="D4967">
        <v>22.340414</v>
      </c>
    </row>
    <row r="4968" spans="1:4">
      <c r="A4968" t="s">
        <v>6585</v>
      </c>
      <c r="B4968" t="s">
        <v>377</v>
      </c>
      <c r="C4968" t="s">
        <v>7418</v>
      </c>
      <c r="D4968">
        <v>0.7020459999999999</v>
      </c>
    </row>
    <row r="4969" spans="1:4">
      <c r="A4969" t="s">
        <v>6586</v>
      </c>
      <c r="B4969" t="s">
        <v>377</v>
      </c>
      <c r="C4969" t="s">
        <v>7314</v>
      </c>
      <c r="D4969">
        <v>32.59668</v>
      </c>
    </row>
    <row r="4970" spans="1:4">
      <c r="A4970" t="s">
        <v>6587</v>
      </c>
      <c r="B4970" t="s">
        <v>377</v>
      </c>
      <c r="C4970" t="s">
        <v>7315</v>
      </c>
      <c r="D4970">
        <v>243.179396</v>
      </c>
    </row>
    <row r="4971" spans="1:4">
      <c r="A4971" t="s">
        <v>6588</v>
      </c>
      <c r="B4971" t="s">
        <v>377</v>
      </c>
      <c r="C4971" t="s">
        <v>7419</v>
      </c>
      <c r="D4971">
        <v>423.134384</v>
      </c>
    </row>
    <row r="4972" spans="1:4">
      <c r="A4972" t="s">
        <v>6589</v>
      </c>
      <c r="B4972" t="s">
        <v>377</v>
      </c>
      <c r="C4972" t="s">
        <v>7420</v>
      </c>
      <c r="D4972">
        <v>12.876869</v>
      </c>
    </row>
    <row r="4973" spans="1:4">
      <c r="A4973" t="s">
        <v>6590</v>
      </c>
      <c r="B4973" t="s">
        <v>377</v>
      </c>
      <c r="C4973" t="s">
        <v>7421</v>
      </c>
      <c r="D4973">
        <v>0.012877</v>
      </c>
    </row>
    <row r="4974" spans="1:4">
      <c r="A4974" t="s">
        <v>6591</v>
      </c>
      <c r="B4974" t="s">
        <v>377</v>
      </c>
      <c r="C4974" t="s">
        <v>7422</v>
      </c>
      <c r="D4974">
        <v>0.548984</v>
      </c>
    </row>
    <row r="4975" spans="1:4">
      <c r="A4975" t="s">
        <v>6592</v>
      </c>
      <c r="B4975" t="s">
        <v>377</v>
      </c>
      <c r="C4975" t="s">
        <v>7423</v>
      </c>
      <c r="D4975">
        <v>8.305163</v>
      </c>
    </row>
    <row r="4976" spans="1:4">
      <c r="A4976" t="s">
        <v>6593</v>
      </c>
      <c r="B4976" t="s">
        <v>377</v>
      </c>
      <c r="C4976" t="s">
        <v>7424</v>
      </c>
      <c r="D4976">
        <v>0.065569</v>
      </c>
    </row>
    <row r="4977" spans="1:4">
      <c r="A4977" t="s">
        <v>6594</v>
      </c>
      <c r="B4977" t="s">
        <v>377</v>
      </c>
      <c r="C4977" t="s">
        <v>7425</v>
      </c>
      <c r="D4977">
        <v>14.657375</v>
      </c>
    </row>
    <row r="4978" spans="1:4">
      <c r="A4978" t="s">
        <v>6595</v>
      </c>
      <c r="B4978" t="s">
        <v>377</v>
      </c>
      <c r="C4978" t="s">
        <v>7426</v>
      </c>
      <c r="D4978">
        <v>2.577689</v>
      </c>
    </row>
    <row r="4979" spans="1:4">
      <c r="A4979" t="s">
        <v>6596</v>
      </c>
      <c r="B4979" t="s">
        <v>377</v>
      </c>
      <c r="C4979" t="s">
        <v>7427</v>
      </c>
      <c r="D4979">
        <v>19.205704</v>
      </c>
    </row>
    <row r="4980" spans="1:4">
      <c r="A4980" t="s">
        <v>6597</v>
      </c>
      <c r="B4980" t="s">
        <v>377</v>
      </c>
      <c r="C4980" t="s">
        <v>7316</v>
      </c>
      <c r="D4980">
        <v>9.347222</v>
      </c>
    </row>
    <row r="4981" spans="1:4">
      <c r="A4981" t="s">
        <v>6598</v>
      </c>
      <c r="B4981" t="s">
        <v>377</v>
      </c>
      <c r="C4981" t="s">
        <v>7428</v>
      </c>
      <c r="D4981">
        <v>34.053056</v>
      </c>
    </row>
    <row r="4982" spans="1:4">
      <c r="A4982" t="s">
        <v>6599</v>
      </c>
      <c r="B4982" t="s">
        <v>377</v>
      </c>
      <c r="C4982" t="s">
        <v>7429</v>
      </c>
      <c r="D4982">
        <v>89.86084700000001</v>
      </c>
    </row>
    <row r="4983" spans="1:4">
      <c r="A4983" t="s">
        <v>6600</v>
      </c>
      <c r="B4983" t="s">
        <v>377</v>
      </c>
      <c r="C4983" t="s">
        <v>7430</v>
      </c>
      <c r="D4983">
        <v>106.448775</v>
      </c>
    </row>
    <row r="4984" spans="1:4">
      <c r="A4984" t="s">
        <v>6601</v>
      </c>
      <c r="B4984" t="s">
        <v>377</v>
      </c>
      <c r="C4984" t="s">
        <v>7431</v>
      </c>
      <c r="D4984">
        <v>131.694092</v>
      </c>
    </row>
    <row r="4985" spans="1:4">
      <c r="A4985" t="s">
        <v>6602</v>
      </c>
      <c r="B4985" t="s">
        <v>377</v>
      </c>
      <c r="C4985" t="s">
        <v>7317</v>
      </c>
      <c r="D4985">
        <v>6.662788</v>
      </c>
    </row>
    <row r="4986" spans="1:4">
      <c r="A4986" t="s">
        <v>6603</v>
      </c>
      <c r="B4986" t="s">
        <v>377</v>
      </c>
      <c r="C4986" t="s">
        <v>7432</v>
      </c>
      <c r="D4986">
        <v>44.750525</v>
      </c>
    </row>
    <row r="4987" spans="1:4">
      <c r="A4987" t="s">
        <v>6604</v>
      </c>
      <c r="B4987" t="s">
        <v>377</v>
      </c>
      <c r="C4987" t="s">
        <v>7433</v>
      </c>
      <c r="D4987">
        <v>219.491656</v>
      </c>
    </row>
    <row r="4988" spans="1:4">
      <c r="A4988" t="s">
        <v>6605</v>
      </c>
      <c r="B4988" t="s">
        <v>377</v>
      </c>
      <c r="C4988" t="s">
        <v>7434</v>
      </c>
      <c r="D4988">
        <v>9.757088</v>
      </c>
    </row>
    <row r="4989" spans="1:4">
      <c r="A4989" t="s">
        <v>6606</v>
      </c>
      <c r="B4989" t="s">
        <v>377</v>
      </c>
      <c r="C4989" t="s">
        <v>7435</v>
      </c>
      <c r="D4989">
        <v>0.11999</v>
      </c>
    </row>
    <row r="4990" spans="1:4">
      <c r="A4990" t="s">
        <v>6607</v>
      </c>
      <c r="B4990" t="s">
        <v>377</v>
      </c>
      <c r="C4990" t="s">
        <v>7436</v>
      </c>
      <c r="D4990">
        <v>7.018235</v>
      </c>
    </row>
    <row r="4991" spans="1:4">
      <c r="A4991" t="s">
        <v>6608</v>
      </c>
      <c r="B4991" t="s">
        <v>377</v>
      </c>
      <c r="C4991" t="s">
        <v>7437</v>
      </c>
      <c r="D4991">
        <v>0.085504</v>
      </c>
    </row>
    <row r="4992" spans="1:4">
      <c r="A4992" t="s">
        <v>6609</v>
      </c>
      <c r="B4992" t="s">
        <v>377</v>
      </c>
      <c r="C4992" t="s">
        <v>399</v>
      </c>
      <c r="D4992">
        <v>313.651337</v>
      </c>
    </row>
    <row r="4993" spans="1:4">
      <c r="A4993" t="s">
        <v>6610</v>
      </c>
      <c r="B4993" t="s">
        <v>377</v>
      </c>
      <c r="C4993" t="s">
        <v>7438</v>
      </c>
      <c r="D4993">
        <v>7.797589</v>
      </c>
    </row>
    <row r="4994" spans="1:4">
      <c r="A4994" t="s">
        <v>6611</v>
      </c>
      <c r="B4994" t="s">
        <v>377</v>
      </c>
      <c r="C4994" t="s">
        <v>7439</v>
      </c>
      <c r="D4994">
        <v>0.025917</v>
      </c>
    </row>
    <row r="4995" spans="1:4">
      <c r="A4995" t="s">
        <v>6612</v>
      </c>
      <c r="B4995" t="s">
        <v>377</v>
      </c>
      <c r="C4995" t="s">
        <v>7440</v>
      </c>
      <c r="D4995">
        <v>0.431489</v>
      </c>
    </row>
    <row r="4996" spans="1:4">
      <c r="A4996" t="s">
        <v>6613</v>
      </c>
      <c r="B4996" t="s">
        <v>377</v>
      </c>
      <c r="C4996" t="s">
        <v>7441</v>
      </c>
      <c r="D4996">
        <v>0.011975</v>
      </c>
    </row>
    <row r="4997" spans="1:4">
      <c r="A4997" t="s">
        <v>6614</v>
      </c>
      <c r="B4997" t="s">
        <v>377</v>
      </c>
      <c r="C4997" t="s">
        <v>7442</v>
      </c>
      <c r="D4997">
        <v>2.619836</v>
      </c>
    </row>
    <row r="4998" spans="1:4">
      <c r="A4998" t="s">
        <v>6615</v>
      </c>
      <c r="B4998" t="s">
        <v>377</v>
      </c>
      <c r="C4998" t="s">
        <v>7443</v>
      </c>
      <c r="D4998">
        <v>116.246169</v>
      </c>
    </row>
    <row r="4999" spans="1:4">
      <c r="A4999" t="s">
        <v>6616</v>
      </c>
      <c r="B4999" t="s">
        <v>377</v>
      </c>
      <c r="C4999" t="s">
        <v>7444</v>
      </c>
      <c r="D4999">
        <v>0.547453</v>
      </c>
    </row>
    <row r="5000" spans="1:4">
      <c r="A5000" t="s">
        <v>6617</v>
      </c>
      <c r="B5000" t="s">
        <v>377</v>
      </c>
      <c r="C5000" t="s">
        <v>7445</v>
      </c>
      <c r="D5000">
        <v>116.168515</v>
      </c>
    </row>
    <row r="5001" spans="1:4">
      <c r="A5001" t="s">
        <v>6618</v>
      </c>
      <c r="B5001" t="s">
        <v>377</v>
      </c>
      <c r="C5001" t="s">
        <v>7446</v>
      </c>
      <c r="D5001">
        <v>175.226246</v>
      </c>
    </row>
    <row r="5002" spans="1:4">
      <c r="A5002" t="s">
        <v>6619</v>
      </c>
      <c r="B5002" t="s">
        <v>377</v>
      </c>
      <c r="C5002" t="s">
        <v>7447</v>
      </c>
      <c r="D5002">
        <v>427.126935</v>
      </c>
    </row>
    <row r="5003" spans="1:4">
      <c r="A5003" t="s">
        <v>6620</v>
      </c>
      <c r="B5003" t="s">
        <v>377</v>
      </c>
      <c r="C5003" t="s">
        <v>7448</v>
      </c>
      <c r="D5003">
        <v>0.547453</v>
      </c>
    </row>
    <row r="5004" spans="1:4">
      <c r="A5004" t="s">
        <v>6621</v>
      </c>
      <c r="B5004" t="s">
        <v>377</v>
      </c>
      <c r="C5004" t="s">
        <v>7449</v>
      </c>
      <c r="D5004">
        <v>3.009299</v>
      </c>
    </row>
    <row r="5005" spans="1:4">
      <c r="A5005" t="s">
        <v>6622</v>
      </c>
      <c r="B5005" t="s">
        <v>377</v>
      </c>
      <c r="C5005" t="s">
        <v>7450</v>
      </c>
      <c r="D5005">
        <v>1.318296</v>
      </c>
    </row>
    <row r="5006" spans="1:4">
      <c r="A5006" t="s">
        <v>6623</v>
      </c>
      <c r="B5006" t="s">
        <v>377</v>
      </c>
      <c r="C5006" t="s">
        <v>7318</v>
      </c>
      <c r="D5006">
        <v>19.205637</v>
      </c>
    </row>
    <row r="5007" spans="1:4">
      <c r="A5007" t="s">
        <v>6624</v>
      </c>
      <c r="B5007" t="s">
        <v>377</v>
      </c>
      <c r="C5007" t="s">
        <v>7451</v>
      </c>
      <c r="D5007">
        <v>17.249496</v>
      </c>
    </row>
    <row r="5008" spans="1:4">
      <c r="A5008" t="s">
        <v>6625</v>
      </c>
      <c r="B5008" t="s">
        <v>377</v>
      </c>
      <c r="C5008" t="s">
        <v>7452</v>
      </c>
      <c r="D5008">
        <v>11.786091</v>
      </c>
    </row>
    <row r="5009" spans="1:4">
      <c r="A5009" t="s">
        <v>6626</v>
      </c>
      <c r="B5009" t="s">
        <v>377</v>
      </c>
      <c r="C5009" t="s">
        <v>7453</v>
      </c>
      <c r="D5009">
        <v>11.786091</v>
      </c>
    </row>
    <row r="5010" spans="1:4">
      <c r="A5010" t="s">
        <v>6627</v>
      </c>
      <c r="B5010" t="s">
        <v>7291</v>
      </c>
      <c r="C5010" t="s">
        <v>397</v>
      </c>
      <c r="D5010">
        <v>360.781845</v>
      </c>
    </row>
    <row r="5011" spans="1:4">
      <c r="A5011" t="s">
        <v>6628</v>
      </c>
      <c r="B5011" t="s">
        <v>7291</v>
      </c>
      <c r="C5011" t="s">
        <v>7319</v>
      </c>
      <c r="D5011">
        <v>85.809747</v>
      </c>
    </row>
    <row r="5012" spans="1:4">
      <c r="A5012" t="s">
        <v>6629</v>
      </c>
      <c r="B5012" t="s">
        <v>7291</v>
      </c>
      <c r="C5012" t="s">
        <v>7320</v>
      </c>
      <c r="D5012">
        <v>4.746106</v>
      </c>
    </row>
    <row r="5013" spans="1:4">
      <c r="A5013" t="s">
        <v>6630</v>
      </c>
      <c r="B5013" t="s">
        <v>7291</v>
      </c>
      <c r="C5013" t="s">
        <v>7321</v>
      </c>
      <c r="D5013">
        <v>3.850115</v>
      </c>
    </row>
    <row r="5014" spans="1:4">
      <c r="A5014" t="s">
        <v>6631</v>
      </c>
      <c r="B5014" t="s">
        <v>7291</v>
      </c>
      <c r="C5014" t="s">
        <v>7322</v>
      </c>
      <c r="D5014">
        <v>0.858205</v>
      </c>
    </row>
    <row r="5015" spans="1:4">
      <c r="A5015" t="s">
        <v>6632</v>
      </c>
      <c r="B5015" t="s">
        <v>7291</v>
      </c>
      <c r="C5015" t="s">
        <v>7323</v>
      </c>
      <c r="D5015">
        <v>176.05375</v>
      </c>
    </row>
    <row r="5016" spans="1:4">
      <c r="A5016" t="s">
        <v>6633</v>
      </c>
      <c r="B5016" t="s">
        <v>7291</v>
      </c>
      <c r="C5016" t="s">
        <v>7324</v>
      </c>
      <c r="D5016">
        <v>0.331006</v>
      </c>
    </row>
    <row r="5017" spans="1:4">
      <c r="A5017" t="s">
        <v>6634</v>
      </c>
      <c r="B5017" t="s">
        <v>7291</v>
      </c>
      <c r="C5017" t="s">
        <v>7325</v>
      </c>
      <c r="D5017">
        <v>0.213685</v>
      </c>
    </row>
    <row r="5018" spans="1:4">
      <c r="A5018" t="s">
        <v>6635</v>
      </c>
      <c r="B5018" t="s">
        <v>7291</v>
      </c>
      <c r="C5018" t="s">
        <v>7292</v>
      </c>
      <c r="D5018">
        <v>220.548909</v>
      </c>
    </row>
    <row r="5019" spans="1:4">
      <c r="A5019" t="s">
        <v>6636</v>
      </c>
      <c r="B5019" t="s">
        <v>7291</v>
      </c>
      <c r="C5019" t="s">
        <v>7326</v>
      </c>
      <c r="D5019">
        <v>176.05375</v>
      </c>
    </row>
    <row r="5020" spans="1:4">
      <c r="A5020" t="s">
        <v>6637</v>
      </c>
      <c r="B5020" t="s">
        <v>7291</v>
      </c>
      <c r="C5020" t="s">
        <v>7327</v>
      </c>
      <c r="D5020">
        <v>185.120093</v>
      </c>
    </row>
    <row r="5021" spans="1:4">
      <c r="A5021" t="s">
        <v>6638</v>
      </c>
      <c r="B5021" t="s">
        <v>7291</v>
      </c>
      <c r="C5021" t="s">
        <v>7328</v>
      </c>
      <c r="D5021">
        <v>184.464828</v>
      </c>
    </row>
    <row r="5022" spans="1:4">
      <c r="A5022" t="s">
        <v>6639</v>
      </c>
      <c r="B5022" t="s">
        <v>7291</v>
      </c>
      <c r="C5022" t="s">
        <v>7329</v>
      </c>
      <c r="D5022">
        <v>157.568125</v>
      </c>
    </row>
    <row r="5023" spans="1:4">
      <c r="A5023" t="s">
        <v>6640</v>
      </c>
      <c r="B5023" t="s">
        <v>7291</v>
      </c>
      <c r="C5023" t="s">
        <v>7330</v>
      </c>
      <c r="D5023">
        <v>2.556897</v>
      </c>
    </row>
    <row r="5024" spans="1:4">
      <c r="A5024" t="s">
        <v>6641</v>
      </c>
      <c r="B5024" t="s">
        <v>7291</v>
      </c>
      <c r="C5024" t="s">
        <v>398</v>
      </c>
      <c r="D5024">
        <v>184.464828</v>
      </c>
    </row>
    <row r="5025" spans="1:4">
      <c r="A5025" t="s">
        <v>6642</v>
      </c>
      <c r="B5025" t="s">
        <v>7291</v>
      </c>
      <c r="C5025" t="s">
        <v>7331</v>
      </c>
      <c r="D5025">
        <v>838.128994</v>
      </c>
    </row>
    <row r="5026" spans="1:4">
      <c r="A5026" t="s">
        <v>6643</v>
      </c>
      <c r="B5026" t="s">
        <v>7291</v>
      </c>
      <c r="C5026" t="s">
        <v>7332</v>
      </c>
      <c r="D5026">
        <v>0.105197</v>
      </c>
    </row>
    <row r="5027" spans="1:4">
      <c r="A5027" t="s">
        <v>6644</v>
      </c>
      <c r="B5027" t="s">
        <v>7291</v>
      </c>
      <c r="C5027" t="s">
        <v>7333</v>
      </c>
      <c r="D5027">
        <v>315.13625</v>
      </c>
    </row>
    <row r="5028" spans="1:4">
      <c r="A5028" t="s">
        <v>6645</v>
      </c>
      <c r="B5028" t="s">
        <v>7291</v>
      </c>
      <c r="C5028" t="s">
        <v>7334</v>
      </c>
      <c r="D5028">
        <v>244.235564</v>
      </c>
    </row>
    <row r="5029" spans="1:4">
      <c r="A5029" t="s">
        <v>6646</v>
      </c>
      <c r="B5029" t="s">
        <v>7291</v>
      </c>
      <c r="C5029" t="s">
        <v>7335</v>
      </c>
      <c r="D5029">
        <v>29.964645</v>
      </c>
    </row>
    <row r="5030" spans="1:4">
      <c r="A5030" t="s">
        <v>6647</v>
      </c>
      <c r="B5030" t="s">
        <v>7291</v>
      </c>
      <c r="C5030" t="s">
        <v>7293</v>
      </c>
      <c r="D5030">
        <v>61.867813</v>
      </c>
    </row>
    <row r="5031" spans="1:4">
      <c r="A5031" t="s">
        <v>6648</v>
      </c>
      <c r="B5031" t="s">
        <v>7291</v>
      </c>
      <c r="C5031" t="s">
        <v>7336</v>
      </c>
      <c r="D5031">
        <v>315.13625</v>
      </c>
    </row>
    <row r="5032" spans="1:4">
      <c r="A5032" t="s">
        <v>6649</v>
      </c>
      <c r="B5032" t="s">
        <v>7291</v>
      </c>
      <c r="C5032" t="s">
        <v>7337</v>
      </c>
      <c r="D5032">
        <v>3.270751</v>
      </c>
    </row>
    <row r="5033" spans="1:4">
      <c r="A5033" t="s">
        <v>6650</v>
      </c>
      <c r="B5033" t="s">
        <v>7291</v>
      </c>
      <c r="C5033" t="s">
        <v>7338</v>
      </c>
      <c r="D5033">
        <v>22.286317</v>
      </c>
    </row>
    <row r="5034" spans="1:4">
      <c r="A5034" t="s">
        <v>6651</v>
      </c>
      <c r="B5034" t="s">
        <v>7291</v>
      </c>
      <c r="C5034" t="s">
        <v>7339</v>
      </c>
      <c r="D5034">
        <v>109.315675</v>
      </c>
    </row>
    <row r="5035" spans="1:4">
      <c r="A5035" t="s">
        <v>6652</v>
      </c>
      <c r="B5035" t="s">
        <v>7291</v>
      </c>
      <c r="C5035" t="s">
        <v>7340</v>
      </c>
      <c r="D5035">
        <v>157.568125</v>
      </c>
    </row>
    <row r="5036" spans="1:4">
      <c r="A5036" t="s">
        <v>6653</v>
      </c>
      <c r="B5036" t="s">
        <v>7291</v>
      </c>
      <c r="C5036" t="s">
        <v>7294</v>
      </c>
      <c r="D5036">
        <v>224.580646</v>
      </c>
    </row>
    <row r="5037" spans="1:4">
      <c r="A5037" t="s">
        <v>6654</v>
      </c>
      <c r="B5037" t="s">
        <v>7291</v>
      </c>
      <c r="C5037" t="s">
        <v>7341</v>
      </c>
      <c r="D5037">
        <v>0.13613</v>
      </c>
    </row>
    <row r="5038" spans="1:4">
      <c r="A5038" t="s">
        <v>6655</v>
      </c>
      <c r="B5038" t="s">
        <v>7291</v>
      </c>
      <c r="C5038" t="s">
        <v>7295</v>
      </c>
      <c r="D5038">
        <v>389.911342</v>
      </c>
    </row>
    <row r="5039" spans="1:4">
      <c r="A5039" t="s">
        <v>6656</v>
      </c>
      <c r="B5039" t="s">
        <v>7291</v>
      </c>
      <c r="C5039" t="s">
        <v>7342</v>
      </c>
      <c r="D5039">
        <v>13452.973563</v>
      </c>
    </row>
    <row r="5040" spans="1:4">
      <c r="A5040" t="s">
        <v>6657</v>
      </c>
      <c r="B5040" t="s">
        <v>7291</v>
      </c>
      <c r="C5040" t="s">
        <v>7343</v>
      </c>
      <c r="D5040">
        <v>0.340354</v>
      </c>
    </row>
    <row r="5041" spans="1:4">
      <c r="A5041" t="s">
        <v>6658</v>
      </c>
      <c r="B5041" t="s">
        <v>7291</v>
      </c>
      <c r="C5041" t="s">
        <v>7344</v>
      </c>
      <c r="D5041">
        <v>46.539111</v>
      </c>
    </row>
    <row r="5042" spans="1:4">
      <c r="A5042" t="s">
        <v>6659</v>
      </c>
      <c r="B5042" t="s">
        <v>7291</v>
      </c>
      <c r="C5042" t="s">
        <v>7296</v>
      </c>
      <c r="D5042">
        <v>46.491092</v>
      </c>
    </row>
    <row r="5043" spans="1:4">
      <c r="A5043" t="s">
        <v>6660</v>
      </c>
      <c r="B5043" t="s">
        <v>7291</v>
      </c>
      <c r="C5043" t="s">
        <v>7345</v>
      </c>
      <c r="D5043">
        <v>0.097751</v>
      </c>
    </row>
    <row r="5044" spans="1:4">
      <c r="A5044" t="s">
        <v>6661</v>
      </c>
      <c r="B5044" t="s">
        <v>7291</v>
      </c>
      <c r="C5044" t="s">
        <v>7346</v>
      </c>
      <c r="D5044">
        <v>0.693458</v>
      </c>
    </row>
    <row r="5045" spans="1:4">
      <c r="A5045" t="s">
        <v>6662</v>
      </c>
      <c r="B5045" t="s">
        <v>7291</v>
      </c>
      <c r="C5045" t="s">
        <v>7347</v>
      </c>
      <c r="D5045">
        <v>13.130678</v>
      </c>
    </row>
    <row r="5046" spans="1:4">
      <c r="A5046" t="s">
        <v>6663</v>
      </c>
      <c r="B5046" t="s">
        <v>7291</v>
      </c>
      <c r="C5046" t="s">
        <v>7348</v>
      </c>
      <c r="D5046">
        <v>3.271953</v>
      </c>
    </row>
    <row r="5047" spans="1:4">
      <c r="A5047" t="s">
        <v>6664</v>
      </c>
      <c r="B5047" t="s">
        <v>7291</v>
      </c>
      <c r="C5047" t="s">
        <v>7297</v>
      </c>
      <c r="D5047">
        <v>14.908419</v>
      </c>
    </row>
    <row r="5048" spans="1:4">
      <c r="A5048" t="s">
        <v>6665</v>
      </c>
      <c r="B5048" t="s">
        <v>7291</v>
      </c>
      <c r="C5048" t="s">
        <v>7349</v>
      </c>
      <c r="D5048">
        <v>1.773208</v>
      </c>
    </row>
    <row r="5049" spans="1:4">
      <c r="A5049" t="s">
        <v>6666</v>
      </c>
      <c r="B5049" t="s">
        <v>7291</v>
      </c>
      <c r="C5049" t="s">
        <v>7298</v>
      </c>
      <c r="D5049">
        <v>48.338002</v>
      </c>
    </row>
    <row r="5050" spans="1:4">
      <c r="A5050" t="s">
        <v>6667</v>
      </c>
      <c r="B5050" t="s">
        <v>7291</v>
      </c>
      <c r="C5050" t="s">
        <v>7350</v>
      </c>
      <c r="D5050">
        <v>5.400663</v>
      </c>
    </row>
    <row r="5051" spans="1:4">
      <c r="A5051" t="s">
        <v>6668</v>
      </c>
      <c r="B5051" t="s">
        <v>7291</v>
      </c>
      <c r="C5051" t="s">
        <v>7351</v>
      </c>
      <c r="D5051">
        <v>2.366138</v>
      </c>
    </row>
    <row r="5052" spans="1:4">
      <c r="A5052" t="s">
        <v>6669</v>
      </c>
      <c r="B5052" t="s">
        <v>7291</v>
      </c>
      <c r="C5052" t="s">
        <v>7352</v>
      </c>
      <c r="D5052">
        <v>6.237011</v>
      </c>
    </row>
    <row r="5053" spans="1:4">
      <c r="A5053" t="s">
        <v>6670</v>
      </c>
      <c r="B5053" t="s">
        <v>7291</v>
      </c>
      <c r="C5053" t="s">
        <v>7353</v>
      </c>
      <c r="D5053">
        <v>21.009085</v>
      </c>
    </row>
    <row r="5054" spans="1:4">
      <c r="A5054" t="s">
        <v>6671</v>
      </c>
      <c r="B5054" t="s">
        <v>7291</v>
      </c>
      <c r="C5054" t="s">
        <v>7354</v>
      </c>
      <c r="D5054">
        <v>1.930596</v>
      </c>
    </row>
    <row r="5055" spans="1:4">
      <c r="A5055" t="s">
        <v>6672</v>
      </c>
      <c r="B5055" t="s">
        <v>7291</v>
      </c>
      <c r="C5055" t="s">
        <v>7355</v>
      </c>
      <c r="D5055">
        <v>141.143667</v>
      </c>
    </row>
    <row r="5056" spans="1:4">
      <c r="A5056" t="s">
        <v>6673</v>
      </c>
      <c r="B5056" t="s">
        <v>7291</v>
      </c>
      <c r="C5056" t="s">
        <v>7356</v>
      </c>
      <c r="D5056">
        <v>425.053305</v>
      </c>
    </row>
    <row r="5057" spans="1:4">
      <c r="A5057" t="s">
        <v>6674</v>
      </c>
      <c r="B5057" t="s">
        <v>7291</v>
      </c>
      <c r="C5057" t="s">
        <v>7357</v>
      </c>
      <c r="D5057">
        <v>48.338022</v>
      </c>
    </row>
    <row r="5058" spans="1:4">
      <c r="A5058" t="s">
        <v>6675</v>
      </c>
      <c r="B5058" t="s">
        <v>7291</v>
      </c>
      <c r="C5058" t="s">
        <v>7299</v>
      </c>
      <c r="D5058">
        <v>425.052804</v>
      </c>
    </row>
    <row r="5059" spans="1:4">
      <c r="A5059" t="s">
        <v>6676</v>
      </c>
      <c r="B5059" t="s">
        <v>7291</v>
      </c>
      <c r="C5059" t="s">
        <v>7358</v>
      </c>
      <c r="D5059">
        <v>119.633496</v>
      </c>
    </row>
    <row r="5060" spans="1:4">
      <c r="A5060" t="s">
        <v>6677</v>
      </c>
      <c r="B5060" t="s">
        <v>7291</v>
      </c>
      <c r="C5060" t="s">
        <v>7359</v>
      </c>
      <c r="D5060">
        <v>425.053305</v>
      </c>
    </row>
    <row r="5061" spans="1:4">
      <c r="A5061" t="s">
        <v>6678</v>
      </c>
      <c r="B5061" t="s">
        <v>7291</v>
      </c>
      <c r="C5061" t="s">
        <v>7360</v>
      </c>
      <c r="D5061">
        <v>27.264604</v>
      </c>
    </row>
    <row r="5062" spans="1:4">
      <c r="A5062" t="s">
        <v>6679</v>
      </c>
      <c r="B5062" t="s">
        <v>7291</v>
      </c>
      <c r="C5062" t="s">
        <v>7361</v>
      </c>
      <c r="D5062">
        <v>425.053305</v>
      </c>
    </row>
    <row r="5063" spans="1:4">
      <c r="A5063" t="s">
        <v>6680</v>
      </c>
      <c r="B5063" t="s">
        <v>7291</v>
      </c>
      <c r="C5063" t="s">
        <v>7362</v>
      </c>
      <c r="D5063">
        <v>4.23576</v>
      </c>
    </row>
    <row r="5064" spans="1:4">
      <c r="A5064" t="s">
        <v>6681</v>
      </c>
      <c r="B5064" t="s">
        <v>7291</v>
      </c>
      <c r="C5064" t="s">
        <v>7363</v>
      </c>
      <c r="D5064">
        <v>0.03587</v>
      </c>
    </row>
    <row r="5065" spans="1:4">
      <c r="A5065" t="s">
        <v>6682</v>
      </c>
      <c r="B5065" t="s">
        <v>7291</v>
      </c>
      <c r="C5065" t="s">
        <v>7364</v>
      </c>
      <c r="D5065">
        <v>41.289672</v>
      </c>
    </row>
    <row r="5066" spans="1:4">
      <c r="A5066" t="s">
        <v>6683</v>
      </c>
      <c r="B5066" t="s">
        <v>7291</v>
      </c>
      <c r="C5066" t="s">
        <v>7365</v>
      </c>
      <c r="D5066">
        <v>1.504593</v>
      </c>
    </row>
    <row r="5067" spans="1:4">
      <c r="A5067" t="s">
        <v>6684</v>
      </c>
      <c r="B5067" t="s">
        <v>7291</v>
      </c>
      <c r="C5067" t="s">
        <v>7300</v>
      </c>
      <c r="D5067">
        <v>40.204474</v>
      </c>
    </row>
    <row r="5068" spans="1:4">
      <c r="A5068" t="s">
        <v>6685</v>
      </c>
      <c r="B5068" t="s">
        <v>7291</v>
      </c>
      <c r="C5068" t="s">
        <v>7366</v>
      </c>
      <c r="D5068">
        <v>11.768507</v>
      </c>
    </row>
    <row r="5069" spans="1:4">
      <c r="A5069" t="s">
        <v>6686</v>
      </c>
      <c r="B5069" t="s">
        <v>7291</v>
      </c>
      <c r="C5069" t="s">
        <v>7367</v>
      </c>
      <c r="D5069">
        <v>47.88398</v>
      </c>
    </row>
    <row r="5070" spans="1:4">
      <c r="A5070" t="s">
        <v>6687</v>
      </c>
      <c r="B5070" t="s">
        <v>7291</v>
      </c>
      <c r="C5070" t="s">
        <v>7368</v>
      </c>
      <c r="D5070">
        <v>2.408372</v>
      </c>
    </row>
    <row r="5071" spans="1:4">
      <c r="A5071" t="s">
        <v>6688</v>
      </c>
      <c r="B5071" t="s">
        <v>7291</v>
      </c>
      <c r="C5071" t="s">
        <v>7301</v>
      </c>
      <c r="D5071">
        <v>0.017514</v>
      </c>
    </row>
    <row r="5072" spans="1:4">
      <c r="A5072" t="s">
        <v>6689</v>
      </c>
      <c r="B5072" t="s">
        <v>7291</v>
      </c>
      <c r="C5072" t="s">
        <v>7302</v>
      </c>
      <c r="D5072">
        <v>104.551295</v>
      </c>
    </row>
    <row r="5073" spans="1:4">
      <c r="A5073" t="s">
        <v>6690</v>
      </c>
      <c r="B5073" t="s">
        <v>7291</v>
      </c>
      <c r="C5073" t="s">
        <v>7369</v>
      </c>
      <c r="D5073">
        <v>425.053305</v>
      </c>
    </row>
    <row r="5074" spans="1:4">
      <c r="A5074" t="s">
        <v>6691</v>
      </c>
      <c r="B5074" t="s">
        <v>7291</v>
      </c>
      <c r="C5074" t="s">
        <v>7303</v>
      </c>
      <c r="D5074">
        <v>3.270747</v>
      </c>
    </row>
    <row r="5075" spans="1:4">
      <c r="A5075" t="s">
        <v>6692</v>
      </c>
      <c r="B5075" t="s">
        <v>7291</v>
      </c>
      <c r="C5075" t="s">
        <v>7370</v>
      </c>
      <c r="D5075">
        <v>0.24053</v>
      </c>
    </row>
    <row r="5076" spans="1:4">
      <c r="A5076" t="s">
        <v>6693</v>
      </c>
      <c r="B5076" t="s">
        <v>7291</v>
      </c>
      <c r="C5076" t="s">
        <v>7371</v>
      </c>
      <c r="D5076">
        <v>0.000229</v>
      </c>
    </row>
    <row r="5077" spans="1:4">
      <c r="A5077" t="s">
        <v>6694</v>
      </c>
      <c r="B5077" t="s">
        <v>7291</v>
      </c>
      <c r="C5077" t="s">
        <v>7304</v>
      </c>
      <c r="D5077">
        <v>2.51938</v>
      </c>
    </row>
    <row r="5078" spans="1:4">
      <c r="A5078" t="s">
        <v>6695</v>
      </c>
      <c r="B5078" t="s">
        <v>7291</v>
      </c>
      <c r="C5078" t="s">
        <v>7372</v>
      </c>
      <c r="D5078">
        <v>425.053305</v>
      </c>
    </row>
    <row r="5079" spans="1:4">
      <c r="A5079" t="s">
        <v>6696</v>
      </c>
      <c r="B5079" t="s">
        <v>7291</v>
      </c>
      <c r="C5079" t="s">
        <v>7373</v>
      </c>
      <c r="D5079">
        <v>1.990517</v>
      </c>
    </row>
    <row r="5080" spans="1:4">
      <c r="A5080" t="s">
        <v>6697</v>
      </c>
      <c r="B5080" t="s">
        <v>7291</v>
      </c>
      <c r="C5080" t="s">
        <v>7374</v>
      </c>
      <c r="D5080">
        <v>444.480118</v>
      </c>
    </row>
    <row r="5081" spans="1:4">
      <c r="A5081" t="s">
        <v>6698</v>
      </c>
      <c r="B5081" t="s">
        <v>7291</v>
      </c>
      <c r="C5081" t="s">
        <v>7305</v>
      </c>
      <c r="D5081">
        <v>1.941189</v>
      </c>
    </row>
    <row r="5082" spans="1:4">
      <c r="A5082" t="s">
        <v>6699</v>
      </c>
      <c r="B5082" t="s">
        <v>7291</v>
      </c>
      <c r="C5082" t="s">
        <v>7375</v>
      </c>
      <c r="D5082">
        <v>2.435512</v>
      </c>
    </row>
    <row r="5083" spans="1:4">
      <c r="A5083" t="s">
        <v>6700</v>
      </c>
      <c r="B5083" t="s">
        <v>7291</v>
      </c>
      <c r="C5083" t="s">
        <v>7376</v>
      </c>
      <c r="D5083">
        <v>3.59972</v>
      </c>
    </row>
    <row r="5084" spans="1:4">
      <c r="A5084" t="s">
        <v>6701</v>
      </c>
      <c r="B5084" t="s">
        <v>7291</v>
      </c>
      <c r="C5084" t="s">
        <v>7377</v>
      </c>
      <c r="D5084">
        <v>0.077788</v>
      </c>
    </row>
    <row r="5085" spans="1:4">
      <c r="A5085" t="s">
        <v>6702</v>
      </c>
      <c r="B5085" t="s">
        <v>7291</v>
      </c>
      <c r="C5085" t="s">
        <v>7378</v>
      </c>
      <c r="D5085">
        <v>220.548909</v>
      </c>
    </row>
    <row r="5086" spans="1:4">
      <c r="A5086" t="s">
        <v>6703</v>
      </c>
      <c r="B5086" t="s">
        <v>7291</v>
      </c>
      <c r="C5086" t="s">
        <v>7379</v>
      </c>
      <c r="D5086">
        <v>0.733345</v>
      </c>
    </row>
    <row r="5087" spans="1:4">
      <c r="A5087" t="s">
        <v>6704</v>
      </c>
      <c r="B5087" t="s">
        <v>7291</v>
      </c>
      <c r="C5087" t="s">
        <v>7306</v>
      </c>
      <c r="D5087">
        <v>0.212723</v>
      </c>
    </row>
    <row r="5088" spans="1:4">
      <c r="A5088" t="s">
        <v>6705</v>
      </c>
      <c r="B5088" t="s">
        <v>7291</v>
      </c>
      <c r="C5088" t="s">
        <v>7380</v>
      </c>
      <c r="D5088">
        <v>1020.928517</v>
      </c>
    </row>
    <row r="5089" spans="1:4">
      <c r="A5089" t="s">
        <v>6706</v>
      </c>
      <c r="B5089" t="s">
        <v>7291</v>
      </c>
      <c r="C5089" t="s">
        <v>7381</v>
      </c>
      <c r="D5089">
        <v>378.163764</v>
      </c>
    </row>
    <row r="5090" spans="1:4">
      <c r="A5090" t="s">
        <v>6707</v>
      </c>
      <c r="B5090" t="s">
        <v>7291</v>
      </c>
      <c r="C5090" t="s">
        <v>7382</v>
      </c>
      <c r="D5090">
        <v>0.668274</v>
      </c>
    </row>
    <row r="5091" spans="1:4">
      <c r="A5091" t="s">
        <v>6708</v>
      </c>
      <c r="B5091" t="s">
        <v>7291</v>
      </c>
      <c r="C5091" t="s">
        <v>7383</v>
      </c>
      <c r="D5091">
        <v>0.014119</v>
      </c>
    </row>
    <row r="5092" spans="1:4">
      <c r="A5092" t="s">
        <v>6709</v>
      </c>
      <c r="B5092" t="s">
        <v>7291</v>
      </c>
      <c r="C5092" t="s">
        <v>7384</v>
      </c>
      <c r="D5092">
        <v>0.003521</v>
      </c>
    </row>
    <row r="5093" spans="1:4">
      <c r="A5093" t="s">
        <v>6710</v>
      </c>
      <c r="B5093" t="s">
        <v>7291</v>
      </c>
      <c r="C5093" t="s">
        <v>7385</v>
      </c>
      <c r="D5093">
        <v>0.937917</v>
      </c>
    </row>
    <row r="5094" spans="1:4">
      <c r="A5094" t="s">
        <v>6711</v>
      </c>
      <c r="B5094" t="s">
        <v>7291</v>
      </c>
      <c r="C5094" t="s">
        <v>7386</v>
      </c>
      <c r="D5094">
        <v>1.74057</v>
      </c>
    </row>
    <row r="5095" spans="1:4">
      <c r="A5095" t="s">
        <v>6712</v>
      </c>
      <c r="B5095" t="s">
        <v>7291</v>
      </c>
      <c r="C5095" t="s">
        <v>7387</v>
      </c>
      <c r="D5095">
        <v>19.215042</v>
      </c>
    </row>
    <row r="5096" spans="1:4">
      <c r="A5096" t="s">
        <v>6713</v>
      </c>
      <c r="B5096" t="s">
        <v>7291</v>
      </c>
      <c r="C5096" t="s">
        <v>7388</v>
      </c>
      <c r="D5096">
        <v>49.232927</v>
      </c>
    </row>
    <row r="5097" spans="1:4">
      <c r="A5097" t="s">
        <v>6714</v>
      </c>
      <c r="B5097" t="s">
        <v>7291</v>
      </c>
      <c r="C5097" t="s">
        <v>7389</v>
      </c>
      <c r="D5097">
        <v>33.774791</v>
      </c>
    </row>
    <row r="5098" spans="1:4">
      <c r="A5098" t="s">
        <v>6715</v>
      </c>
      <c r="B5098" t="s">
        <v>7291</v>
      </c>
      <c r="C5098" t="s">
        <v>7390</v>
      </c>
      <c r="D5098">
        <v>17.953649</v>
      </c>
    </row>
    <row r="5099" spans="1:4">
      <c r="A5099" t="s">
        <v>6716</v>
      </c>
      <c r="B5099" t="s">
        <v>7291</v>
      </c>
      <c r="C5099" t="s">
        <v>7391</v>
      </c>
      <c r="D5099">
        <v>0.074102</v>
      </c>
    </row>
    <row r="5100" spans="1:4">
      <c r="A5100" t="s">
        <v>6717</v>
      </c>
      <c r="B5100" t="s">
        <v>7291</v>
      </c>
      <c r="C5100" t="s">
        <v>7392</v>
      </c>
      <c r="D5100">
        <v>5.859321</v>
      </c>
    </row>
    <row r="5101" spans="1:4">
      <c r="A5101" t="s">
        <v>6718</v>
      </c>
      <c r="B5101" t="s">
        <v>7291</v>
      </c>
      <c r="C5101" t="s">
        <v>7393</v>
      </c>
      <c r="D5101">
        <v>0.149726</v>
      </c>
    </row>
    <row r="5102" spans="1:4">
      <c r="A5102" t="s">
        <v>6719</v>
      </c>
      <c r="B5102" t="s">
        <v>7291</v>
      </c>
      <c r="C5102" t="s">
        <v>7394</v>
      </c>
      <c r="D5102">
        <v>0.087463</v>
      </c>
    </row>
    <row r="5103" spans="1:4">
      <c r="A5103" t="s">
        <v>6720</v>
      </c>
      <c r="B5103" t="s">
        <v>7291</v>
      </c>
      <c r="C5103" t="s">
        <v>7395</v>
      </c>
      <c r="D5103">
        <v>39.022127</v>
      </c>
    </row>
    <row r="5104" spans="1:4">
      <c r="A5104" t="s">
        <v>6721</v>
      </c>
      <c r="B5104" t="s">
        <v>7291</v>
      </c>
      <c r="C5104" t="s">
        <v>7396</v>
      </c>
      <c r="D5104">
        <v>7.843328</v>
      </c>
    </row>
    <row r="5105" spans="1:4">
      <c r="A5105" t="s">
        <v>6722</v>
      </c>
      <c r="B5105" t="s">
        <v>7291</v>
      </c>
      <c r="C5105" t="s">
        <v>7397</v>
      </c>
      <c r="D5105">
        <v>6.700867</v>
      </c>
    </row>
    <row r="5106" spans="1:4">
      <c r="A5106" t="s">
        <v>6723</v>
      </c>
      <c r="B5106" t="s">
        <v>7291</v>
      </c>
      <c r="C5106" t="s">
        <v>7398</v>
      </c>
      <c r="D5106">
        <v>20.356937</v>
      </c>
    </row>
    <row r="5107" spans="1:4">
      <c r="A5107" t="s">
        <v>6724</v>
      </c>
      <c r="B5107" t="s">
        <v>7291</v>
      </c>
      <c r="C5107" t="s">
        <v>7399</v>
      </c>
      <c r="D5107">
        <v>0.180429</v>
      </c>
    </row>
    <row r="5108" spans="1:4">
      <c r="A5108" t="s">
        <v>6725</v>
      </c>
      <c r="B5108" t="s">
        <v>7291</v>
      </c>
      <c r="C5108" t="s">
        <v>7307</v>
      </c>
      <c r="D5108">
        <v>18.087079</v>
      </c>
    </row>
    <row r="5109" spans="1:4">
      <c r="A5109" t="s">
        <v>6726</v>
      </c>
      <c r="B5109" t="s">
        <v>7291</v>
      </c>
      <c r="C5109" t="s">
        <v>7308</v>
      </c>
      <c r="D5109">
        <v>77.351795</v>
      </c>
    </row>
    <row r="5110" spans="1:4">
      <c r="A5110" t="s">
        <v>6727</v>
      </c>
      <c r="B5110" t="s">
        <v>7291</v>
      </c>
      <c r="C5110" t="s">
        <v>7400</v>
      </c>
      <c r="D5110">
        <v>4.935509</v>
      </c>
    </row>
    <row r="5111" spans="1:4">
      <c r="A5111" t="s">
        <v>6728</v>
      </c>
      <c r="B5111" t="s">
        <v>7291</v>
      </c>
      <c r="C5111" t="s">
        <v>7401</v>
      </c>
      <c r="D5111">
        <v>19.215042</v>
      </c>
    </row>
    <row r="5112" spans="1:4">
      <c r="A5112" t="s">
        <v>6729</v>
      </c>
      <c r="B5112" t="s">
        <v>7291</v>
      </c>
      <c r="C5112" t="s">
        <v>7402</v>
      </c>
      <c r="D5112">
        <v>0.230192</v>
      </c>
    </row>
    <row r="5113" spans="1:4">
      <c r="A5113" t="s">
        <v>6730</v>
      </c>
      <c r="B5113" t="s">
        <v>7291</v>
      </c>
      <c r="C5113" t="s">
        <v>7403</v>
      </c>
      <c r="D5113">
        <v>8.564052</v>
      </c>
    </row>
    <row r="5114" spans="1:4">
      <c r="A5114" t="s">
        <v>6731</v>
      </c>
      <c r="B5114" t="s">
        <v>7291</v>
      </c>
      <c r="C5114" t="s">
        <v>7309</v>
      </c>
      <c r="D5114">
        <v>32.608388</v>
      </c>
    </row>
    <row r="5115" spans="1:4">
      <c r="A5115" t="s">
        <v>6732</v>
      </c>
      <c r="B5115" t="s">
        <v>7291</v>
      </c>
      <c r="C5115" t="s">
        <v>7404</v>
      </c>
      <c r="D5115">
        <v>2.044219</v>
      </c>
    </row>
    <row r="5116" spans="1:4">
      <c r="A5116" t="s">
        <v>6733</v>
      </c>
      <c r="B5116" t="s">
        <v>7291</v>
      </c>
      <c r="C5116" t="s">
        <v>7310</v>
      </c>
      <c r="D5116">
        <v>184.17752</v>
      </c>
    </row>
    <row r="5117" spans="1:4">
      <c r="A5117" t="s">
        <v>6734</v>
      </c>
      <c r="B5117" t="s">
        <v>7291</v>
      </c>
      <c r="C5117" t="s">
        <v>7405</v>
      </c>
      <c r="D5117">
        <v>819.60668</v>
      </c>
    </row>
    <row r="5118" spans="1:4">
      <c r="A5118" t="s">
        <v>6735</v>
      </c>
      <c r="B5118" t="s">
        <v>7291</v>
      </c>
      <c r="C5118" t="s">
        <v>7406</v>
      </c>
      <c r="D5118">
        <v>315.13625</v>
      </c>
    </row>
    <row r="5119" spans="1:4">
      <c r="A5119" t="s">
        <v>6736</v>
      </c>
      <c r="B5119" t="s">
        <v>7291</v>
      </c>
      <c r="C5119" t="s">
        <v>7407</v>
      </c>
      <c r="D5119">
        <v>92.93516700000001</v>
      </c>
    </row>
    <row r="5120" spans="1:4">
      <c r="A5120" t="s">
        <v>6737</v>
      </c>
      <c r="B5120" t="s">
        <v>7291</v>
      </c>
      <c r="C5120" t="s">
        <v>7408</v>
      </c>
      <c r="D5120">
        <v>70.997086</v>
      </c>
    </row>
    <row r="5121" spans="1:4">
      <c r="A5121" t="s">
        <v>6738</v>
      </c>
      <c r="B5121" t="s">
        <v>7291</v>
      </c>
      <c r="C5121" t="s">
        <v>7311</v>
      </c>
      <c r="D5121">
        <v>5.110602</v>
      </c>
    </row>
    <row r="5122" spans="1:4">
      <c r="A5122" t="s">
        <v>6739</v>
      </c>
      <c r="B5122" t="s">
        <v>7291</v>
      </c>
      <c r="C5122" t="s">
        <v>7409</v>
      </c>
      <c r="D5122">
        <v>1.134066</v>
      </c>
    </row>
    <row r="5123" spans="1:4">
      <c r="A5123" t="s">
        <v>6740</v>
      </c>
      <c r="B5123" t="s">
        <v>7291</v>
      </c>
      <c r="C5123" t="s">
        <v>7312</v>
      </c>
      <c r="D5123">
        <v>83.331546</v>
      </c>
    </row>
    <row r="5124" spans="1:4">
      <c r="A5124" t="s">
        <v>6741</v>
      </c>
      <c r="B5124" t="s">
        <v>7291</v>
      </c>
      <c r="C5124" t="s">
        <v>7410</v>
      </c>
      <c r="D5124">
        <v>0.052157</v>
      </c>
    </row>
    <row r="5125" spans="1:4">
      <c r="A5125" t="s">
        <v>6742</v>
      </c>
      <c r="B5125" t="s">
        <v>7291</v>
      </c>
      <c r="C5125" t="s">
        <v>7411</v>
      </c>
      <c r="D5125">
        <v>86.575896</v>
      </c>
    </row>
    <row r="5126" spans="1:4">
      <c r="A5126" t="s">
        <v>6743</v>
      </c>
      <c r="B5126" t="s">
        <v>7291</v>
      </c>
      <c r="C5126" t="s">
        <v>7313</v>
      </c>
      <c r="D5126">
        <v>68.8379</v>
      </c>
    </row>
    <row r="5127" spans="1:4">
      <c r="A5127" t="s">
        <v>6744</v>
      </c>
      <c r="B5127" t="s">
        <v>7291</v>
      </c>
      <c r="C5127" t="s">
        <v>7412</v>
      </c>
      <c r="D5127">
        <v>3.073961</v>
      </c>
    </row>
    <row r="5128" spans="1:4">
      <c r="A5128" t="s">
        <v>6745</v>
      </c>
      <c r="B5128" t="s">
        <v>7291</v>
      </c>
      <c r="C5128" t="s">
        <v>7413</v>
      </c>
      <c r="D5128">
        <v>4.049644</v>
      </c>
    </row>
    <row r="5129" spans="1:4">
      <c r="A5129" t="s">
        <v>6746</v>
      </c>
      <c r="B5129" t="s">
        <v>7291</v>
      </c>
      <c r="C5129" t="s">
        <v>7414</v>
      </c>
      <c r="D5129">
        <v>0.21449</v>
      </c>
    </row>
    <row r="5130" spans="1:4">
      <c r="A5130" t="s">
        <v>6747</v>
      </c>
      <c r="B5130" t="s">
        <v>7291</v>
      </c>
      <c r="C5130" t="s">
        <v>7415</v>
      </c>
      <c r="D5130">
        <v>84.036333</v>
      </c>
    </row>
    <row r="5131" spans="1:4">
      <c r="A5131" t="s">
        <v>6748</v>
      </c>
      <c r="B5131" t="s">
        <v>7291</v>
      </c>
      <c r="C5131" t="s">
        <v>7416</v>
      </c>
      <c r="D5131">
        <v>39.588492</v>
      </c>
    </row>
    <row r="5132" spans="1:4">
      <c r="A5132" t="s">
        <v>6749</v>
      </c>
      <c r="B5132" t="s">
        <v>7291</v>
      </c>
      <c r="C5132" t="s">
        <v>7417</v>
      </c>
      <c r="D5132">
        <v>22.118063</v>
      </c>
    </row>
    <row r="5133" spans="1:4">
      <c r="A5133" t="s">
        <v>6750</v>
      </c>
      <c r="B5133" t="s">
        <v>7291</v>
      </c>
      <c r="C5133" t="s">
        <v>7418</v>
      </c>
      <c r="D5133">
        <v>0.70419</v>
      </c>
    </row>
    <row r="5134" spans="1:4">
      <c r="A5134" t="s">
        <v>6751</v>
      </c>
      <c r="B5134" t="s">
        <v>7291</v>
      </c>
      <c r="C5134" t="s">
        <v>7314</v>
      </c>
      <c r="D5134">
        <v>32.697798</v>
      </c>
    </row>
    <row r="5135" spans="1:4">
      <c r="A5135" t="s">
        <v>6752</v>
      </c>
      <c r="B5135" t="s">
        <v>7291</v>
      </c>
      <c r="C5135" t="s">
        <v>7315</v>
      </c>
      <c r="D5135">
        <v>244.235564</v>
      </c>
    </row>
    <row r="5136" spans="1:4">
      <c r="A5136" t="s">
        <v>6753</v>
      </c>
      <c r="B5136" t="s">
        <v>7291</v>
      </c>
      <c r="C5136" t="s">
        <v>7419</v>
      </c>
      <c r="D5136">
        <v>425.053305</v>
      </c>
    </row>
    <row r="5137" spans="1:4">
      <c r="A5137" t="s">
        <v>6754</v>
      </c>
      <c r="B5137" t="s">
        <v>7291</v>
      </c>
      <c r="C5137" t="s">
        <v>7420</v>
      </c>
      <c r="D5137">
        <v>12.937726</v>
      </c>
    </row>
    <row r="5138" spans="1:4">
      <c r="A5138" t="s">
        <v>6755</v>
      </c>
      <c r="B5138" t="s">
        <v>7291</v>
      </c>
      <c r="C5138" t="s">
        <v>7421</v>
      </c>
      <c r="D5138">
        <v>0.012938</v>
      </c>
    </row>
    <row r="5139" spans="1:4">
      <c r="A5139" t="s">
        <v>6756</v>
      </c>
      <c r="B5139" t="s">
        <v>7291</v>
      </c>
      <c r="C5139" t="s">
        <v>7422</v>
      </c>
      <c r="D5139">
        <v>0.55066</v>
      </c>
    </row>
    <row r="5140" spans="1:4">
      <c r="A5140" t="s">
        <v>6757</v>
      </c>
      <c r="B5140" t="s">
        <v>7291</v>
      </c>
      <c r="C5140" t="s">
        <v>7423</v>
      </c>
      <c r="D5140">
        <v>8.308012</v>
      </c>
    </row>
    <row r="5141" spans="1:4">
      <c r="A5141" t="s">
        <v>6758</v>
      </c>
      <c r="B5141" t="s">
        <v>7291</v>
      </c>
      <c r="C5141" t="s">
        <v>7424</v>
      </c>
      <c r="D5141">
        <v>0.06571399999999999</v>
      </c>
    </row>
    <row r="5142" spans="1:4">
      <c r="A5142" t="s">
        <v>6759</v>
      </c>
      <c r="B5142" t="s">
        <v>7291</v>
      </c>
      <c r="C5142" t="s">
        <v>7425</v>
      </c>
      <c r="D5142">
        <v>14.72579</v>
      </c>
    </row>
    <row r="5143" spans="1:4">
      <c r="A5143" t="s">
        <v>6760</v>
      </c>
      <c r="B5143" t="s">
        <v>7291</v>
      </c>
      <c r="C5143" t="s">
        <v>7426</v>
      </c>
      <c r="D5143">
        <v>2.584791</v>
      </c>
    </row>
    <row r="5144" spans="1:4">
      <c r="A5144" t="s">
        <v>6761</v>
      </c>
      <c r="B5144" t="s">
        <v>7291</v>
      </c>
      <c r="C5144" t="s">
        <v>7427</v>
      </c>
      <c r="D5144">
        <v>19.215042</v>
      </c>
    </row>
    <row r="5145" spans="1:4">
      <c r="A5145" t="s">
        <v>6762</v>
      </c>
      <c r="B5145" t="s">
        <v>7291</v>
      </c>
      <c r="C5145" t="s">
        <v>7316</v>
      </c>
      <c r="D5145">
        <v>9.386858</v>
      </c>
    </row>
    <row r="5146" spans="1:4">
      <c r="A5146" t="s">
        <v>6763</v>
      </c>
      <c r="B5146" t="s">
        <v>7291</v>
      </c>
      <c r="C5146" t="s">
        <v>7428</v>
      </c>
      <c r="D5146">
        <v>34.066831</v>
      </c>
    </row>
    <row r="5147" spans="1:4">
      <c r="A5147" t="s">
        <v>6764</v>
      </c>
      <c r="B5147" t="s">
        <v>7291</v>
      </c>
      <c r="C5147" t="s">
        <v>7429</v>
      </c>
      <c r="D5147">
        <v>89.916451</v>
      </c>
    </row>
    <row r="5148" spans="1:4">
      <c r="A5148" t="s">
        <v>6765</v>
      </c>
      <c r="B5148" t="s">
        <v>7291</v>
      </c>
      <c r="C5148" t="s">
        <v>7430</v>
      </c>
      <c r="D5148">
        <v>107.006314</v>
      </c>
    </row>
    <row r="5149" spans="1:4">
      <c r="A5149" t="s">
        <v>6766</v>
      </c>
      <c r="B5149" t="s">
        <v>7291</v>
      </c>
      <c r="C5149" t="s">
        <v>7431</v>
      </c>
      <c r="D5149">
        <v>132.17689</v>
      </c>
    </row>
    <row r="5150" spans="1:4">
      <c r="A5150" t="s">
        <v>6767</v>
      </c>
      <c r="B5150" t="s">
        <v>7291</v>
      </c>
      <c r="C5150" t="s">
        <v>7317</v>
      </c>
      <c r="D5150">
        <v>6.69096</v>
      </c>
    </row>
    <row r="5151" spans="1:4">
      <c r="A5151" t="s">
        <v>6768</v>
      </c>
      <c r="B5151" t="s">
        <v>7291</v>
      </c>
      <c r="C5151" t="s">
        <v>7432</v>
      </c>
      <c r="D5151">
        <v>45.405826</v>
      </c>
    </row>
    <row r="5152" spans="1:4">
      <c r="A5152" t="s">
        <v>6769</v>
      </c>
      <c r="B5152" t="s">
        <v>7291</v>
      </c>
      <c r="C5152" t="s">
        <v>7433</v>
      </c>
      <c r="D5152">
        <v>220.548909</v>
      </c>
    </row>
    <row r="5153" spans="1:4">
      <c r="A5153" t="s">
        <v>6770</v>
      </c>
      <c r="B5153" t="s">
        <v>7291</v>
      </c>
      <c r="C5153" t="s">
        <v>7434</v>
      </c>
      <c r="D5153">
        <v>9.776559000000001</v>
      </c>
    </row>
    <row r="5154" spans="1:4">
      <c r="A5154" t="s">
        <v>6771</v>
      </c>
      <c r="B5154" t="s">
        <v>7291</v>
      </c>
      <c r="C5154" t="s">
        <v>7435</v>
      </c>
      <c r="D5154">
        <v>0.120383</v>
      </c>
    </row>
    <row r="5155" spans="1:4">
      <c r="A5155" t="s">
        <v>6772</v>
      </c>
      <c r="B5155" t="s">
        <v>7291</v>
      </c>
      <c r="C5155" t="s">
        <v>7436</v>
      </c>
      <c r="D5155">
        <v>7.048118</v>
      </c>
    </row>
    <row r="5156" spans="1:4">
      <c r="A5156" t="s">
        <v>6773</v>
      </c>
      <c r="B5156" t="s">
        <v>7291</v>
      </c>
      <c r="C5156" t="s">
        <v>7437</v>
      </c>
      <c r="D5156">
        <v>0.08572299999999999</v>
      </c>
    </row>
    <row r="5157" spans="1:4">
      <c r="A5157" t="s">
        <v>6774</v>
      </c>
      <c r="B5157" t="s">
        <v>7291</v>
      </c>
      <c r="C5157" t="s">
        <v>399</v>
      </c>
      <c r="D5157">
        <v>315.135975</v>
      </c>
    </row>
    <row r="5158" spans="1:4">
      <c r="A5158" t="s">
        <v>6775</v>
      </c>
      <c r="B5158" t="s">
        <v>7291</v>
      </c>
      <c r="C5158" t="s">
        <v>7438</v>
      </c>
      <c r="D5158">
        <v>7.849035</v>
      </c>
    </row>
    <row r="5159" spans="1:4">
      <c r="A5159" t="s">
        <v>6776</v>
      </c>
      <c r="B5159" t="s">
        <v>7291</v>
      </c>
      <c r="C5159" t="s">
        <v>7439</v>
      </c>
      <c r="D5159">
        <v>0.025909</v>
      </c>
    </row>
    <row r="5160" spans="1:4">
      <c r="A5160" t="s">
        <v>6777</v>
      </c>
      <c r="B5160" t="s">
        <v>7291</v>
      </c>
      <c r="C5160" t="s">
        <v>7440</v>
      </c>
      <c r="D5160">
        <v>0.430494</v>
      </c>
    </row>
    <row r="5161" spans="1:4">
      <c r="A5161" t="s">
        <v>6778</v>
      </c>
      <c r="B5161" t="s">
        <v>7291</v>
      </c>
      <c r="C5161" t="s">
        <v>7441</v>
      </c>
      <c r="D5161">
        <v>0.012033</v>
      </c>
    </row>
    <row r="5162" spans="1:4">
      <c r="A5162" t="s">
        <v>6779</v>
      </c>
      <c r="B5162" t="s">
        <v>7291</v>
      </c>
      <c r="C5162" t="s">
        <v>7442</v>
      </c>
      <c r="D5162">
        <v>2.648711</v>
      </c>
    </row>
    <row r="5163" spans="1:4">
      <c r="A5163" t="s">
        <v>6780</v>
      </c>
      <c r="B5163" t="s">
        <v>7291</v>
      </c>
      <c r="C5163" t="s">
        <v>7443</v>
      </c>
      <c r="D5163">
        <v>116.409216</v>
      </c>
    </row>
    <row r="5164" spans="1:4">
      <c r="A5164" t="s">
        <v>6781</v>
      </c>
      <c r="B5164" t="s">
        <v>7291</v>
      </c>
      <c r="C5164" t="s">
        <v>7444</v>
      </c>
      <c r="D5164">
        <v>0.5500080000000001</v>
      </c>
    </row>
    <row r="5165" spans="1:4">
      <c r="A5165" t="s">
        <v>6782</v>
      </c>
      <c r="B5165" t="s">
        <v>7291</v>
      </c>
      <c r="C5165" t="s">
        <v>7445</v>
      </c>
      <c r="D5165">
        <v>116.717122</v>
      </c>
    </row>
    <row r="5166" spans="1:4">
      <c r="A5166" t="s">
        <v>6783</v>
      </c>
      <c r="B5166" t="s">
        <v>7291</v>
      </c>
      <c r="C5166" t="s">
        <v>7446</v>
      </c>
      <c r="D5166">
        <v>176.05375</v>
      </c>
    </row>
    <row r="5167" spans="1:4">
      <c r="A5167" t="s">
        <v>6784</v>
      </c>
      <c r="B5167" t="s">
        <v>7291</v>
      </c>
      <c r="C5167" t="s">
        <v>7447</v>
      </c>
      <c r="D5167">
        <v>428.820678</v>
      </c>
    </row>
    <row r="5168" spans="1:4">
      <c r="A5168" t="s">
        <v>6785</v>
      </c>
      <c r="B5168" t="s">
        <v>7291</v>
      </c>
      <c r="C5168" t="s">
        <v>7448</v>
      </c>
      <c r="D5168">
        <v>0.5500080000000001</v>
      </c>
    </row>
    <row r="5169" spans="1:4">
      <c r="A5169" t="s">
        <v>6786</v>
      </c>
      <c r="B5169" t="s">
        <v>7291</v>
      </c>
      <c r="C5169" t="s">
        <v>7449</v>
      </c>
      <c r="D5169">
        <v>3.023345</v>
      </c>
    </row>
    <row r="5170" spans="1:4">
      <c r="A5170" t="s">
        <v>6787</v>
      </c>
      <c r="B5170" t="s">
        <v>7291</v>
      </c>
      <c r="C5170" t="s">
        <v>7450</v>
      </c>
      <c r="D5170">
        <v>1.324711</v>
      </c>
    </row>
    <row r="5171" spans="1:4">
      <c r="A5171" t="s">
        <v>6788</v>
      </c>
      <c r="B5171" t="s">
        <v>7291</v>
      </c>
      <c r="C5171" t="s">
        <v>7318</v>
      </c>
      <c r="D5171">
        <v>19.215031</v>
      </c>
    </row>
    <row r="5172" spans="1:4">
      <c r="A5172" t="s">
        <v>6789</v>
      </c>
      <c r="B5172" t="s">
        <v>7291</v>
      </c>
      <c r="C5172" t="s">
        <v>7451</v>
      </c>
      <c r="D5172">
        <v>17.230406</v>
      </c>
    </row>
    <row r="5173" spans="1:4">
      <c r="A5173" t="s">
        <v>6790</v>
      </c>
      <c r="B5173" t="s">
        <v>7291</v>
      </c>
      <c r="C5173" t="s">
        <v>7452</v>
      </c>
      <c r="D5173">
        <v>11.821587</v>
      </c>
    </row>
    <row r="5174" spans="1:4">
      <c r="A5174" t="s">
        <v>6791</v>
      </c>
      <c r="B5174" t="s">
        <v>7291</v>
      </c>
      <c r="C5174" t="s">
        <v>7453</v>
      </c>
      <c r="D5174">
        <v>11.821587</v>
      </c>
    </row>
    <row r="5175" spans="1:4">
      <c r="A5175" t="s">
        <v>6792</v>
      </c>
      <c r="B5175" t="s">
        <v>378</v>
      </c>
      <c r="C5175" t="s">
        <v>397</v>
      </c>
      <c r="D5175">
        <v>362.698618</v>
      </c>
    </row>
    <row r="5176" spans="1:4">
      <c r="A5176" t="s">
        <v>6793</v>
      </c>
      <c r="B5176" t="s">
        <v>378</v>
      </c>
      <c r="C5176" t="s">
        <v>7319</v>
      </c>
      <c r="D5176">
        <v>86.36501800000001</v>
      </c>
    </row>
    <row r="5177" spans="1:4">
      <c r="A5177" t="s">
        <v>6794</v>
      </c>
      <c r="B5177" t="s">
        <v>378</v>
      </c>
      <c r="C5177" t="s">
        <v>7320</v>
      </c>
      <c r="D5177">
        <v>4.779618</v>
      </c>
    </row>
    <row r="5178" spans="1:4">
      <c r="A5178" t="s">
        <v>6795</v>
      </c>
      <c r="B5178" t="s">
        <v>378</v>
      </c>
      <c r="C5178" t="s">
        <v>7321</v>
      </c>
      <c r="D5178">
        <v>3.870039</v>
      </c>
    </row>
    <row r="5179" spans="1:4">
      <c r="A5179" t="s">
        <v>6796</v>
      </c>
      <c r="B5179" t="s">
        <v>378</v>
      </c>
      <c r="C5179" t="s">
        <v>7322</v>
      </c>
      <c r="D5179">
        <v>0.86481</v>
      </c>
    </row>
    <row r="5180" spans="1:4">
      <c r="A5180" t="s">
        <v>6797</v>
      </c>
      <c r="B5180" t="s">
        <v>378</v>
      </c>
      <c r="C5180" t="s">
        <v>7323</v>
      </c>
      <c r="D5180">
        <v>177.192982</v>
      </c>
    </row>
    <row r="5181" spans="1:4">
      <c r="A5181" t="s">
        <v>6798</v>
      </c>
      <c r="B5181" t="s">
        <v>378</v>
      </c>
      <c r="C5181" t="s">
        <v>7324</v>
      </c>
      <c r="D5181">
        <v>0.330036</v>
      </c>
    </row>
    <row r="5182" spans="1:4">
      <c r="A5182" t="s">
        <v>6799</v>
      </c>
      <c r="B5182" t="s">
        <v>378</v>
      </c>
      <c r="C5182" t="s">
        <v>7325</v>
      </c>
      <c r="D5182">
        <v>0.21429</v>
      </c>
    </row>
    <row r="5183" spans="1:4">
      <c r="A5183" t="s">
        <v>6800</v>
      </c>
      <c r="B5183" t="s">
        <v>378</v>
      </c>
      <c r="C5183" t="s">
        <v>7292</v>
      </c>
      <c r="D5183">
        <v>221.427863</v>
      </c>
    </row>
    <row r="5184" spans="1:4">
      <c r="A5184" t="s">
        <v>6801</v>
      </c>
      <c r="B5184" t="s">
        <v>378</v>
      </c>
      <c r="C5184" t="s">
        <v>7326</v>
      </c>
      <c r="D5184">
        <v>177.192982</v>
      </c>
    </row>
    <row r="5185" spans="1:4">
      <c r="A5185" t="s">
        <v>6802</v>
      </c>
      <c r="B5185" t="s">
        <v>378</v>
      </c>
      <c r="C5185" t="s">
        <v>7327</v>
      </c>
      <c r="D5185">
        <v>186.422039</v>
      </c>
    </row>
    <row r="5186" spans="1:4">
      <c r="A5186" t="s">
        <v>6803</v>
      </c>
      <c r="B5186" t="s">
        <v>378</v>
      </c>
      <c r="C5186" t="s">
        <v>7328</v>
      </c>
      <c r="D5186">
        <v>185.444859</v>
      </c>
    </row>
    <row r="5187" spans="1:4">
      <c r="A5187" t="s">
        <v>6804</v>
      </c>
      <c r="B5187" t="s">
        <v>378</v>
      </c>
      <c r="C5187" t="s">
        <v>7329</v>
      </c>
      <c r="D5187">
        <v>158.587763</v>
      </c>
    </row>
    <row r="5188" spans="1:4">
      <c r="A5188" t="s">
        <v>6805</v>
      </c>
      <c r="B5188" t="s">
        <v>378</v>
      </c>
      <c r="C5188" t="s">
        <v>7330</v>
      </c>
      <c r="D5188">
        <v>2.57227</v>
      </c>
    </row>
    <row r="5189" spans="1:4">
      <c r="A5189" t="s">
        <v>6806</v>
      </c>
      <c r="B5189" t="s">
        <v>378</v>
      </c>
      <c r="C5189" t="s">
        <v>398</v>
      </c>
      <c r="D5189">
        <v>185.444859</v>
      </c>
    </row>
    <row r="5190" spans="1:4">
      <c r="A5190" t="s">
        <v>6807</v>
      </c>
      <c r="B5190" t="s">
        <v>378</v>
      </c>
      <c r="C5190" t="s">
        <v>7331</v>
      </c>
      <c r="D5190">
        <v>843.551858</v>
      </c>
    </row>
    <row r="5191" spans="1:4">
      <c r="A5191" t="s">
        <v>6808</v>
      </c>
      <c r="B5191" t="s">
        <v>378</v>
      </c>
      <c r="C5191" t="s">
        <v>7332</v>
      </c>
      <c r="D5191">
        <v>0.105801</v>
      </c>
    </row>
    <row r="5192" spans="1:4">
      <c r="A5192" t="s">
        <v>6809</v>
      </c>
      <c r="B5192" t="s">
        <v>378</v>
      </c>
      <c r="C5192" t="s">
        <v>7333</v>
      </c>
      <c r="D5192">
        <v>317.175386</v>
      </c>
    </row>
    <row r="5193" spans="1:4">
      <c r="A5193" t="s">
        <v>6810</v>
      </c>
      <c r="B5193" t="s">
        <v>378</v>
      </c>
      <c r="C5193" t="s">
        <v>7334</v>
      </c>
      <c r="D5193">
        <v>245.567226</v>
      </c>
    </row>
    <row r="5194" spans="1:4">
      <c r="A5194" t="s">
        <v>6811</v>
      </c>
      <c r="B5194" t="s">
        <v>378</v>
      </c>
      <c r="C5194" t="s">
        <v>7335</v>
      </c>
      <c r="D5194">
        <v>29.919669</v>
      </c>
    </row>
    <row r="5195" spans="1:4">
      <c r="A5195" t="s">
        <v>6812</v>
      </c>
      <c r="B5195" t="s">
        <v>378</v>
      </c>
      <c r="C5195" t="s">
        <v>7293</v>
      </c>
      <c r="D5195">
        <v>62.173765</v>
      </c>
    </row>
    <row r="5196" spans="1:4">
      <c r="A5196" t="s">
        <v>6813</v>
      </c>
      <c r="B5196" t="s">
        <v>378</v>
      </c>
      <c r="C5196" t="s">
        <v>7336</v>
      </c>
      <c r="D5196">
        <v>317.175386</v>
      </c>
    </row>
    <row r="5197" spans="1:4">
      <c r="A5197" t="s">
        <v>6814</v>
      </c>
      <c r="B5197" t="s">
        <v>378</v>
      </c>
      <c r="C5197" t="s">
        <v>7337</v>
      </c>
      <c r="D5197">
        <v>3.293046</v>
      </c>
    </row>
    <row r="5198" spans="1:4">
      <c r="A5198" t="s">
        <v>6815</v>
      </c>
      <c r="B5198" t="s">
        <v>378</v>
      </c>
      <c r="C5198" t="s">
        <v>7338</v>
      </c>
      <c r="D5198">
        <v>21.993231</v>
      </c>
    </row>
    <row r="5199" spans="1:4">
      <c r="A5199" t="s">
        <v>6816</v>
      </c>
      <c r="B5199" t="s">
        <v>378</v>
      </c>
      <c r="C5199" t="s">
        <v>7339</v>
      </c>
      <c r="D5199">
        <v>109.95732</v>
      </c>
    </row>
    <row r="5200" spans="1:4">
      <c r="A5200" t="s">
        <v>6817</v>
      </c>
      <c r="B5200" t="s">
        <v>378</v>
      </c>
      <c r="C5200" t="s">
        <v>7340</v>
      </c>
      <c r="D5200">
        <v>158.587763</v>
      </c>
    </row>
    <row r="5201" spans="1:4">
      <c r="A5201" t="s">
        <v>6818</v>
      </c>
      <c r="B5201" t="s">
        <v>378</v>
      </c>
      <c r="C5201" t="s">
        <v>7294</v>
      </c>
      <c r="D5201">
        <v>226.256607</v>
      </c>
    </row>
    <row r="5202" spans="1:4">
      <c r="A5202" t="s">
        <v>6819</v>
      </c>
      <c r="B5202" t="s">
        <v>378</v>
      </c>
      <c r="C5202" t="s">
        <v>7341</v>
      </c>
      <c r="D5202">
        <v>0.136853</v>
      </c>
    </row>
    <row r="5203" spans="1:4">
      <c r="A5203" t="s">
        <v>6820</v>
      </c>
      <c r="B5203" t="s">
        <v>378</v>
      </c>
      <c r="C5203" t="s">
        <v>7295</v>
      </c>
      <c r="D5203">
        <v>392.660159</v>
      </c>
    </row>
    <row r="5204" spans="1:4">
      <c r="A5204" t="s">
        <v>6821</v>
      </c>
      <c r="B5204" t="s">
        <v>378</v>
      </c>
      <c r="C5204" t="s">
        <v>7342</v>
      </c>
      <c r="D5204">
        <v>13543.131997</v>
      </c>
    </row>
    <row r="5205" spans="1:4">
      <c r="A5205" t="s">
        <v>6822</v>
      </c>
      <c r="B5205" t="s">
        <v>378</v>
      </c>
      <c r="C5205" t="s">
        <v>7343</v>
      </c>
      <c r="D5205">
        <v>0.34263</v>
      </c>
    </row>
    <row r="5206" spans="1:4">
      <c r="A5206" t="s">
        <v>6823</v>
      </c>
      <c r="B5206" t="s">
        <v>378</v>
      </c>
      <c r="C5206" t="s">
        <v>7344</v>
      </c>
      <c r="D5206">
        <v>46.795209</v>
      </c>
    </row>
    <row r="5207" spans="1:4">
      <c r="A5207" t="s">
        <v>6824</v>
      </c>
      <c r="B5207" t="s">
        <v>378</v>
      </c>
      <c r="C5207" t="s">
        <v>7296</v>
      </c>
      <c r="D5207">
        <v>46.73113</v>
      </c>
    </row>
    <row r="5208" spans="1:4">
      <c r="A5208" t="s">
        <v>6825</v>
      </c>
      <c r="B5208" t="s">
        <v>378</v>
      </c>
      <c r="C5208" t="s">
        <v>7345</v>
      </c>
      <c r="D5208">
        <v>0.09843499999999999</v>
      </c>
    </row>
    <row r="5209" spans="1:4">
      <c r="A5209" t="s">
        <v>6826</v>
      </c>
      <c r="B5209" t="s">
        <v>378</v>
      </c>
      <c r="C5209" t="s">
        <v>7346</v>
      </c>
      <c r="D5209">
        <v>0.696971</v>
      </c>
    </row>
    <row r="5210" spans="1:4">
      <c r="A5210" t="s">
        <v>6827</v>
      </c>
      <c r="B5210" t="s">
        <v>378</v>
      </c>
      <c r="C5210" t="s">
        <v>7347</v>
      </c>
      <c r="D5210">
        <v>13.215646</v>
      </c>
    </row>
    <row r="5211" spans="1:4">
      <c r="A5211" t="s">
        <v>6828</v>
      </c>
      <c r="B5211" t="s">
        <v>378</v>
      </c>
      <c r="C5211" t="s">
        <v>7348</v>
      </c>
      <c r="D5211">
        <v>3.289336</v>
      </c>
    </row>
    <row r="5212" spans="1:4">
      <c r="A5212" t="s">
        <v>6829</v>
      </c>
      <c r="B5212" t="s">
        <v>378</v>
      </c>
      <c r="C5212" t="s">
        <v>7297</v>
      </c>
      <c r="D5212">
        <v>14.979832</v>
      </c>
    </row>
    <row r="5213" spans="1:4">
      <c r="A5213" t="s">
        <v>6830</v>
      </c>
      <c r="B5213" t="s">
        <v>378</v>
      </c>
      <c r="C5213" t="s">
        <v>7349</v>
      </c>
      <c r="D5213">
        <v>1.784682</v>
      </c>
    </row>
    <row r="5214" spans="1:4">
      <c r="A5214" t="s">
        <v>6831</v>
      </c>
      <c r="B5214" t="s">
        <v>378</v>
      </c>
      <c r="C5214" t="s">
        <v>7298</v>
      </c>
      <c r="D5214">
        <v>48.607767</v>
      </c>
    </row>
    <row r="5215" spans="1:4">
      <c r="A5215" t="s">
        <v>6832</v>
      </c>
      <c r="B5215" t="s">
        <v>378</v>
      </c>
      <c r="C5215" t="s">
        <v>7350</v>
      </c>
      <c r="D5215">
        <v>5.421176</v>
      </c>
    </row>
    <row r="5216" spans="1:4">
      <c r="A5216" t="s">
        <v>6833</v>
      </c>
      <c r="B5216" t="s">
        <v>378</v>
      </c>
      <c r="C5216" t="s">
        <v>7351</v>
      </c>
      <c r="D5216">
        <v>2.378796</v>
      </c>
    </row>
    <row r="5217" spans="1:4">
      <c r="A5217" t="s">
        <v>6834</v>
      </c>
      <c r="B5217" t="s">
        <v>378</v>
      </c>
      <c r="C5217" t="s">
        <v>7352</v>
      </c>
      <c r="D5217">
        <v>6.273344</v>
      </c>
    </row>
    <row r="5218" spans="1:4">
      <c r="A5218" t="s">
        <v>6835</v>
      </c>
      <c r="B5218" t="s">
        <v>378</v>
      </c>
      <c r="C5218" t="s">
        <v>7353</v>
      </c>
      <c r="D5218">
        <v>21.145034</v>
      </c>
    </row>
    <row r="5219" spans="1:4">
      <c r="A5219" t="s">
        <v>6836</v>
      </c>
      <c r="B5219" t="s">
        <v>378</v>
      </c>
      <c r="C5219" t="s">
        <v>7354</v>
      </c>
      <c r="D5219">
        <v>1.922573</v>
      </c>
    </row>
    <row r="5220" spans="1:4">
      <c r="A5220" t="s">
        <v>6837</v>
      </c>
      <c r="B5220" t="s">
        <v>378</v>
      </c>
      <c r="C5220" t="s">
        <v>7355</v>
      </c>
      <c r="D5220">
        <v>141.570923</v>
      </c>
    </row>
    <row r="5221" spans="1:4">
      <c r="A5221" t="s">
        <v>6838</v>
      </c>
      <c r="B5221" t="s">
        <v>378</v>
      </c>
      <c r="C5221" t="s">
        <v>7356</v>
      </c>
      <c r="D5221">
        <v>426.572772</v>
      </c>
    </row>
    <row r="5222" spans="1:4">
      <c r="A5222" t="s">
        <v>6839</v>
      </c>
      <c r="B5222" t="s">
        <v>378</v>
      </c>
      <c r="C5222" t="s">
        <v>7357</v>
      </c>
      <c r="D5222">
        <v>48.607774</v>
      </c>
    </row>
    <row r="5223" spans="1:4">
      <c r="A5223" t="s">
        <v>6840</v>
      </c>
      <c r="B5223" t="s">
        <v>378</v>
      </c>
      <c r="C5223" t="s">
        <v>7299</v>
      </c>
      <c r="D5223">
        <v>426.57227</v>
      </c>
    </row>
    <row r="5224" spans="1:4">
      <c r="A5224" t="s">
        <v>6841</v>
      </c>
      <c r="B5224" t="s">
        <v>378</v>
      </c>
      <c r="C5224" t="s">
        <v>7358</v>
      </c>
      <c r="D5224">
        <v>120.542653</v>
      </c>
    </row>
    <row r="5225" spans="1:4">
      <c r="A5225" t="s">
        <v>6842</v>
      </c>
      <c r="B5225" t="s">
        <v>378</v>
      </c>
      <c r="C5225" t="s">
        <v>7359</v>
      </c>
      <c r="D5225">
        <v>426.572772</v>
      </c>
    </row>
    <row r="5226" spans="1:4">
      <c r="A5226" t="s">
        <v>6843</v>
      </c>
      <c r="B5226" t="s">
        <v>378</v>
      </c>
      <c r="C5226" t="s">
        <v>7360</v>
      </c>
      <c r="D5226">
        <v>27.378655</v>
      </c>
    </row>
    <row r="5227" spans="1:4">
      <c r="A5227" t="s">
        <v>6844</v>
      </c>
      <c r="B5227" t="s">
        <v>378</v>
      </c>
      <c r="C5227" t="s">
        <v>7361</v>
      </c>
      <c r="D5227">
        <v>426.572772</v>
      </c>
    </row>
    <row r="5228" spans="1:4">
      <c r="A5228" t="s">
        <v>6845</v>
      </c>
      <c r="B5228" t="s">
        <v>378</v>
      </c>
      <c r="C5228" t="s">
        <v>7362</v>
      </c>
      <c r="D5228">
        <v>4.263609</v>
      </c>
    </row>
    <row r="5229" spans="1:4">
      <c r="A5229" t="s">
        <v>6846</v>
      </c>
      <c r="B5229" t="s">
        <v>378</v>
      </c>
      <c r="C5229" t="s">
        <v>7363</v>
      </c>
      <c r="D5229">
        <v>0.036105</v>
      </c>
    </row>
    <row r="5230" spans="1:4">
      <c r="A5230" t="s">
        <v>6847</v>
      </c>
      <c r="B5230" t="s">
        <v>378</v>
      </c>
      <c r="C5230" t="s">
        <v>7364</v>
      </c>
      <c r="D5230">
        <v>41.496922</v>
      </c>
    </row>
    <row r="5231" spans="1:4">
      <c r="A5231" t="s">
        <v>6848</v>
      </c>
      <c r="B5231" t="s">
        <v>378</v>
      </c>
      <c r="C5231" t="s">
        <v>7365</v>
      </c>
      <c r="D5231">
        <v>1.512586</v>
      </c>
    </row>
    <row r="5232" spans="1:4">
      <c r="A5232" t="s">
        <v>6849</v>
      </c>
      <c r="B5232" t="s">
        <v>378</v>
      </c>
      <c r="C5232" t="s">
        <v>7300</v>
      </c>
      <c r="D5232">
        <v>40.452735</v>
      </c>
    </row>
    <row r="5233" spans="1:4">
      <c r="A5233" t="s">
        <v>6850</v>
      </c>
      <c r="B5233" t="s">
        <v>378</v>
      </c>
      <c r="C5233" t="s">
        <v>7366</v>
      </c>
      <c r="D5233">
        <v>11.826388</v>
      </c>
    </row>
    <row r="5234" spans="1:4">
      <c r="A5234" t="s">
        <v>6851</v>
      </c>
      <c r="B5234" t="s">
        <v>378</v>
      </c>
      <c r="C5234" t="s">
        <v>7367</v>
      </c>
      <c r="D5234">
        <v>48.138379</v>
      </c>
    </row>
    <row r="5235" spans="1:4">
      <c r="A5235" t="s">
        <v>6852</v>
      </c>
      <c r="B5235" t="s">
        <v>378</v>
      </c>
      <c r="C5235" t="s">
        <v>7368</v>
      </c>
      <c r="D5235">
        <v>2.421167</v>
      </c>
    </row>
    <row r="5236" spans="1:4">
      <c r="A5236" t="s">
        <v>6853</v>
      </c>
      <c r="B5236" t="s">
        <v>378</v>
      </c>
      <c r="C5236" t="s">
        <v>7301</v>
      </c>
      <c r="D5236">
        <v>0.017666</v>
      </c>
    </row>
    <row r="5237" spans="1:4">
      <c r="A5237" t="s">
        <v>6854</v>
      </c>
      <c r="B5237" t="s">
        <v>378</v>
      </c>
      <c r="C5237" t="s">
        <v>7302</v>
      </c>
      <c r="D5237">
        <v>104.219877</v>
      </c>
    </row>
    <row r="5238" spans="1:4">
      <c r="A5238" t="s">
        <v>6855</v>
      </c>
      <c r="B5238" t="s">
        <v>378</v>
      </c>
      <c r="C5238" t="s">
        <v>7369</v>
      </c>
      <c r="D5238">
        <v>426.572772</v>
      </c>
    </row>
    <row r="5239" spans="1:4">
      <c r="A5239" t="s">
        <v>6856</v>
      </c>
      <c r="B5239" t="s">
        <v>378</v>
      </c>
      <c r="C5239" t="s">
        <v>7303</v>
      </c>
      <c r="D5239">
        <v>3.293044</v>
      </c>
    </row>
    <row r="5240" spans="1:4">
      <c r="A5240" t="s">
        <v>6857</v>
      </c>
      <c r="B5240" t="s">
        <v>378</v>
      </c>
      <c r="C5240" t="s">
        <v>7370</v>
      </c>
      <c r="D5240">
        <v>0.241808</v>
      </c>
    </row>
    <row r="5241" spans="1:4">
      <c r="A5241" t="s">
        <v>6858</v>
      </c>
      <c r="B5241" t="s">
        <v>378</v>
      </c>
      <c r="C5241" t="s">
        <v>7371</v>
      </c>
      <c r="D5241">
        <v>0.00023</v>
      </c>
    </row>
    <row r="5242" spans="1:4">
      <c r="A5242" t="s">
        <v>6859</v>
      </c>
      <c r="B5242" t="s">
        <v>378</v>
      </c>
      <c r="C5242" t="s">
        <v>7304</v>
      </c>
      <c r="D5242">
        <v>2.531593</v>
      </c>
    </row>
    <row r="5243" spans="1:4">
      <c r="A5243" t="s">
        <v>6860</v>
      </c>
      <c r="B5243" t="s">
        <v>378</v>
      </c>
      <c r="C5243" t="s">
        <v>7372</v>
      </c>
      <c r="D5243">
        <v>426.572772</v>
      </c>
    </row>
    <row r="5244" spans="1:4">
      <c r="A5244" t="s">
        <v>6861</v>
      </c>
      <c r="B5244" t="s">
        <v>378</v>
      </c>
      <c r="C5244" t="s">
        <v>7373</v>
      </c>
      <c r="D5244">
        <v>2.000511</v>
      </c>
    </row>
    <row r="5245" spans="1:4">
      <c r="A5245" t="s">
        <v>6862</v>
      </c>
      <c r="B5245" t="s">
        <v>378</v>
      </c>
      <c r="C5245" t="s">
        <v>7374</v>
      </c>
      <c r="D5245">
        <v>447.35633</v>
      </c>
    </row>
    <row r="5246" spans="1:4">
      <c r="A5246" t="s">
        <v>6863</v>
      </c>
      <c r="B5246" t="s">
        <v>378</v>
      </c>
      <c r="C5246" t="s">
        <v>7305</v>
      </c>
      <c r="D5246">
        <v>1.952491</v>
      </c>
    </row>
    <row r="5247" spans="1:4">
      <c r="A5247" t="s">
        <v>6864</v>
      </c>
      <c r="B5247" t="s">
        <v>378</v>
      </c>
      <c r="C5247" t="s">
        <v>7375</v>
      </c>
      <c r="D5247">
        <v>2.449389</v>
      </c>
    </row>
    <row r="5248" spans="1:4">
      <c r="A5248" t="s">
        <v>6865</v>
      </c>
      <c r="B5248" t="s">
        <v>378</v>
      </c>
      <c r="C5248" t="s">
        <v>7376</v>
      </c>
      <c r="D5248">
        <v>3.627633</v>
      </c>
    </row>
    <row r="5249" spans="1:4">
      <c r="A5249" t="s">
        <v>6866</v>
      </c>
      <c r="B5249" t="s">
        <v>378</v>
      </c>
      <c r="C5249" t="s">
        <v>7377</v>
      </c>
      <c r="D5249">
        <v>0.07820199999999999</v>
      </c>
    </row>
    <row r="5250" spans="1:4">
      <c r="A5250" t="s">
        <v>6867</v>
      </c>
      <c r="B5250" t="s">
        <v>378</v>
      </c>
      <c r="C5250" t="s">
        <v>7378</v>
      </c>
      <c r="D5250">
        <v>221.428133</v>
      </c>
    </row>
    <row r="5251" spans="1:4">
      <c r="A5251" t="s">
        <v>6868</v>
      </c>
      <c r="B5251" t="s">
        <v>378</v>
      </c>
      <c r="C5251" t="s">
        <v>7379</v>
      </c>
      <c r="D5251">
        <v>0.737241</v>
      </c>
    </row>
    <row r="5252" spans="1:4">
      <c r="A5252" t="s">
        <v>6869</v>
      </c>
      <c r="B5252" t="s">
        <v>378</v>
      </c>
      <c r="C5252" t="s">
        <v>7306</v>
      </c>
      <c r="D5252">
        <v>0.213402</v>
      </c>
    </row>
    <row r="5253" spans="1:4">
      <c r="A5253" t="s">
        <v>6870</v>
      </c>
      <c r="B5253" t="s">
        <v>378</v>
      </c>
      <c r="C5253" t="s">
        <v>7380</v>
      </c>
      <c r="D5253">
        <v>1028.885548</v>
      </c>
    </row>
    <row r="5254" spans="1:4">
      <c r="A5254" t="s">
        <v>6871</v>
      </c>
      <c r="B5254" t="s">
        <v>378</v>
      </c>
      <c r="C5254" t="s">
        <v>7381</v>
      </c>
      <c r="D5254">
        <v>380.61093</v>
      </c>
    </row>
    <row r="5255" spans="1:4">
      <c r="A5255" t="s">
        <v>6872</v>
      </c>
      <c r="B5255" t="s">
        <v>378</v>
      </c>
      <c r="C5255" t="s">
        <v>7382</v>
      </c>
      <c r="D5255">
        <v>0.672051</v>
      </c>
    </row>
    <row r="5256" spans="1:4">
      <c r="A5256" t="s">
        <v>6873</v>
      </c>
      <c r="B5256" t="s">
        <v>378</v>
      </c>
      <c r="C5256" t="s">
        <v>7383</v>
      </c>
      <c r="D5256">
        <v>0.014262</v>
      </c>
    </row>
    <row r="5257" spans="1:4">
      <c r="A5257" t="s">
        <v>6874</v>
      </c>
      <c r="B5257" t="s">
        <v>378</v>
      </c>
      <c r="C5257" t="s">
        <v>7384</v>
      </c>
      <c r="D5257">
        <v>0.003544</v>
      </c>
    </row>
    <row r="5258" spans="1:4">
      <c r="A5258" t="s">
        <v>6875</v>
      </c>
      <c r="B5258" t="s">
        <v>378</v>
      </c>
      <c r="C5258" t="s">
        <v>7385</v>
      </c>
      <c r="D5258">
        <v>0.943123</v>
      </c>
    </row>
    <row r="5259" spans="1:4">
      <c r="A5259" t="s">
        <v>6876</v>
      </c>
      <c r="B5259" t="s">
        <v>378</v>
      </c>
      <c r="C5259" t="s">
        <v>7386</v>
      </c>
      <c r="D5259">
        <v>1.749301</v>
      </c>
    </row>
    <row r="5260" spans="1:4">
      <c r="A5260" t="s">
        <v>6877</v>
      </c>
      <c r="B5260" t="s">
        <v>378</v>
      </c>
      <c r="C5260" t="s">
        <v>7387</v>
      </c>
      <c r="D5260">
        <v>19.217327</v>
      </c>
    </row>
    <row r="5261" spans="1:4">
      <c r="A5261" t="s">
        <v>6878</v>
      </c>
      <c r="B5261" t="s">
        <v>378</v>
      </c>
      <c r="C5261" t="s">
        <v>7388</v>
      </c>
      <c r="D5261">
        <v>49.494493</v>
      </c>
    </row>
    <row r="5262" spans="1:4">
      <c r="A5262" t="s">
        <v>6879</v>
      </c>
      <c r="B5262" t="s">
        <v>378</v>
      </c>
      <c r="C5262" t="s">
        <v>7389</v>
      </c>
      <c r="D5262">
        <v>33.946864</v>
      </c>
    </row>
    <row r="5263" spans="1:4">
      <c r="A5263" t="s">
        <v>6880</v>
      </c>
      <c r="B5263" t="s">
        <v>378</v>
      </c>
      <c r="C5263" t="s">
        <v>7390</v>
      </c>
      <c r="D5263">
        <v>18.051743</v>
      </c>
    </row>
    <row r="5264" spans="1:4">
      <c r="A5264" t="s">
        <v>6881</v>
      </c>
      <c r="B5264" t="s">
        <v>378</v>
      </c>
      <c r="C5264" t="s">
        <v>7391</v>
      </c>
      <c r="D5264">
        <v>0.074806</v>
      </c>
    </row>
    <row r="5265" spans="1:4">
      <c r="A5265" t="s">
        <v>6882</v>
      </c>
      <c r="B5265" t="s">
        <v>378</v>
      </c>
      <c r="C5265" t="s">
        <v>7392</v>
      </c>
      <c r="D5265">
        <v>5.894357</v>
      </c>
    </row>
    <row r="5266" spans="1:4">
      <c r="A5266" t="s">
        <v>6883</v>
      </c>
      <c r="B5266" t="s">
        <v>378</v>
      </c>
      <c r="C5266" t="s">
        <v>7393</v>
      </c>
      <c r="D5266">
        <v>0.150427</v>
      </c>
    </row>
    <row r="5267" spans="1:4">
      <c r="A5267" t="s">
        <v>6884</v>
      </c>
      <c r="B5267" t="s">
        <v>378</v>
      </c>
      <c r="C5267" t="s">
        <v>7394</v>
      </c>
      <c r="D5267">
        <v>0.08756899999999999</v>
      </c>
    </row>
    <row r="5268" spans="1:4">
      <c r="A5268" t="s">
        <v>6885</v>
      </c>
      <c r="B5268" t="s">
        <v>378</v>
      </c>
      <c r="C5268" t="s">
        <v>7395</v>
      </c>
      <c r="D5268">
        <v>39.274507</v>
      </c>
    </row>
    <row r="5269" spans="1:4">
      <c r="A5269" t="s">
        <v>6886</v>
      </c>
      <c r="B5269" t="s">
        <v>378</v>
      </c>
      <c r="C5269" t="s">
        <v>7396</v>
      </c>
      <c r="D5269">
        <v>7.884999</v>
      </c>
    </row>
    <row r="5270" spans="1:4">
      <c r="A5270" t="s">
        <v>6887</v>
      </c>
      <c r="B5270" t="s">
        <v>378</v>
      </c>
      <c r="C5270" t="s">
        <v>7397</v>
      </c>
      <c r="D5270">
        <v>6.738253</v>
      </c>
    </row>
    <row r="5271" spans="1:4">
      <c r="A5271" t="s">
        <v>6888</v>
      </c>
      <c r="B5271" t="s">
        <v>378</v>
      </c>
      <c r="C5271" t="s">
        <v>7398</v>
      </c>
      <c r="D5271">
        <v>20.465455</v>
      </c>
    </row>
    <row r="5272" spans="1:4">
      <c r="A5272" t="s">
        <v>6889</v>
      </c>
      <c r="B5272" t="s">
        <v>378</v>
      </c>
      <c r="C5272" t="s">
        <v>7399</v>
      </c>
      <c r="D5272">
        <v>0.181397</v>
      </c>
    </row>
    <row r="5273" spans="1:4">
      <c r="A5273" t="s">
        <v>6890</v>
      </c>
      <c r="B5273" t="s">
        <v>378</v>
      </c>
      <c r="C5273" t="s">
        <v>7307</v>
      </c>
      <c r="D5273">
        <v>18.096995</v>
      </c>
    </row>
    <row r="5274" spans="1:4">
      <c r="A5274" t="s">
        <v>6891</v>
      </c>
      <c r="B5274" t="s">
        <v>378</v>
      </c>
      <c r="C5274" t="s">
        <v>7308</v>
      </c>
      <c r="D5274">
        <v>77.63003399999999</v>
      </c>
    </row>
    <row r="5275" spans="1:4">
      <c r="A5275" t="s">
        <v>6892</v>
      </c>
      <c r="B5275" t="s">
        <v>378</v>
      </c>
      <c r="C5275" t="s">
        <v>7400</v>
      </c>
      <c r="D5275">
        <v>4.963913</v>
      </c>
    </row>
    <row r="5276" spans="1:4">
      <c r="A5276" t="s">
        <v>6893</v>
      </c>
      <c r="B5276" t="s">
        <v>378</v>
      </c>
      <c r="C5276" t="s">
        <v>7401</v>
      </c>
      <c r="D5276">
        <v>19.217327</v>
      </c>
    </row>
    <row r="5277" spans="1:4">
      <c r="A5277" t="s">
        <v>6894</v>
      </c>
      <c r="B5277" t="s">
        <v>378</v>
      </c>
      <c r="C5277" t="s">
        <v>7402</v>
      </c>
      <c r="D5277">
        <v>0.232797</v>
      </c>
    </row>
    <row r="5278" spans="1:4">
      <c r="A5278" t="s">
        <v>6895</v>
      </c>
      <c r="B5278" t="s">
        <v>378</v>
      </c>
      <c r="C5278" t="s">
        <v>7403</v>
      </c>
      <c r="D5278">
        <v>8.605835000000001</v>
      </c>
    </row>
    <row r="5279" spans="1:4">
      <c r="A5279" t="s">
        <v>6896</v>
      </c>
      <c r="B5279" t="s">
        <v>378</v>
      </c>
      <c r="C5279" t="s">
        <v>7309</v>
      </c>
      <c r="D5279">
        <v>32.854362</v>
      </c>
    </row>
    <row r="5280" spans="1:4">
      <c r="A5280" t="s">
        <v>6897</v>
      </c>
      <c r="B5280" t="s">
        <v>378</v>
      </c>
      <c r="C5280" t="s">
        <v>7404</v>
      </c>
      <c r="D5280">
        <v>2.058153</v>
      </c>
    </row>
    <row r="5281" spans="1:4">
      <c r="A5281" t="s">
        <v>6898</v>
      </c>
      <c r="B5281" t="s">
        <v>378</v>
      </c>
      <c r="C5281" t="s">
        <v>7310</v>
      </c>
      <c r="D5281">
        <v>185.261759</v>
      </c>
    </row>
    <row r="5282" spans="1:4">
      <c r="A5282" t="s">
        <v>6899</v>
      </c>
      <c r="B5282" t="s">
        <v>378</v>
      </c>
      <c r="C5282" t="s">
        <v>7405</v>
      </c>
      <c r="D5282">
        <v>824.909351</v>
      </c>
    </row>
    <row r="5283" spans="1:4">
      <c r="A5283" t="s">
        <v>6900</v>
      </c>
      <c r="B5283" t="s">
        <v>378</v>
      </c>
      <c r="C5283" t="s">
        <v>7406</v>
      </c>
      <c r="D5283">
        <v>317.175386</v>
      </c>
    </row>
    <row r="5284" spans="1:4">
      <c r="A5284" t="s">
        <v>6901</v>
      </c>
      <c r="B5284" t="s">
        <v>378</v>
      </c>
      <c r="C5284" t="s">
        <v>7407</v>
      </c>
      <c r="D5284">
        <v>93.35311900000001</v>
      </c>
    </row>
    <row r="5285" spans="1:4">
      <c r="A5285" t="s">
        <v>6902</v>
      </c>
      <c r="B5285" t="s">
        <v>378</v>
      </c>
      <c r="C5285" t="s">
        <v>7408</v>
      </c>
      <c r="D5285">
        <v>71.201701</v>
      </c>
    </row>
    <row r="5286" spans="1:4">
      <c r="A5286" t="s">
        <v>6903</v>
      </c>
      <c r="B5286" t="s">
        <v>378</v>
      </c>
      <c r="C5286" t="s">
        <v>7311</v>
      </c>
      <c r="D5286">
        <v>5.146602</v>
      </c>
    </row>
    <row r="5287" spans="1:4">
      <c r="A5287" t="s">
        <v>6904</v>
      </c>
      <c r="B5287" t="s">
        <v>378</v>
      </c>
      <c r="C5287" t="s">
        <v>7409</v>
      </c>
      <c r="D5287">
        <v>1.140413</v>
      </c>
    </row>
    <row r="5288" spans="1:4">
      <c r="A5288" t="s">
        <v>6905</v>
      </c>
      <c r="B5288" t="s">
        <v>378</v>
      </c>
      <c r="C5288" t="s">
        <v>7312</v>
      </c>
      <c r="D5288">
        <v>83.571572</v>
      </c>
    </row>
    <row r="5289" spans="1:4">
      <c r="A5289" t="s">
        <v>6906</v>
      </c>
      <c r="B5289" t="s">
        <v>378</v>
      </c>
      <c r="C5289" t="s">
        <v>7410</v>
      </c>
      <c r="D5289">
        <v>0.052448</v>
      </c>
    </row>
    <row r="5290" spans="1:4">
      <c r="A5290" t="s">
        <v>6907</v>
      </c>
      <c r="B5290" t="s">
        <v>378</v>
      </c>
      <c r="C5290" t="s">
        <v>7411</v>
      </c>
      <c r="D5290">
        <v>87.136122</v>
      </c>
    </row>
    <row r="5291" spans="1:4">
      <c r="A5291" t="s">
        <v>6908</v>
      </c>
      <c r="B5291" t="s">
        <v>378</v>
      </c>
      <c r="C5291" t="s">
        <v>7313</v>
      </c>
      <c r="D5291">
        <v>69.193314</v>
      </c>
    </row>
    <row r="5292" spans="1:4">
      <c r="A5292" t="s">
        <v>6909</v>
      </c>
      <c r="B5292" t="s">
        <v>378</v>
      </c>
      <c r="C5292" t="s">
        <v>7412</v>
      </c>
      <c r="D5292">
        <v>3.090103</v>
      </c>
    </row>
    <row r="5293" spans="1:4">
      <c r="A5293" t="s">
        <v>6910</v>
      </c>
      <c r="B5293" t="s">
        <v>378</v>
      </c>
      <c r="C5293" t="s">
        <v>7413</v>
      </c>
      <c r="D5293">
        <v>4.042418</v>
      </c>
    </row>
    <row r="5294" spans="1:4">
      <c r="A5294" t="s">
        <v>6911</v>
      </c>
      <c r="B5294" t="s">
        <v>378</v>
      </c>
      <c r="C5294" t="s">
        <v>7414</v>
      </c>
      <c r="D5294">
        <v>0.21586</v>
      </c>
    </row>
    <row r="5295" spans="1:4">
      <c r="A5295" t="s">
        <v>6912</v>
      </c>
      <c r="B5295" t="s">
        <v>378</v>
      </c>
      <c r="C5295" t="s">
        <v>7415</v>
      </c>
      <c r="D5295">
        <v>84.580128</v>
      </c>
    </row>
    <row r="5296" spans="1:4">
      <c r="A5296" t="s">
        <v>6913</v>
      </c>
      <c r="B5296" t="s">
        <v>378</v>
      </c>
      <c r="C5296" t="s">
        <v>7416</v>
      </c>
      <c r="D5296">
        <v>39.814547</v>
      </c>
    </row>
    <row r="5297" spans="1:4">
      <c r="A5297" t="s">
        <v>6914</v>
      </c>
      <c r="B5297" t="s">
        <v>378</v>
      </c>
      <c r="C5297" t="s">
        <v>7417</v>
      </c>
      <c r="D5297">
        <v>21.508634</v>
      </c>
    </row>
    <row r="5298" spans="1:4">
      <c r="A5298" t="s">
        <v>6915</v>
      </c>
      <c r="B5298" t="s">
        <v>378</v>
      </c>
      <c r="C5298" t="s">
        <v>7418</v>
      </c>
      <c r="D5298">
        <v>0.707931</v>
      </c>
    </row>
    <row r="5299" spans="1:4">
      <c r="A5299" t="s">
        <v>6916</v>
      </c>
      <c r="B5299" t="s">
        <v>378</v>
      </c>
      <c r="C5299" t="s">
        <v>7314</v>
      </c>
      <c r="D5299">
        <v>32.86133</v>
      </c>
    </row>
    <row r="5300" spans="1:4">
      <c r="A5300" t="s">
        <v>6917</v>
      </c>
      <c r="B5300" t="s">
        <v>378</v>
      </c>
      <c r="C5300" t="s">
        <v>7315</v>
      </c>
      <c r="D5300">
        <v>245.567226</v>
      </c>
    </row>
    <row r="5301" spans="1:4">
      <c r="A5301" t="s">
        <v>6918</v>
      </c>
      <c r="B5301" t="s">
        <v>378</v>
      </c>
      <c r="C5301" t="s">
        <v>7419</v>
      </c>
      <c r="D5301">
        <v>426.572772</v>
      </c>
    </row>
    <row r="5302" spans="1:4">
      <c r="A5302" t="s">
        <v>6919</v>
      </c>
      <c r="B5302" t="s">
        <v>378</v>
      </c>
      <c r="C5302" t="s">
        <v>7420</v>
      </c>
      <c r="D5302">
        <v>13.021446</v>
      </c>
    </row>
    <row r="5303" spans="1:4">
      <c r="A5303" t="s">
        <v>6920</v>
      </c>
      <c r="B5303" t="s">
        <v>378</v>
      </c>
      <c r="C5303" t="s">
        <v>7421</v>
      </c>
      <c r="D5303">
        <v>0.013021</v>
      </c>
    </row>
    <row r="5304" spans="1:4">
      <c r="A5304" t="s">
        <v>6921</v>
      </c>
      <c r="B5304" t="s">
        <v>378</v>
      </c>
      <c r="C5304" t="s">
        <v>7422</v>
      </c>
      <c r="D5304">
        <v>0.553586</v>
      </c>
    </row>
    <row r="5305" spans="1:4">
      <c r="A5305" t="s">
        <v>6922</v>
      </c>
      <c r="B5305" t="s">
        <v>378</v>
      </c>
      <c r="C5305" t="s">
        <v>7423</v>
      </c>
      <c r="D5305">
        <v>8.352150999999999</v>
      </c>
    </row>
    <row r="5306" spans="1:4">
      <c r="A5306" t="s">
        <v>6923</v>
      </c>
      <c r="B5306" t="s">
        <v>378</v>
      </c>
      <c r="C5306" t="s">
        <v>7424</v>
      </c>
      <c r="D5306">
        <v>0.065368</v>
      </c>
    </row>
    <row r="5307" spans="1:4">
      <c r="A5307" t="s">
        <v>6924</v>
      </c>
      <c r="B5307" t="s">
        <v>378</v>
      </c>
      <c r="C5307" t="s">
        <v>7425</v>
      </c>
      <c r="D5307">
        <v>14.804025</v>
      </c>
    </row>
    <row r="5308" spans="1:4">
      <c r="A5308" t="s">
        <v>6925</v>
      </c>
      <c r="B5308" t="s">
        <v>378</v>
      </c>
      <c r="C5308" t="s">
        <v>7426</v>
      </c>
      <c r="D5308">
        <v>2.596401</v>
      </c>
    </row>
    <row r="5309" spans="1:4">
      <c r="A5309" t="s">
        <v>6926</v>
      </c>
      <c r="B5309" t="s">
        <v>378</v>
      </c>
      <c r="C5309" t="s">
        <v>7427</v>
      </c>
      <c r="D5309">
        <v>19.217327</v>
      </c>
    </row>
    <row r="5310" spans="1:4">
      <c r="A5310" t="s">
        <v>6927</v>
      </c>
      <c r="B5310" t="s">
        <v>378</v>
      </c>
      <c r="C5310" t="s">
        <v>7316</v>
      </c>
      <c r="D5310">
        <v>9.431952000000001</v>
      </c>
    </row>
    <row r="5311" spans="1:4">
      <c r="A5311" t="s">
        <v>6928</v>
      </c>
      <c r="B5311" t="s">
        <v>378</v>
      </c>
      <c r="C5311" t="s">
        <v>7428</v>
      </c>
      <c r="D5311">
        <v>34.346063</v>
      </c>
    </row>
    <row r="5312" spans="1:4">
      <c r="A5312" t="s">
        <v>6929</v>
      </c>
      <c r="B5312" t="s">
        <v>378</v>
      </c>
      <c r="C5312" t="s">
        <v>7429</v>
      </c>
      <c r="D5312">
        <v>90.609506</v>
      </c>
    </row>
    <row r="5313" spans="1:4">
      <c r="A5313" t="s">
        <v>6930</v>
      </c>
      <c r="B5313" t="s">
        <v>378</v>
      </c>
      <c r="C5313" t="s">
        <v>7430</v>
      </c>
      <c r="D5313">
        <v>107.526249</v>
      </c>
    </row>
    <row r="5314" spans="1:4">
      <c r="A5314" t="s">
        <v>6931</v>
      </c>
      <c r="B5314" t="s">
        <v>378</v>
      </c>
      <c r="C5314" t="s">
        <v>7431</v>
      </c>
      <c r="D5314">
        <v>133.03182</v>
      </c>
    </row>
    <row r="5315" spans="1:4">
      <c r="A5315" t="s">
        <v>6932</v>
      </c>
      <c r="B5315" t="s">
        <v>378</v>
      </c>
      <c r="C5315" t="s">
        <v>7317</v>
      </c>
      <c r="D5315">
        <v>6.721825</v>
      </c>
    </row>
    <row r="5316" spans="1:4">
      <c r="A5316" t="s">
        <v>6933</v>
      </c>
      <c r="B5316" t="s">
        <v>378</v>
      </c>
      <c r="C5316" t="s">
        <v>7432</v>
      </c>
      <c r="D5316">
        <v>40.878933</v>
      </c>
    </row>
    <row r="5317" spans="1:4">
      <c r="A5317" t="s">
        <v>6934</v>
      </c>
      <c r="B5317" t="s">
        <v>378</v>
      </c>
      <c r="C5317" t="s">
        <v>7433</v>
      </c>
      <c r="D5317">
        <v>221.428133</v>
      </c>
    </row>
    <row r="5318" spans="1:4">
      <c r="A5318" t="s">
        <v>6935</v>
      </c>
      <c r="B5318" t="s">
        <v>378</v>
      </c>
      <c r="C5318" t="s">
        <v>7434</v>
      </c>
      <c r="D5318">
        <v>9.817708</v>
      </c>
    </row>
    <row r="5319" spans="1:4">
      <c r="A5319" t="s">
        <v>6936</v>
      </c>
      <c r="B5319" t="s">
        <v>378</v>
      </c>
      <c r="C5319" t="s">
        <v>7435</v>
      </c>
      <c r="D5319">
        <v>0.121608</v>
      </c>
    </row>
    <row r="5320" spans="1:4">
      <c r="A5320" t="s">
        <v>6937</v>
      </c>
      <c r="B5320" t="s">
        <v>378</v>
      </c>
      <c r="C5320" t="s">
        <v>7436</v>
      </c>
      <c r="D5320">
        <v>7.098031</v>
      </c>
    </row>
    <row r="5321" spans="1:4">
      <c r="A5321" t="s">
        <v>6938</v>
      </c>
      <c r="B5321" t="s">
        <v>378</v>
      </c>
      <c r="C5321" t="s">
        <v>7437</v>
      </c>
      <c r="D5321">
        <v>0.086725</v>
      </c>
    </row>
    <row r="5322" spans="1:4">
      <c r="A5322" t="s">
        <v>6939</v>
      </c>
      <c r="B5322" t="s">
        <v>378</v>
      </c>
      <c r="C5322" t="s">
        <v>399</v>
      </c>
      <c r="D5322">
        <v>317.175386</v>
      </c>
    </row>
    <row r="5323" spans="1:4">
      <c r="A5323" t="s">
        <v>6940</v>
      </c>
      <c r="B5323" t="s">
        <v>378</v>
      </c>
      <c r="C5323" t="s">
        <v>7438</v>
      </c>
      <c r="D5323">
        <v>7.886544</v>
      </c>
    </row>
    <row r="5324" spans="1:4">
      <c r="A5324" t="s">
        <v>6941</v>
      </c>
      <c r="B5324" t="s">
        <v>378</v>
      </c>
      <c r="C5324" t="s">
        <v>7439</v>
      </c>
      <c r="D5324">
        <v>0.026207</v>
      </c>
    </row>
    <row r="5325" spans="1:4">
      <c r="A5325" t="s">
        <v>6942</v>
      </c>
      <c r="B5325" t="s">
        <v>378</v>
      </c>
      <c r="C5325" t="s">
        <v>7440</v>
      </c>
      <c r="D5325">
        <v>0.430146</v>
      </c>
    </row>
    <row r="5326" spans="1:4">
      <c r="A5326" t="s">
        <v>6943</v>
      </c>
      <c r="B5326" t="s">
        <v>378</v>
      </c>
      <c r="C5326" t="s">
        <v>7441</v>
      </c>
      <c r="D5326">
        <v>0.012095</v>
      </c>
    </row>
    <row r="5327" spans="1:4">
      <c r="A5327" t="s">
        <v>6944</v>
      </c>
      <c r="B5327" t="s">
        <v>378</v>
      </c>
      <c r="C5327" t="s">
        <v>7442</v>
      </c>
      <c r="D5327">
        <v>2.664191</v>
      </c>
    </row>
    <row r="5328" spans="1:4">
      <c r="A5328" t="s">
        <v>6945</v>
      </c>
      <c r="B5328" t="s">
        <v>378</v>
      </c>
      <c r="C5328" t="s">
        <v>7443</v>
      </c>
      <c r="D5328">
        <v>117.118562</v>
      </c>
    </row>
    <row r="5329" spans="1:4">
      <c r="A5329" t="s">
        <v>6946</v>
      </c>
      <c r="B5329" t="s">
        <v>378</v>
      </c>
      <c r="C5329" t="s">
        <v>7444</v>
      </c>
      <c r="D5329">
        <v>0.55293</v>
      </c>
    </row>
    <row r="5330" spans="1:4">
      <c r="A5330" t="s">
        <v>6947</v>
      </c>
      <c r="B5330" t="s">
        <v>378</v>
      </c>
      <c r="C5330" t="s">
        <v>7445</v>
      </c>
      <c r="D5330">
        <v>117.4724</v>
      </c>
    </row>
    <row r="5331" spans="1:4">
      <c r="A5331" t="s">
        <v>6948</v>
      </c>
      <c r="B5331" t="s">
        <v>378</v>
      </c>
      <c r="C5331" t="s">
        <v>7446</v>
      </c>
      <c r="D5331">
        <v>177.192982</v>
      </c>
    </row>
    <row r="5332" spans="1:4">
      <c r="A5332" t="s">
        <v>6949</v>
      </c>
      <c r="B5332" t="s">
        <v>378</v>
      </c>
      <c r="C5332" t="s">
        <v>7447</v>
      </c>
      <c r="D5332">
        <v>430.993914</v>
      </c>
    </row>
    <row r="5333" spans="1:4">
      <c r="A5333" t="s">
        <v>6950</v>
      </c>
      <c r="B5333" t="s">
        <v>378</v>
      </c>
      <c r="C5333" t="s">
        <v>7448</v>
      </c>
      <c r="D5333">
        <v>0.55293</v>
      </c>
    </row>
    <row r="5334" spans="1:4">
      <c r="A5334" t="s">
        <v>6951</v>
      </c>
      <c r="B5334" t="s">
        <v>378</v>
      </c>
      <c r="C5334" t="s">
        <v>7449</v>
      </c>
      <c r="D5334">
        <v>3.039408</v>
      </c>
    </row>
    <row r="5335" spans="1:4">
      <c r="A5335" t="s">
        <v>6952</v>
      </c>
      <c r="B5335" t="s">
        <v>378</v>
      </c>
      <c r="C5335" t="s">
        <v>7450</v>
      </c>
      <c r="D5335">
        <v>1.329995</v>
      </c>
    </row>
    <row r="5336" spans="1:4">
      <c r="A5336" t="s">
        <v>6953</v>
      </c>
      <c r="B5336" t="s">
        <v>378</v>
      </c>
      <c r="C5336" t="s">
        <v>7318</v>
      </c>
      <c r="D5336">
        <v>19.217258</v>
      </c>
    </row>
    <row r="5337" spans="1:4">
      <c r="A5337" t="s">
        <v>6954</v>
      </c>
      <c r="B5337" t="s">
        <v>378</v>
      </c>
      <c r="C5337" t="s">
        <v>7451</v>
      </c>
      <c r="D5337">
        <v>17.424379</v>
      </c>
    </row>
    <row r="5338" spans="1:4">
      <c r="A5338" t="s">
        <v>6955</v>
      </c>
      <c r="B5338" t="s">
        <v>378</v>
      </c>
      <c r="C5338" t="s">
        <v>7452</v>
      </c>
      <c r="D5338">
        <v>11.594372</v>
      </c>
    </row>
    <row r="5339" spans="1:4">
      <c r="A5339" t="s">
        <v>6956</v>
      </c>
      <c r="B5339" t="s">
        <v>378</v>
      </c>
      <c r="C5339" t="s">
        <v>7453</v>
      </c>
      <c r="D5339">
        <v>11.594372</v>
      </c>
    </row>
    <row r="5340" spans="1:4">
      <c r="A5340" t="s">
        <v>6957</v>
      </c>
      <c r="B5340" t="s">
        <v>379</v>
      </c>
      <c r="C5340" t="s">
        <v>397</v>
      </c>
      <c r="D5340">
        <v>361.724916</v>
      </c>
    </row>
    <row r="5341" spans="1:4">
      <c r="A5341" t="s">
        <v>6958</v>
      </c>
      <c r="B5341" t="s">
        <v>379</v>
      </c>
      <c r="C5341" t="s">
        <v>7319</v>
      </c>
      <c r="D5341">
        <v>86.26094399999999</v>
      </c>
    </row>
    <row r="5342" spans="1:4">
      <c r="A5342" t="s">
        <v>6959</v>
      </c>
      <c r="B5342" t="s">
        <v>379</v>
      </c>
      <c r="C5342" t="s">
        <v>7320</v>
      </c>
      <c r="D5342">
        <v>4.80185</v>
      </c>
    </row>
    <row r="5343" spans="1:4">
      <c r="A5343" t="s">
        <v>6960</v>
      </c>
      <c r="B5343" t="s">
        <v>379</v>
      </c>
      <c r="C5343" t="s">
        <v>7321</v>
      </c>
      <c r="D5343">
        <v>3.857756</v>
      </c>
    </row>
    <row r="5344" spans="1:4">
      <c r="A5344" t="s">
        <v>6961</v>
      </c>
      <c r="B5344" t="s">
        <v>379</v>
      </c>
      <c r="C5344" t="s">
        <v>7322</v>
      </c>
      <c r="D5344">
        <v>0.863609</v>
      </c>
    </row>
    <row r="5345" spans="1:4">
      <c r="A5345" t="s">
        <v>6962</v>
      </c>
      <c r="B5345" t="s">
        <v>379</v>
      </c>
      <c r="C5345" t="s">
        <v>7323</v>
      </c>
      <c r="D5345">
        <v>176.979527</v>
      </c>
    </row>
    <row r="5346" spans="1:4">
      <c r="A5346" t="s">
        <v>6963</v>
      </c>
      <c r="B5346" t="s">
        <v>379</v>
      </c>
      <c r="C5346" t="s">
        <v>7324</v>
      </c>
      <c r="D5346">
        <v>0.33157</v>
      </c>
    </row>
    <row r="5347" spans="1:4">
      <c r="A5347" t="s">
        <v>6964</v>
      </c>
      <c r="B5347" t="s">
        <v>379</v>
      </c>
      <c r="C5347" t="s">
        <v>7325</v>
      </c>
      <c r="D5347">
        <v>0.214024</v>
      </c>
    </row>
    <row r="5348" spans="1:4">
      <c r="A5348" t="s">
        <v>6965</v>
      </c>
      <c r="B5348" t="s">
        <v>379</v>
      </c>
      <c r="C5348" t="s">
        <v>7292</v>
      </c>
      <c r="D5348">
        <v>221.755775</v>
      </c>
    </row>
    <row r="5349" spans="1:4">
      <c r="A5349" t="s">
        <v>6966</v>
      </c>
      <c r="B5349" t="s">
        <v>379</v>
      </c>
      <c r="C5349" t="s">
        <v>7326</v>
      </c>
      <c r="D5349">
        <v>176.979527</v>
      </c>
    </row>
    <row r="5350" spans="1:4">
      <c r="A5350" t="s">
        <v>6967</v>
      </c>
      <c r="B5350" t="s">
        <v>379</v>
      </c>
      <c r="C5350" t="s">
        <v>7327</v>
      </c>
      <c r="D5350">
        <v>186.105707</v>
      </c>
    </row>
    <row r="5351" spans="1:4">
      <c r="A5351" t="s">
        <v>6968</v>
      </c>
      <c r="B5351" t="s">
        <v>379</v>
      </c>
      <c r="C5351" t="s">
        <v>7328</v>
      </c>
      <c r="D5351">
        <v>184.947013</v>
      </c>
    </row>
    <row r="5352" spans="1:4">
      <c r="A5352" t="s">
        <v>6969</v>
      </c>
      <c r="B5352" t="s">
        <v>379</v>
      </c>
      <c r="C5352" t="s">
        <v>7329</v>
      </c>
      <c r="D5352">
        <v>158.396663</v>
      </c>
    </row>
    <row r="5353" spans="1:4">
      <c r="A5353" t="s">
        <v>6970</v>
      </c>
      <c r="B5353" t="s">
        <v>379</v>
      </c>
      <c r="C5353" t="s">
        <v>7330</v>
      </c>
      <c r="D5353">
        <v>2.567651</v>
      </c>
    </row>
    <row r="5354" spans="1:4">
      <c r="A5354" t="s">
        <v>6971</v>
      </c>
      <c r="B5354" t="s">
        <v>379</v>
      </c>
      <c r="C5354" t="s">
        <v>398</v>
      </c>
      <c r="D5354">
        <v>184.947013</v>
      </c>
    </row>
    <row r="5355" spans="1:4">
      <c r="A5355" t="s">
        <v>6972</v>
      </c>
      <c r="B5355" t="s">
        <v>379</v>
      </c>
      <c r="C5355" t="s">
        <v>7331</v>
      </c>
      <c r="D5355">
        <v>842.535482</v>
      </c>
    </row>
    <row r="5356" spans="1:4">
      <c r="A5356" t="s">
        <v>6973</v>
      </c>
      <c r="B5356" t="s">
        <v>379</v>
      </c>
      <c r="C5356" t="s">
        <v>7332</v>
      </c>
      <c r="D5356">
        <v>0.105811</v>
      </c>
    </row>
    <row r="5357" spans="1:4">
      <c r="A5357" t="s">
        <v>6974</v>
      </c>
      <c r="B5357" t="s">
        <v>379</v>
      </c>
      <c r="C5357" t="s">
        <v>7333</v>
      </c>
      <c r="D5357">
        <v>316.793188</v>
      </c>
    </row>
    <row r="5358" spans="1:4">
      <c r="A5358" t="s">
        <v>6975</v>
      </c>
      <c r="B5358" t="s">
        <v>379</v>
      </c>
      <c r="C5358" t="s">
        <v>7334</v>
      </c>
      <c r="D5358">
        <v>245.356167</v>
      </c>
    </row>
    <row r="5359" spans="1:4">
      <c r="A5359" t="s">
        <v>6976</v>
      </c>
      <c r="B5359" t="s">
        <v>379</v>
      </c>
      <c r="C5359" t="s">
        <v>7335</v>
      </c>
      <c r="D5359">
        <v>29.547895</v>
      </c>
    </row>
    <row r="5360" spans="1:4">
      <c r="A5360" t="s">
        <v>6977</v>
      </c>
      <c r="B5360" t="s">
        <v>379</v>
      </c>
      <c r="C5360" t="s">
        <v>7293</v>
      </c>
      <c r="D5360">
        <v>62.109222</v>
      </c>
    </row>
    <row r="5361" spans="1:4">
      <c r="A5361" t="s">
        <v>6978</v>
      </c>
      <c r="B5361" t="s">
        <v>379</v>
      </c>
      <c r="C5361" t="s">
        <v>7336</v>
      </c>
      <c r="D5361">
        <v>316.793188</v>
      </c>
    </row>
    <row r="5362" spans="1:4">
      <c r="A5362" t="s">
        <v>6979</v>
      </c>
      <c r="B5362" t="s">
        <v>379</v>
      </c>
      <c r="C5362" t="s">
        <v>7337</v>
      </c>
      <c r="D5362">
        <v>3.284067</v>
      </c>
    </row>
    <row r="5363" spans="1:4">
      <c r="A5363" t="s">
        <v>6980</v>
      </c>
      <c r="B5363" t="s">
        <v>379</v>
      </c>
      <c r="C5363" t="s">
        <v>7338</v>
      </c>
      <c r="D5363">
        <v>22.329038</v>
      </c>
    </row>
    <row r="5364" spans="1:4">
      <c r="A5364" t="s">
        <v>6981</v>
      </c>
      <c r="B5364" t="s">
        <v>379</v>
      </c>
      <c r="C5364" t="s">
        <v>7339</v>
      </c>
      <c r="D5364">
        <v>109.696881</v>
      </c>
    </row>
    <row r="5365" spans="1:4">
      <c r="A5365" t="s">
        <v>6982</v>
      </c>
      <c r="B5365" t="s">
        <v>379</v>
      </c>
      <c r="C5365" t="s">
        <v>7340</v>
      </c>
      <c r="D5365">
        <v>158.396663</v>
      </c>
    </row>
    <row r="5366" spans="1:4">
      <c r="A5366" t="s">
        <v>6983</v>
      </c>
      <c r="B5366" t="s">
        <v>379</v>
      </c>
      <c r="C5366" t="s">
        <v>7294</v>
      </c>
      <c r="D5366">
        <v>225.385575</v>
      </c>
    </row>
    <row r="5367" spans="1:4">
      <c r="A5367" t="s">
        <v>6984</v>
      </c>
      <c r="B5367" t="s">
        <v>379</v>
      </c>
      <c r="C5367" t="s">
        <v>7341</v>
      </c>
      <c r="D5367">
        <v>0.136662</v>
      </c>
    </row>
    <row r="5368" spans="1:4">
      <c r="A5368" t="s">
        <v>6985</v>
      </c>
      <c r="B5368" t="s">
        <v>379</v>
      </c>
      <c r="C5368" t="s">
        <v>7295</v>
      </c>
      <c r="D5368">
        <v>391.277732</v>
      </c>
    </row>
    <row r="5369" spans="1:4">
      <c r="A5369" t="s">
        <v>6986</v>
      </c>
      <c r="B5369" t="s">
        <v>379</v>
      </c>
      <c r="C5369" t="s">
        <v>7342</v>
      </c>
      <c r="D5369">
        <v>13373.444099</v>
      </c>
    </row>
    <row r="5370" spans="1:4">
      <c r="A5370" t="s">
        <v>6987</v>
      </c>
      <c r="B5370" t="s">
        <v>379</v>
      </c>
      <c r="C5370" t="s">
        <v>7343</v>
      </c>
      <c r="D5370">
        <v>0.338339</v>
      </c>
    </row>
    <row r="5371" spans="1:4">
      <c r="A5371" t="s">
        <v>6988</v>
      </c>
      <c r="B5371" t="s">
        <v>379</v>
      </c>
      <c r="C5371" t="s">
        <v>7344</v>
      </c>
      <c r="D5371">
        <v>46.807866</v>
      </c>
    </row>
    <row r="5372" spans="1:4">
      <c r="A5372" t="s">
        <v>6989</v>
      </c>
      <c r="B5372" t="s">
        <v>379</v>
      </c>
      <c r="C5372" t="s">
        <v>7296</v>
      </c>
      <c r="D5372">
        <v>46.760391</v>
      </c>
    </row>
    <row r="5373" spans="1:4">
      <c r="A5373" t="s">
        <v>6990</v>
      </c>
      <c r="B5373" t="s">
        <v>379</v>
      </c>
      <c r="C5373" t="s">
        <v>7345</v>
      </c>
      <c r="D5373">
        <v>0.097137</v>
      </c>
    </row>
    <row r="5374" spans="1:4">
      <c r="A5374" t="s">
        <v>6991</v>
      </c>
      <c r="B5374" t="s">
        <v>379</v>
      </c>
      <c r="C5374" t="s">
        <v>7346</v>
      </c>
      <c r="D5374">
        <v>0.69797</v>
      </c>
    </row>
    <row r="5375" spans="1:4">
      <c r="A5375" t="s">
        <v>6992</v>
      </c>
      <c r="B5375" t="s">
        <v>379</v>
      </c>
      <c r="C5375" t="s">
        <v>7347</v>
      </c>
      <c r="D5375">
        <v>13.199721</v>
      </c>
    </row>
    <row r="5376" spans="1:4">
      <c r="A5376" t="s">
        <v>6993</v>
      </c>
      <c r="B5376" t="s">
        <v>379</v>
      </c>
      <c r="C5376" t="s">
        <v>7348</v>
      </c>
      <c r="D5376">
        <v>3.280505</v>
      </c>
    </row>
    <row r="5377" spans="1:4">
      <c r="A5377" t="s">
        <v>6994</v>
      </c>
      <c r="B5377" t="s">
        <v>379</v>
      </c>
      <c r="C5377" t="s">
        <v>7297</v>
      </c>
      <c r="D5377">
        <v>14.948649</v>
      </c>
    </row>
    <row r="5378" spans="1:4">
      <c r="A5378" t="s">
        <v>6995</v>
      </c>
      <c r="B5378" t="s">
        <v>379</v>
      </c>
      <c r="C5378" t="s">
        <v>7349</v>
      </c>
      <c r="D5378">
        <v>1.782532</v>
      </c>
    </row>
    <row r="5379" spans="1:4">
      <c r="A5379" t="s">
        <v>6996</v>
      </c>
      <c r="B5379" t="s">
        <v>379</v>
      </c>
      <c r="C5379" t="s">
        <v>7298</v>
      </c>
      <c r="D5379">
        <v>48.463921</v>
      </c>
    </row>
    <row r="5380" spans="1:4">
      <c r="A5380" t="s">
        <v>6997</v>
      </c>
      <c r="B5380" t="s">
        <v>379</v>
      </c>
      <c r="C5380" t="s">
        <v>7350</v>
      </c>
      <c r="D5380">
        <v>5.404883</v>
      </c>
    </row>
    <row r="5381" spans="1:4">
      <c r="A5381" t="s">
        <v>6998</v>
      </c>
      <c r="B5381" t="s">
        <v>379</v>
      </c>
      <c r="C5381" t="s">
        <v>7351</v>
      </c>
      <c r="D5381">
        <v>2.376692</v>
      </c>
    </row>
    <row r="5382" spans="1:4">
      <c r="A5382" t="s">
        <v>6999</v>
      </c>
      <c r="B5382" t="s">
        <v>379</v>
      </c>
      <c r="C5382" t="s">
        <v>7352</v>
      </c>
      <c r="D5382">
        <v>6.199119</v>
      </c>
    </row>
    <row r="5383" spans="1:4">
      <c r="A5383" t="s">
        <v>7000</v>
      </c>
      <c r="B5383" t="s">
        <v>379</v>
      </c>
      <c r="C5383" t="s">
        <v>7353</v>
      </c>
      <c r="D5383">
        <v>21.119553</v>
      </c>
    </row>
    <row r="5384" spans="1:4">
      <c r="A5384" t="s">
        <v>7001</v>
      </c>
      <c r="B5384" t="s">
        <v>379</v>
      </c>
      <c r="C5384" t="s">
        <v>7354</v>
      </c>
      <c r="D5384">
        <v>1.948966</v>
      </c>
    </row>
    <row r="5385" spans="1:4">
      <c r="A5385" t="s">
        <v>7002</v>
      </c>
      <c r="B5385" t="s">
        <v>379</v>
      </c>
      <c r="C5385" t="s">
        <v>7355</v>
      </c>
      <c r="D5385">
        <v>142.782675</v>
      </c>
    </row>
    <row r="5386" spans="1:4">
      <c r="A5386" t="s">
        <v>7003</v>
      </c>
      <c r="B5386" t="s">
        <v>379</v>
      </c>
      <c r="C5386" t="s">
        <v>7356</v>
      </c>
      <c r="D5386">
        <v>425.721</v>
      </c>
    </row>
    <row r="5387" spans="1:4">
      <c r="A5387" t="s">
        <v>7004</v>
      </c>
      <c r="B5387" t="s">
        <v>379</v>
      </c>
      <c r="C5387" t="s">
        <v>7357</v>
      </c>
      <c r="D5387">
        <v>48.46394</v>
      </c>
    </row>
    <row r="5388" spans="1:4">
      <c r="A5388" t="s">
        <v>7005</v>
      </c>
      <c r="B5388" t="s">
        <v>379</v>
      </c>
      <c r="C5388" t="s">
        <v>7299</v>
      </c>
      <c r="D5388">
        <v>425.723505</v>
      </c>
    </row>
    <row r="5389" spans="1:4">
      <c r="A5389" t="s">
        <v>7006</v>
      </c>
      <c r="B5389" t="s">
        <v>379</v>
      </c>
      <c r="C5389" t="s">
        <v>7358</v>
      </c>
      <c r="D5389">
        <v>120.281045</v>
      </c>
    </row>
    <row r="5390" spans="1:4">
      <c r="A5390" t="s">
        <v>7007</v>
      </c>
      <c r="B5390" t="s">
        <v>379</v>
      </c>
      <c r="C5390" t="s">
        <v>7359</v>
      </c>
      <c r="D5390">
        <v>425.721</v>
      </c>
    </row>
    <row r="5391" spans="1:4">
      <c r="A5391" t="s">
        <v>7008</v>
      </c>
      <c r="B5391" t="s">
        <v>379</v>
      </c>
      <c r="C5391" t="s">
        <v>7360</v>
      </c>
      <c r="D5391">
        <v>27.287038</v>
      </c>
    </row>
    <row r="5392" spans="1:4">
      <c r="A5392" t="s">
        <v>7009</v>
      </c>
      <c r="B5392" t="s">
        <v>379</v>
      </c>
      <c r="C5392" t="s">
        <v>7361</v>
      </c>
      <c r="D5392">
        <v>425.721</v>
      </c>
    </row>
    <row r="5393" spans="1:4">
      <c r="A5393" t="s">
        <v>7010</v>
      </c>
      <c r="B5393" t="s">
        <v>379</v>
      </c>
      <c r="C5393" t="s">
        <v>7362</v>
      </c>
      <c r="D5393">
        <v>4.255307</v>
      </c>
    </row>
    <row r="5394" spans="1:4">
      <c r="A5394" t="s">
        <v>7011</v>
      </c>
      <c r="B5394" t="s">
        <v>379</v>
      </c>
      <c r="C5394" t="s">
        <v>7363</v>
      </c>
      <c r="D5394">
        <v>0.03604</v>
      </c>
    </row>
    <row r="5395" spans="1:4">
      <c r="A5395" t="s">
        <v>7012</v>
      </c>
      <c r="B5395" t="s">
        <v>379</v>
      </c>
      <c r="C5395" t="s">
        <v>7364</v>
      </c>
      <c r="D5395">
        <v>41.475628</v>
      </c>
    </row>
    <row r="5396" spans="1:4">
      <c r="A5396" t="s">
        <v>7013</v>
      </c>
      <c r="B5396" t="s">
        <v>379</v>
      </c>
      <c r="C5396" t="s">
        <v>7365</v>
      </c>
      <c r="D5396">
        <v>1.510471</v>
      </c>
    </row>
    <row r="5397" spans="1:4">
      <c r="A5397" t="s">
        <v>7014</v>
      </c>
      <c r="B5397" t="s">
        <v>379</v>
      </c>
      <c r="C5397" t="s">
        <v>7300</v>
      </c>
      <c r="D5397">
        <v>40.399423</v>
      </c>
    </row>
    <row r="5398" spans="1:4">
      <c r="A5398" t="s">
        <v>7015</v>
      </c>
      <c r="B5398" t="s">
        <v>379</v>
      </c>
      <c r="C5398" t="s">
        <v>7366</v>
      </c>
      <c r="D5398">
        <v>11.814384</v>
      </c>
    </row>
    <row r="5399" spans="1:4">
      <c r="A5399" t="s">
        <v>7016</v>
      </c>
      <c r="B5399" t="s">
        <v>379</v>
      </c>
      <c r="C5399" t="s">
        <v>7367</v>
      </c>
      <c r="D5399">
        <v>48.009147</v>
      </c>
    </row>
    <row r="5400" spans="1:4">
      <c r="A5400" t="s">
        <v>7017</v>
      </c>
      <c r="B5400" t="s">
        <v>379</v>
      </c>
      <c r="C5400" t="s">
        <v>7368</v>
      </c>
      <c r="D5400">
        <v>2.418809</v>
      </c>
    </row>
    <row r="5401" spans="1:4">
      <c r="A5401" t="s">
        <v>7018</v>
      </c>
      <c r="B5401" t="s">
        <v>379</v>
      </c>
      <c r="C5401" t="s">
        <v>7301</v>
      </c>
      <c r="D5401">
        <v>0.017631</v>
      </c>
    </row>
    <row r="5402" spans="1:4">
      <c r="A5402" t="s">
        <v>7019</v>
      </c>
      <c r="B5402" t="s">
        <v>379</v>
      </c>
      <c r="C5402" t="s">
        <v>7302</v>
      </c>
      <c r="D5402">
        <v>103.787098</v>
      </c>
    </row>
    <row r="5403" spans="1:4">
      <c r="A5403" t="s">
        <v>7020</v>
      </c>
      <c r="B5403" t="s">
        <v>379</v>
      </c>
      <c r="C5403" t="s">
        <v>7369</v>
      </c>
      <c r="D5403">
        <v>425.721</v>
      </c>
    </row>
    <row r="5404" spans="1:4">
      <c r="A5404" t="s">
        <v>7021</v>
      </c>
      <c r="B5404" t="s">
        <v>379</v>
      </c>
      <c r="C5404" t="s">
        <v>7303</v>
      </c>
      <c r="D5404">
        <v>3.283829</v>
      </c>
    </row>
    <row r="5405" spans="1:4">
      <c r="A5405" t="s">
        <v>7022</v>
      </c>
      <c r="B5405" t="s">
        <v>379</v>
      </c>
      <c r="C5405" t="s">
        <v>7370</v>
      </c>
      <c r="D5405">
        <v>0.24147</v>
      </c>
    </row>
    <row r="5406" spans="1:4">
      <c r="A5406" t="s">
        <v>7023</v>
      </c>
      <c r="B5406" t="s">
        <v>379</v>
      </c>
      <c r="C5406" t="s">
        <v>7371</v>
      </c>
      <c r="D5406">
        <v>0.00023</v>
      </c>
    </row>
    <row r="5407" spans="1:4">
      <c r="A5407" t="s">
        <v>7024</v>
      </c>
      <c r="B5407" t="s">
        <v>379</v>
      </c>
      <c r="C5407" t="s">
        <v>7304</v>
      </c>
      <c r="D5407">
        <v>2.525368</v>
      </c>
    </row>
    <row r="5408" spans="1:4">
      <c r="A5408" t="s">
        <v>7025</v>
      </c>
      <c r="B5408" t="s">
        <v>379</v>
      </c>
      <c r="C5408" t="s">
        <v>7372</v>
      </c>
      <c r="D5408">
        <v>425.721</v>
      </c>
    </row>
    <row r="5409" spans="1:4">
      <c r="A5409" t="s">
        <v>7026</v>
      </c>
      <c r="B5409" t="s">
        <v>379</v>
      </c>
      <c r="C5409" t="s">
        <v>7373</v>
      </c>
      <c r="D5409">
        <v>1.990064</v>
      </c>
    </row>
    <row r="5410" spans="1:4">
      <c r="A5410" t="s">
        <v>7027</v>
      </c>
      <c r="B5410" t="s">
        <v>379</v>
      </c>
      <c r="C5410" t="s">
        <v>7374</v>
      </c>
      <c r="D5410">
        <v>446.817238</v>
      </c>
    </row>
    <row r="5411" spans="1:4">
      <c r="A5411" t="s">
        <v>7028</v>
      </c>
      <c r="B5411" t="s">
        <v>379</v>
      </c>
      <c r="C5411" t="s">
        <v>7305</v>
      </c>
      <c r="D5411">
        <v>1.949831</v>
      </c>
    </row>
    <row r="5412" spans="1:4">
      <c r="A5412" t="s">
        <v>7029</v>
      </c>
      <c r="B5412" t="s">
        <v>379</v>
      </c>
      <c r="C5412" t="s">
        <v>7375</v>
      </c>
      <c r="D5412">
        <v>2.4475</v>
      </c>
    </row>
    <row r="5413" spans="1:4">
      <c r="A5413" t="s">
        <v>7030</v>
      </c>
      <c r="B5413" t="s">
        <v>379</v>
      </c>
      <c r="C5413" t="s">
        <v>7376</v>
      </c>
      <c r="D5413">
        <v>3.616476</v>
      </c>
    </row>
    <row r="5414" spans="1:4">
      <c r="A5414" t="s">
        <v>7031</v>
      </c>
      <c r="B5414" t="s">
        <v>379</v>
      </c>
      <c r="C5414" t="s">
        <v>7377</v>
      </c>
      <c r="D5414">
        <v>0.07809199999999999</v>
      </c>
    </row>
    <row r="5415" spans="1:4">
      <c r="A5415" t="s">
        <v>7032</v>
      </c>
      <c r="B5415" t="s">
        <v>379</v>
      </c>
      <c r="C5415" t="s">
        <v>7378</v>
      </c>
      <c r="D5415">
        <v>221.75863</v>
      </c>
    </row>
    <row r="5416" spans="1:4">
      <c r="A5416" t="s">
        <v>7033</v>
      </c>
      <c r="B5416" t="s">
        <v>379</v>
      </c>
      <c r="C5416" t="s">
        <v>7379</v>
      </c>
      <c r="D5416">
        <v>0.7352610000000001</v>
      </c>
    </row>
    <row r="5417" spans="1:4">
      <c r="A5417" t="s">
        <v>7034</v>
      </c>
      <c r="B5417" t="s">
        <v>379</v>
      </c>
      <c r="C5417" t="s">
        <v>7306</v>
      </c>
      <c r="D5417">
        <v>0.213944</v>
      </c>
    </row>
    <row r="5418" spans="1:4">
      <c r="A5418" t="s">
        <v>7035</v>
      </c>
      <c r="B5418" t="s">
        <v>379</v>
      </c>
      <c r="C5418" t="s">
        <v>7380</v>
      </c>
      <c r="D5418">
        <v>1025.492131</v>
      </c>
    </row>
    <row r="5419" spans="1:4">
      <c r="A5419" t="s">
        <v>7036</v>
      </c>
      <c r="B5419" t="s">
        <v>379</v>
      </c>
      <c r="C5419" t="s">
        <v>7381</v>
      </c>
      <c r="D5419">
        <v>380.152025</v>
      </c>
    </row>
    <row r="5420" spans="1:4">
      <c r="A5420" t="s">
        <v>7037</v>
      </c>
      <c r="B5420" t="s">
        <v>379</v>
      </c>
      <c r="C5420" t="s">
        <v>7382</v>
      </c>
      <c r="D5420">
        <v>0.673215</v>
      </c>
    </row>
    <row r="5421" spans="1:4">
      <c r="A5421" t="s">
        <v>7038</v>
      </c>
      <c r="B5421" t="s">
        <v>379</v>
      </c>
      <c r="C5421" t="s">
        <v>7383</v>
      </c>
      <c r="D5421">
        <v>0.014165</v>
      </c>
    </row>
    <row r="5422" spans="1:4">
      <c r="A5422" t="s">
        <v>7039</v>
      </c>
      <c r="B5422" t="s">
        <v>379</v>
      </c>
      <c r="C5422" t="s">
        <v>7384</v>
      </c>
      <c r="D5422">
        <v>0.00354</v>
      </c>
    </row>
    <row r="5423" spans="1:4">
      <c r="A5423" t="s">
        <v>7040</v>
      </c>
      <c r="B5423" t="s">
        <v>379</v>
      </c>
      <c r="C5423" t="s">
        <v>7385</v>
      </c>
      <c r="D5423">
        <v>0.942598</v>
      </c>
    </row>
    <row r="5424" spans="1:4">
      <c r="A5424" t="s">
        <v>7041</v>
      </c>
      <c r="B5424" t="s">
        <v>379</v>
      </c>
      <c r="C5424" t="s">
        <v>7386</v>
      </c>
      <c r="D5424">
        <v>1.748123</v>
      </c>
    </row>
    <row r="5425" spans="1:4">
      <c r="A5425" t="s">
        <v>7042</v>
      </c>
      <c r="B5425" t="s">
        <v>379</v>
      </c>
      <c r="C5425" t="s">
        <v>7387</v>
      </c>
      <c r="D5425">
        <v>19.199177</v>
      </c>
    </row>
    <row r="5426" spans="1:4">
      <c r="A5426" t="s">
        <v>7043</v>
      </c>
      <c r="B5426" t="s">
        <v>379</v>
      </c>
      <c r="C5426" t="s">
        <v>7388</v>
      </c>
      <c r="D5426">
        <v>49.50954</v>
      </c>
    </row>
    <row r="5427" spans="1:4">
      <c r="A5427" t="s">
        <v>7044</v>
      </c>
      <c r="B5427" t="s">
        <v>379</v>
      </c>
      <c r="C5427" t="s">
        <v>7389</v>
      </c>
      <c r="D5427">
        <v>33.857933</v>
      </c>
    </row>
    <row r="5428" spans="1:4">
      <c r="A5428" t="s">
        <v>7045</v>
      </c>
      <c r="B5428" t="s">
        <v>379</v>
      </c>
      <c r="C5428" t="s">
        <v>7390</v>
      </c>
      <c r="D5428">
        <v>18.041019</v>
      </c>
    </row>
    <row r="5429" spans="1:4">
      <c r="A5429" t="s">
        <v>7046</v>
      </c>
      <c r="B5429" t="s">
        <v>379</v>
      </c>
      <c r="C5429" t="s">
        <v>7391</v>
      </c>
      <c r="D5429">
        <v>0.074406</v>
      </c>
    </row>
    <row r="5430" spans="1:4">
      <c r="A5430" t="s">
        <v>7047</v>
      </c>
      <c r="B5430" t="s">
        <v>379</v>
      </c>
      <c r="C5430" t="s">
        <v>7392</v>
      </c>
      <c r="D5430">
        <v>5.878532</v>
      </c>
    </row>
    <row r="5431" spans="1:4">
      <c r="A5431" t="s">
        <v>7048</v>
      </c>
      <c r="B5431" t="s">
        <v>379</v>
      </c>
      <c r="C5431" t="s">
        <v>7393</v>
      </c>
      <c r="D5431">
        <v>0.150472</v>
      </c>
    </row>
    <row r="5432" spans="1:4">
      <c r="A5432" t="s">
        <v>7049</v>
      </c>
      <c r="B5432" t="s">
        <v>379</v>
      </c>
      <c r="C5432" t="s">
        <v>7394</v>
      </c>
      <c r="D5432">
        <v>0.087987</v>
      </c>
    </row>
    <row r="5433" spans="1:4">
      <c r="A5433" t="s">
        <v>7050</v>
      </c>
      <c r="B5433" t="s">
        <v>379</v>
      </c>
      <c r="C5433" t="s">
        <v>7395</v>
      </c>
      <c r="D5433">
        <v>39.224877</v>
      </c>
    </row>
    <row r="5434" spans="1:4">
      <c r="A5434" t="s">
        <v>7051</v>
      </c>
      <c r="B5434" t="s">
        <v>379</v>
      </c>
      <c r="C5434" t="s">
        <v>7396</v>
      </c>
      <c r="D5434">
        <v>7.889385</v>
      </c>
    </row>
    <row r="5435" spans="1:4">
      <c r="A5435" t="s">
        <v>7052</v>
      </c>
      <c r="B5435" t="s">
        <v>379</v>
      </c>
      <c r="C5435" t="s">
        <v>7397</v>
      </c>
      <c r="D5435">
        <v>6.725655</v>
      </c>
    </row>
    <row r="5436" spans="1:4">
      <c r="A5436" t="s">
        <v>7053</v>
      </c>
      <c r="B5436" t="s">
        <v>379</v>
      </c>
      <c r="C5436" t="s">
        <v>7398</v>
      </c>
      <c r="D5436">
        <v>20.464787</v>
      </c>
    </row>
    <row r="5437" spans="1:4">
      <c r="A5437" t="s">
        <v>7054</v>
      </c>
      <c r="B5437" t="s">
        <v>379</v>
      </c>
      <c r="C5437" t="s">
        <v>7399</v>
      </c>
      <c r="D5437">
        <v>0.181326</v>
      </c>
    </row>
    <row r="5438" spans="1:4">
      <c r="A5438" t="s">
        <v>7055</v>
      </c>
      <c r="B5438" t="s">
        <v>379</v>
      </c>
      <c r="C5438" t="s">
        <v>7307</v>
      </c>
      <c r="D5438">
        <v>18.160624</v>
      </c>
    </row>
    <row r="5439" spans="1:4">
      <c r="A5439" t="s">
        <v>7056</v>
      </c>
      <c r="B5439" t="s">
        <v>379</v>
      </c>
      <c r="C5439" t="s">
        <v>7308</v>
      </c>
      <c r="D5439">
        <v>77.378766</v>
      </c>
    </row>
    <row r="5440" spans="1:4">
      <c r="A5440" t="s">
        <v>7057</v>
      </c>
      <c r="B5440" t="s">
        <v>379</v>
      </c>
      <c r="C5440" t="s">
        <v>7400</v>
      </c>
      <c r="D5440">
        <v>4.960965</v>
      </c>
    </row>
    <row r="5441" spans="1:4">
      <c r="A5441" t="s">
        <v>7058</v>
      </c>
      <c r="B5441" t="s">
        <v>379</v>
      </c>
      <c r="C5441" t="s">
        <v>7401</v>
      </c>
      <c r="D5441">
        <v>19.199177</v>
      </c>
    </row>
    <row r="5442" spans="1:4">
      <c r="A5442" t="s">
        <v>7059</v>
      </c>
      <c r="B5442" t="s">
        <v>379</v>
      </c>
      <c r="C5442" t="s">
        <v>7402</v>
      </c>
      <c r="D5442">
        <v>0.23116</v>
      </c>
    </row>
    <row r="5443" spans="1:4">
      <c r="A5443" t="s">
        <v>7060</v>
      </c>
      <c r="B5443" t="s">
        <v>379</v>
      </c>
      <c r="C5443" t="s">
        <v>7403</v>
      </c>
      <c r="D5443">
        <v>8.601160999999999</v>
      </c>
    </row>
    <row r="5444" spans="1:4">
      <c r="A5444" t="s">
        <v>7061</v>
      </c>
      <c r="B5444" t="s">
        <v>379</v>
      </c>
      <c r="C5444" t="s">
        <v>7309</v>
      </c>
      <c r="D5444">
        <v>32.757639</v>
      </c>
    </row>
    <row r="5445" spans="1:4">
      <c r="A5445" t="s">
        <v>7062</v>
      </c>
      <c r="B5445" t="s">
        <v>379</v>
      </c>
      <c r="C5445" t="s">
        <v>7404</v>
      </c>
      <c r="D5445">
        <v>2.052542</v>
      </c>
    </row>
    <row r="5446" spans="1:4">
      <c r="A5446" t="s">
        <v>7063</v>
      </c>
      <c r="B5446" t="s">
        <v>379</v>
      </c>
      <c r="C5446" t="s">
        <v>7310</v>
      </c>
      <c r="D5446">
        <v>185.328884</v>
      </c>
    </row>
    <row r="5447" spans="1:4">
      <c r="A5447" t="s">
        <v>7064</v>
      </c>
      <c r="B5447" t="s">
        <v>379</v>
      </c>
      <c r="C5447" t="s">
        <v>7405</v>
      </c>
      <c r="D5447">
        <v>823.916571</v>
      </c>
    </row>
    <row r="5448" spans="1:4">
      <c r="A5448" t="s">
        <v>7065</v>
      </c>
      <c r="B5448" t="s">
        <v>379</v>
      </c>
      <c r="C5448" t="s">
        <v>7406</v>
      </c>
      <c r="D5448">
        <v>316.793188</v>
      </c>
    </row>
    <row r="5449" spans="1:4">
      <c r="A5449" t="s">
        <v>7066</v>
      </c>
      <c r="B5449" t="s">
        <v>379</v>
      </c>
      <c r="C5449" t="s">
        <v>7407</v>
      </c>
      <c r="D5449">
        <v>93.267782</v>
      </c>
    </row>
    <row r="5450" spans="1:4">
      <c r="A5450" t="s">
        <v>7067</v>
      </c>
      <c r="B5450" t="s">
        <v>379</v>
      </c>
      <c r="C5450" t="s">
        <v>7408</v>
      </c>
      <c r="D5450">
        <v>70.981527</v>
      </c>
    </row>
    <row r="5451" spans="1:4">
      <c r="A5451" t="s">
        <v>7068</v>
      </c>
      <c r="B5451" t="s">
        <v>379</v>
      </c>
      <c r="C5451" t="s">
        <v>7311</v>
      </c>
      <c r="D5451">
        <v>5.134868</v>
      </c>
    </row>
    <row r="5452" spans="1:4">
      <c r="A5452" t="s">
        <v>7069</v>
      </c>
      <c r="B5452" t="s">
        <v>379</v>
      </c>
      <c r="C5452" t="s">
        <v>7409</v>
      </c>
      <c r="D5452">
        <v>1.139889</v>
      </c>
    </row>
    <row r="5453" spans="1:4">
      <c r="A5453" t="s">
        <v>7070</v>
      </c>
      <c r="B5453" t="s">
        <v>379</v>
      </c>
      <c r="C5453" t="s">
        <v>7312</v>
      </c>
      <c r="D5453">
        <v>83.47637400000001</v>
      </c>
    </row>
    <row r="5454" spans="1:4">
      <c r="A5454" t="s">
        <v>7071</v>
      </c>
      <c r="B5454" t="s">
        <v>379</v>
      </c>
      <c r="C5454" t="s">
        <v>7410</v>
      </c>
      <c r="D5454">
        <v>0.052316</v>
      </c>
    </row>
    <row r="5455" spans="1:4">
      <c r="A5455" t="s">
        <v>7072</v>
      </c>
      <c r="B5455" t="s">
        <v>379</v>
      </c>
      <c r="C5455" t="s">
        <v>7411</v>
      </c>
      <c r="D5455">
        <v>87.031119</v>
      </c>
    </row>
    <row r="5456" spans="1:4">
      <c r="A5456" t="s">
        <v>7073</v>
      </c>
      <c r="B5456" t="s">
        <v>379</v>
      </c>
      <c r="C5456" t="s">
        <v>7313</v>
      </c>
      <c r="D5456">
        <v>69.013824</v>
      </c>
    </row>
    <row r="5457" spans="1:4">
      <c r="A5457" t="s">
        <v>7074</v>
      </c>
      <c r="B5457" t="s">
        <v>379</v>
      </c>
      <c r="C5457" t="s">
        <v>7412</v>
      </c>
      <c r="D5457">
        <v>3.082306</v>
      </c>
    </row>
    <row r="5458" spans="1:4">
      <c r="A5458" t="s">
        <v>7075</v>
      </c>
      <c r="B5458" t="s">
        <v>379</v>
      </c>
      <c r="C5458" t="s">
        <v>7413</v>
      </c>
      <c r="D5458">
        <v>4.034975</v>
      </c>
    </row>
    <row r="5459" spans="1:4">
      <c r="A5459" t="s">
        <v>7076</v>
      </c>
      <c r="B5459" t="s">
        <v>379</v>
      </c>
      <c r="C5459" t="s">
        <v>7414</v>
      </c>
      <c r="D5459">
        <v>0.215065</v>
      </c>
    </row>
    <row r="5460" spans="1:4">
      <c r="A5460" t="s">
        <v>7077</v>
      </c>
      <c r="B5460" t="s">
        <v>379</v>
      </c>
      <c r="C5460" t="s">
        <v>7415</v>
      </c>
      <c r="D5460">
        <v>84.478218</v>
      </c>
    </row>
    <row r="5461" spans="1:4">
      <c r="A5461" t="s">
        <v>7078</v>
      </c>
      <c r="B5461" t="s">
        <v>379</v>
      </c>
      <c r="C5461" t="s">
        <v>7416</v>
      </c>
      <c r="D5461">
        <v>39.764114</v>
      </c>
    </row>
    <row r="5462" spans="1:4">
      <c r="A5462" t="s">
        <v>7079</v>
      </c>
      <c r="B5462" t="s">
        <v>379</v>
      </c>
      <c r="C5462" t="s">
        <v>7417</v>
      </c>
      <c r="D5462">
        <v>21.56596</v>
      </c>
    </row>
    <row r="5463" spans="1:4">
      <c r="A5463" t="s">
        <v>7080</v>
      </c>
      <c r="B5463" t="s">
        <v>379</v>
      </c>
      <c r="C5463" t="s">
        <v>7418</v>
      </c>
      <c r="D5463">
        <v>0.706942</v>
      </c>
    </row>
    <row r="5464" spans="1:4">
      <c r="A5464" t="s">
        <v>7081</v>
      </c>
      <c r="B5464" t="s">
        <v>379</v>
      </c>
      <c r="C5464" t="s">
        <v>7314</v>
      </c>
      <c r="D5464">
        <v>32.720519</v>
      </c>
    </row>
    <row r="5465" spans="1:4">
      <c r="A5465" t="s">
        <v>7082</v>
      </c>
      <c r="B5465" t="s">
        <v>379</v>
      </c>
      <c r="C5465" t="s">
        <v>7315</v>
      </c>
      <c r="D5465">
        <v>245.355501</v>
      </c>
    </row>
    <row r="5466" spans="1:4">
      <c r="A5466" t="s">
        <v>7083</v>
      </c>
      <c r="B5466" t="s">
        <v>379</v>
      </c>
      <c r="C5466" t="s">
        <v>7419</v>
      </c>
      <c r="D5466">
        <v>425.721</v>
      </c>
    </row>
    <row r="5467" spans="1:4">
      <c r="A5467" t="s">
        <v>7084</v>
      </c>
      <c r="B5467" t="s">
        <v>379</v>
      </c>
      <c r="C5467" t="s">
        <v>7420</v>
      </c>
      <c r="D5467">
        <v>13.00575</v>
      </c>
    </row>
    <row r="5468" spans="1:4">
      <c r="A5468" t="s">
        <v>7085</v>
      </c>
      <c r="B5468" t="s">
        <v>379</v>
      </c>
      <c r="C5468" t="s">
        <v>7421</v>
      </c>
      <c r="D5468">
        <v>0.013006</v>
      </c>
    </row>
    <row r="5469" spans="1:4">
      <c r="A5469" t="s">
        <v>7086</v>
      </c>
      <c r="B5469" t="s">
        <v>379</v>
      </c>
      <c r="C5469" t="s">
        <v>7422</v>
      </c>
      <c r="D5469">
        <v>0.552812</v>
      </c>
    </row>
    <row r="5470" spans="1:4">
      <c r="A5470" t="s">
        <v>7087</v>
      </c>
      <c r="B5470" t="s">
        <v>379</v>
      </c>
      <c r="C5470" t="s">
        <v>7423</v>
      </c>
      <c r="D5470">
        <v>8.373352000000001</v>
      </c>
    </row>
    <row r="5471" spans="1:4">
      <c r="A5471" t="s">
        <v>7088</v>
      </c>
      <c r="B5471" t="s">
        <v>379</v>
      </c>
      <c r="C5471" t="s">
        <v>7424</v>
      </c>
      <c r="D5471">
        <v>0.06529799999999999</v>
      </c>
    </row>
    <row r="5472" spans="1:4">
      <c r="A5472" t="s">
        <v>7089</v>
      </c>
      <c r="B5472" t="s">
        <v>379</v>
      </c>
      <c r="C5472" t="s">
        <v>7425</v>
      </c>
      <c r="D5472">
        <v>14.764282</v>
      </c>
    </row>
    <row r="5473" spans="1:4">
      <c r="A5473" t="s">
        <v>7090</v>
      </c>
      <c r="B5473" t="s">
        <v>379</v>
      </c>
      <c r="C5473" t="s">
        <v>7426</v>
      </c>
      <c r="D5473">
        <v>2.599267</v>
      </c>
    </row>
    <row r="5474" spans="1:4">
      <c r="A5474" t="s">
        <v>7091</v>
      </c>
      <c r="B5474" t="s">
        <v>379</v>
      </c>
      <c r="C5474" t="s">
        <v>7427</v>
      </c>
      <c r="D5474">
        <v>19.199177</v>
      </c>
    </row>
    <row r="5475" spans="1:4">
      <c r="A5475" t="s">
        <v>7092</v>
      </c>
      <c r="B5475" t="s">
        <v>379</v>
      </c>
      <c r="C5475" t="s">
        <v>7316</v>
      </c>
      <c r="D5475">
        <v>9.414690999999999</v>
      </c>
    </row>
    <row r="5476" spans="1:4">
      <c r="A5476" t="s">
        <v>7093</v>
      </c>
      <c r="B5476" t="s">
        <v>379</v>
      </c>
      <c r="C5476" t="s">
        <v>7428</v>
      </c>
      <c r="D5476">
        <v>34.257731</v>
      </c>
    </row>
    <row r="5477" spans="1:4">
      <c r="A5477" t="s">
        <v>7094</v>
      </c>
      <c r="B5477" t="s">
        <v>379</v>
      </c>
      <c r="C5477" t="s">
        <v>7429</v>
      </c>
      <c r="D5477">
        <v>90.396765</v>
      </c>
    </row>
    <row r="5478" spans="1:4">
      <c r="A5478" t="s">
        <v>7095</v>
      </c>
      <c r="B5478" t="s">
        <v>379</v>
      </c>
      <c r="C5478" t="s">
        <v>7430</v>
      </c>
      <c r="D5478">
        <v>107.621696</v>
      </c>
    </row>
    <row r="5479" spans="1:4">
      <c r="A5479" t="s">
        <v>7096</v>
      </c>
      <c r="B5479" t="s">
        <v>379</v>
      </c>
      <c r="C5479" t="s">
        <v>7431</v>
      </c>
      <c r="D5479">
        <v>133.20189</v>
      </c>
    </row>
    <row r="5480" spans="1:4">
      <c r="A5480" t="s">
        <v>7097</v>
      </c>
      <c r="B5480" t="s">
        <v>379</v>
      </c>
      <c r="C5480" t="s">
        <v>7317</v>
      </c>
      <c r="D5480">
        <v>6.713733</v>
      </c>
    </row>
    <row r="5481" spans="1:4">
      <c r="A5481" t="s">
        <v>7098</v>
      </c>
      <c r="B5481" t="s">
        <v>379</v>
      </c>
      <c r="C5481" t="s">
        <v>7432</v>
      </c>
      <c r="D5481">
        <v>43.993187</v>
      </c>
    </row>
    <row r="5482" spans="1:4">
      <c r="A5482" t="s">
        <v>7099</v>
      </c>
      <c r="B5482" t="s">
        <v>379</v>
      </c>
      <c r="C5482" t="s">
        <v>7433</v>
      </c>
      <c r="D5482">
        <v>221.75863</v>
      </c>
    </row>
    <row r="5483" spans="1:4">
      <c r="A5483" t="s">
        <v>7100</v>
      </c>
      <c r="B5483" t="s">
        <v>379</v>
      </c>
      <c r="C5483" t="s">
        <v>7434</v>
      </c>
      <c r="D5483">
        <v>9.806253999999999</v>
      </c>
    </row>
    <row r="5484" spans="1:4">
      <c r="A5484" t="s">
        <v>7101</v>
      </c>
      <c r="B5484" t="s">
        <v>379</v>
      </c>
      <c r="C5484" t="s">
        <v>7435</v>
      </c>
      <c r="D5484">
        <v>0.121165</v>
      </c>
    </row>
    <row r="5485" spans="1:4">
      <c r="A5485" t="s">
        <v>7102</v>
      </c>
      <c r="B5485" t="s">
        <v>379</v>
      </c>
      <c r="C5485" t="s">
        <v>7436</v>
      </c>
      <c r="D5485">
        <v>7.076496</v>
      </c>
    </row>
    <row r="5486" spans="1:4">
      <c r="A5486" t="s">
        <v>7103</v>
      </c>
      <c r="B5486" t="s">
        <v>379</v>
      </c>
      <c r="C5486" t="s">
        <v>7437</v>
      </c>
      <c r="D5486">
        <v>0.08599</v>
      </c>
    </row>
    <row r="5487" spans="1:4">
      <c r="A5487" t="s">
        <v>7104</v>
      </c>
      <c r="B5487" t="s">
        <v>379</v>
      </c>
      <c r="C5487" t="s">
        <v>399</v>
      </c>
      <c r="D5487">
        <v>316.790413</v>
      </c>
    </row>
    <row r="5488" spans="1:4">
      <c r="A5488" t="s">
        <v>7105</v>
      </c>
      <c r="B5488" t="s">
        <v>379</v>
      </c>
      <c r="C5488" t="s">
        <v>7438</v>
      </c>
      <c r="D5488">
        <v>7.866249</v>
      </c>
    </row>
    <row r="5489" spans="1:4">
      <c r="A5489" t="s">
        <v>7106</v>
      </c>
      <c r="B5489" t="s">
        <v>379</v>
      </c>
      <c r="C5489" t="s">
        <v>7439</v>
      </c>
      <c r="D5489">
        <v>0.026443</v>
      </c>
    </row>
    <row r="5490" spans="1:4">
      <c r="A5490" t="s">
        <v>7107</v>
      </c>
      <c r="B5490" t="s">
        <v>379</v>
      </c>
      <c r="C5490" t="s">
        <v>7440</v>
      </c>
      <c r="D5490">
        <v>0.430261</v>
      </c>
    </row>
    <row r="5491" spans="1:4">
      <c r="A5491" t="s">
        <v>7108</v>
      </c>
      <c r="B5491" t="s">
        <v>379</v>
      </c>
      <c r="C5491" t="s">
        <v>7441</v>
      </c>
      <c r="D5491">
        <v>0.012073</v>
      </c>
    </row>
    <row r="5492" spans="1:4">
      <c r="A5492" t="s">
        <v>7109</v>
      </c>
      <c r="B5492" t="s">
        <v>379</v>
      </c>
      <c r="C5492" t="s">
        <v>7442</v>
      </c>
      <c r="D5492">
        <v>2.663513</v>
      </c>
    </row>
    <row r="5493" spans="1:4">
      <c r="A5493" t="s">
        <v>7110</v>
      </c>
      <c r="B5493" t="s">
        <v>379</v>
      </c>
      <c r="C5493" t="s">
        <v>7443</v>
      </c>
      <c r="D5493">
        <v>116.943714</v>
      </c>
    </row>
    <row r="5494" spans="1:4">
      <c r="A5494" t="s">
        <v>7111</v>
      </c>
      <c r="B5494" t="s">
        <v>379</v>
      </c>
      <c r="C5494" t="s">
        <v>7444</v>
      </c>
      <c r="D5494">
        <v>0.551446</v>
      </c>
    </row>
    <row r="5495" spans="1:4">
      <c r="A5495" t="s">
        <v>7112</v>
      </c>
      <c r="B5495" t="s">
        <v>379</v>
      </c>
      <c r="C5495" t="s">
        <v>7445</v>
      </c>
      <c r="D5495">
        <v>117.330852</v>
      </c>
    </row>
    <row r="5496" spans="1:4">
      <c r="A5496" t="s">
        <v>7113</v>
      </c>
      <c r="B5496" t="s">
        <v>379</v>
      </c>
      <c r="C5496" t="s">
        <v>7446</v>
      </c>
      <c r="D5496">
        <v>176.979527</v>
      </c>
    </row>
    <row r="5497" spans="1:4">
      <c r="A5497" t="s">
        <v>7114</v>
      </c>
      <c r="B5497" t="s">
        <v>379</v>
      </c>
      <c r="C5497" t="s">
        <v>7447</v>
      </c>
      <c r="D5497">
        <v>429.887438</v>
      </c>
    </row>
    <row r="5498" spans="1:4">
      <c r="A5498" t="s">
        <v>7115</v>
      </c>
      <c r="B5498" t="s">
        <v>379</v>
      </c>
      <c r="C5498" t="s">
        <v>7448</v>
      </c>
      <c r="D5498">
        <v>0.551446</v>
      </c>
    </row>
    <row r="5499" spans="1:4">
      <c r="A5499" t="s">
        <v>7116</v>
      </c>
      <c r="B5499" t="s">
        <v>379</v>
      </c>
      <c r="C5499" t="s">
        <v>7449</v>
      </c>
      <c r="D5499">
        <v>3.031248</v>
      </c>
    </row>
    <row r="5500" spans="1:4">
      <c r="A5500" t="s">
        <v>7117</v>
      </c>
      <c r="B5500" t="s">
        <v>379</v>
      </c>
      <c r="C5500" t="s">
        <v>7450</v>
      </c>
      <c r="D5500">
        <v>1.329019</v>
      </c>
    </row>
    <row r="5501" spans="1:4">
      <c r="A5501" t="s">
        <v>7118</v>
      </c>
      <c r="B5501" t="s">
        <v>379</v>
      </c>
      <c r="C5501" t="s">
        <v>7318</v>
      </c>
      <c r="D5501">
        <v>19.199129</v>
      </c>
    </row>
    <row r="5502" spans="1:4">
      <c r="A5502" t="s">
        <v>7119</v>
      </c>
      <c r="B5502" t="s">
        <v>379</v>
      </c>
      <c r="C5502" t="s">
        <v>7451</v>
      </c>
      <c r="D5502">
        <v>17.358026</v>
      </c>
    </row>
    <row r="5503" spans="1:4">
      <c r="A5503" t="s">
        <v>7120</v>
      </c>
      <c r="B5503" t="s">
        <v>379</v>
      </c>
      <c r="C5503" t="s">
        <v>7452</v>
      </c>
      <c r="D5503">
        <v>11.802485</v>
      </c>
    </row>
    <row r="5504" spans="1:4">
      <c r="A5504" t="s">
        <v>7121</v>
      </c>
      <c r="B5504" t="s">
        <v>379</v>
      </c>
      <c r="C5504" t="s">
        <v>7453</v>
      </c>
      <c r="D5504">
        <v>11.802485</v>
      </c>
    </row>
    <row r="5505" spans="1:4">
      <c r="A5505" t="s">
        <v>7122</v>
      </c>
      <c r="B5505" t="s">
        <v>380</v>
      </c>
      <c r="C5505" t="s">
        <v>397</v>
      </c>
      <c r="D5505">
        <v>361.780131</v>
      </c>
    </row>
    <row r="5506" spans="1:4">
      <c r="A5506" t="s">
        <v>7123</v>
      </c>
      <c r="B5506" t="s">
        <v>380</v>
      </c>
      <c r="C5506" t="s">
        <v>7319</v>
      </c>
      <c r="D5506">
        <v>86.588013</v>
      </c>
    </row>
    <row r="5507" spans="1:4">
      <c r="A5507" t="s">
        <v>7124</v>
      </c>
      <c r="B5507" t="s">
        <v>380</v>
      </c>
      <c r="C5507" t="s">
        <v>7320</v>
      </c>
      <c r="D5507">
        <v>4.802965</v>
      </c>
    </row>
    <row r="5508" spans="1:4">
      <c r="A5508" t="s">
        <v>7125</v>
      </c>
      <c r="B5508" t="s">
        <v>380</v>
      </c>
      <c r="C5508" t="s">
        <v>7321</v>
      </c>
      <c r="D5508">
        <v>3.853297</v>
      </c>
    </row>
    <row r="5509" spans="1:4">
      <c r="A5509" t="s">
        <v>7126</v>
      </c>
      <c r="B5509" t="s">
        <v>380</v>
      </c>
      <c r="C5509" t="s">
        <v>7322</v>
      </c>
      <c r="D5509">
        <v>0.867316</v>
      </c>
    </row>
    <row r="5510" spans="1:4">
      <c r="A5510" t="s">
        <v>7127</v>
      </c>
      <c r="B5510" t="s">
        <v>380</v>
      </c>
      <c r="C5510" t="s">
        <v>7323</v>
      </c>
      <c r="D5510">
        <v>177.650519</v>
      </c>
    </row>
    <row r="5511" spans="1:4">
      <c r="A5511" t="s">
        <v>7128</v>
      </c>
      <c r="B5511" t="s">
        <v>380</v>
      </c>
      <c r="C5511" t="s">
        <v>7324</v>
      </c>
      <c r="D5511">
        <v>0.335257</v>
      </c>
    </row>
    <row r="5512" spans="1:4">
      <c r="A5512" t="s">
        <v>7129</v>
      </c>
      <c r="B5512" t="s">
        <v>380</v>
      </c>
      <c r="C5512" t="s">
        <v>7325</v>
      </c>
      <c r="D5512">
        <v>0.212794</v>
      </c>
    </row>
    <row r="5513" spans="1:4">
      <c r="A5513" t="s">
        <v>7130</v>
      </c>
      <c r="B5513" t="s">
        <v>380</v>
      </c>
      <c r="C5513" t="s">
        <v>7292</v>
      </c>
      <c r="D5513">
        <v>222.073891</v>
      </c>
    </row>
    <row r="5514" spans="1:4">
      <c r="A5514" t="s">
        <v>7131</v>
      </c>
      <c r="B5514" t="s">
        <v>380</v>
      </c>
      <c r="C5514" t="s">
        <v>7326</v>
      </c>
      <c r="D5514">
        <v>177.650519</v>
      </c>
    </row>
    <row r="5515" spans="1:4">
      <c r="A5515" t="s">
        <v>7132</v>
      </c>
      <c r="B5515" t="s">
        <v>380</v>
      </c>
      <c r="C5515" t="s">
        <v>7327</v>
      </c>
      <c r="D5515">
        <v>186.663762</v>
      </c>
    </row>
    <row r="5516" spans="1:4">
      <c r="A5516" t="s">
        <v>7133</v>
      </c>
      <c r="B5516" t="s">
        <v>380</v>
      </c>
      <c r="C5516" t="s">
        <v>7328</v>
      </c>
      <c r="D5516">
        <v>184.975244</v>
      </c>
    </row>
    <row r="5517" spans="1:4">
      <c r="A5517" t="s">
        <v>7134</v>
      </c>
      <c r="B5517" t="s">
        <v>380</v>
      </c>
      <c r="C5517" t="s">
        <v>7329</v>
      </c>
      <c r="D5517">
        <v>158.997186</v>
      </c>
    </row>
    <row r="5518" spans="1:4">
      <c r="A5518" t="s">
        <v>7135</v>
      </c>
      <c r="B5518" t="s">
        <v>380</v>
      </c>
      <c r="C5518" t="s">
        <v>7330</v>
      </c>
      <c r="D5518">
        <v>2.577241</v>
      </c>
    </row>
    <row r="5519" spans="1:4">
      <c r="A5519" t="s">
        <v>7136</v>
      </c>
      <c r="B5519" t="s">
        <v>380</v>
      </c>
      <c r="C5519" t="s">
        <v>398</v>
      </c>
      <c r="D5519">
        <v>184.975244</v>
      </c>
    </row>
    <row r="5520" spans="1:4">
      <c r="A5520" t="s">
        <v>7137</v>
      </c>
      <c r="B5520" t="s">
        <v>380</v>
      </c>
      <c r="C5520" t="s">
        <v>7331</v>
      </c>
      <c r="D5520">
        <v>845.729233</v>
      </c>
    </row>
    <row r="5521" spans="1:4">
      <c r="A5521" t="s">
        <v>7138</v>
      </c>
      <c r="B5521" t="s">
        <v>380</v>
      </c>
      <c r="C5521" t="s">
        <v>7332</v>
      </c>
      <c r="D5521">
        <v>0.105958</v>
      </c>
    </row>
    <row r="5522" spans="1:4">
      <c r="A5522" t="s">
        <v>7139</v>
      </c>
      <c r="B5522" t="s">
        <v>380</v>
      </c>
      <c r="C5522" t="s">
        <v>7333</v>
      </c>
      <c r="D5522">
        <v>317.994513</v>
      </c>
    </row>
    <row r="5523" spans="1:4">
      <c r="A5523" t="s">
        <v>7140</v>
      </c>
      <c r="B5523" t="s">
        <v>380</v>
      </c>
      <c r="C5523" t="s">
        <v>7334</v>
      </c>
      <c r="D5523">
        <v>246.357301</v>
      </c>
    </row>
    <row r="5524" spans="1:4">
      <c r="A5524" t="s">
        <v>7141</v>
      </c>
      <c r="B5524" t="s">
        <v>380</v>
      </c>
      <c r="C5524" t="s">
        <v>7335</v>
      </c>
      <c r="D5524">
        <v>28.712422</v>
      </c>
    </row>
    <row r="5525" spans="1:4">
      <c r="A5525" t="s">
        <v>7142</v>
      </c>
      <c r="B5525" t="s">
        <v>380</v>
      </c>
      <c r="C5525" t="s">
        <v>7293</v>
      </c>
      <c r="D5525">
        <v>62.638469</v>
      </c>
    </row>
    <row r="5526" spans="1:4">
      <c r="A5526" t="s">
        <v>7143</v>
      </c>
      <c r="B5526" t="s">
        <v>380</v>
      </c>
      <c r="C5526" t="s">
        <v>7336</v>
      </c>
      <c r="D5526">
        <v>317.994513</v>
      </c>
    </row>
    <row r="5527" spans="1:4">
      <c r="A5527" t="s">
        <v>7144</v>
      </c>
      <c r="B5527" t="s">
        <v>380</v>
      </c>
      <c r="C5527" t="s">
        <v>7337</v>
      </c>
      <c r="D5527">
        <v>3.292816</v>
      </c>
    </row>
    <row r="5528" spans="1:4">
      <c r="A5528" t="s">
        <v>7145</v>
      </c>
      <c r="B5528" t="s">
        <v>380</v>
      </c>
      <c r="C5528" t="s">
        <v>7338</v>
      </c>
      <c r="D5528">
        <v>21.990252</v>
      </c>
    </row>
    <row r="5529" spans="1:4">
      <c r="A5529" t="s">
        <v>7146</v>
      </c>
      <c r="B5529" t="s">
        <v>380</v>
      </c>
      <c r="C5529" t="s">
        <v>7339</v>
      </c>
      <c r="D5529">
        <v>110.685647</v>
      </c>
    </row>
    <row r="5530" spans="1:4">
      <c r="A5530" t="s">
        <v>7147</v>
      </c>
      <c r="B5530" t="s">
        <v>380</v>
      </c>
      <c r="C5530" t="s">
        <v>7340</v>
      </c>
      <c r="D5530">
        <v>158.997186</v>
      </c>
    </row>
    <row r="5531" spans="1:4">
      <c r="A5531" t="s">
        <v>7148</v>
      </c>
      <c r="B5531" t="s">
        <v>380</v>
      </c>
      <c r="C5531" t="s">
        <v>7294</v>
      </c>
      <c r="D5531">
        <v>225.717858</v>
      </c>
    </row>
    <row r="5532" spans="1:4">
      <c r="A5532" t="s">
        <v>7149</v>
      </c>
      <c r="B5532" t="s">
        <v>380</v>
      </c>
      <c r="C5532" t="s">
        <v>7341</v>
      </c>
      <c r="D5532">
        <v>0.136707</v>
      </c>
    </row>
    <row r="5533" spans="1:4">
      <c r="A5533" t="s">
        <v>7150</v>
      </c>
      <c r="B5533" t="s">
        <v>380</v>
      </c>
      <c r="C5533" t="s">
        <v>7295</v>
      </c>
      <c r="D5533">
        <v>388.905931</v>
      </c>
    </row>
    <row r="5534" spans="1:4">
      <c r="A5534" t="s">
        <v>7151</v>
      </c>
      <c r="B5534" t="s">
        <v>380</v>
      </c>
      <c r="C5534" t="s">
        <v>7342</v>
      </c>
      <c r="D5534">
        <v>13302.696389</v>
      </c>
    </row>
    <row r="5535" spans="1:4">
      <c r="A5535" t="s">
        <v>7152</v>
      </c>
      <c r="B5535" t="s">
        <v>380</v>
      </c>
      <c r="C5535" t="s">
        <v>7343</v>
      </c>
      <c r="D5535">
        <v>0.336545</v>
      </c>
    </row>
    <row r="5536" spans="1:4">
      <c r="A5536" t="s">
        <v>7153</v>
      </c>
      <c r="B5536" t="s">
        <v>380</v>
      </c>
      <c r="C5536" t="s">
        <v>7344</v>
      </c>
      <c r="D5536">
        <v>46.969073</v>
      </c>
    </row>
    <row r="5537" spans="1:4">
      <c r="A5537" t="s">
        <v>7154</v>
      </c>
      <c r="B5537" t="s">
        <v>380</v>
      </c>
      <c r="C5537" t="s">
        <v>7296</v>
      </c>
      <c r="D5537">
        <v>46.918065</v>
      </c>
    </row>
    <row r="5538" spans="1:4">
      <c r="A5538" t="s">
        <v>7155</v>
      </c>
      <c r="B5538" t="s">
        <v>380</v>
      </c>
      <c r="C5538" t="s">
        <v>7345</v>
      </c>
      <c r="D5538">
        <v>0.098741</v>
      </c>
    </row>
    <row r="5539" spans="1:4">
      <c r="A5539" t="s">
        <v>7156</v>
      </c>
      <c r="B5539" t="s">
        <v>380</v>
      </c>
      <c r="C5539" t="s">
        <v>7346</v>
      </c>
      <c r="D5539">
        <v>0.697653</v>
      </c>
    </row>
    <row r="5540" spans="1:4">
      <c r="A5540" t="s">
        <v>7157</v>
      </c>
      <c r="B5540" t="s">
        <v>380</v>
      </c>
      <c r="C5540" t="s">
        <v>7347</v>
      </c>
      <c r="D5540">
        <v>13.249768</v>
      </c>
    </row>
    <row r="5541" spans="1:4">
      <c r="A5541" t="s">
        <v>7158</v>
      </c>
      <c r="B5541" t="s">
        <v>380</v>
      </c>
      <c r="C5541" t="s">
        <v>7348</v>
      </c>
      <c r="D5541">
        <v>3.281006</v>
      </c>
    </row>
    <row r="5542" spans="1:4">
      <c r="A5542" t="s">
        <v>7159</v>
      </c>
      <c r="B5542" t="s">
        <v>380</v>
      </c>
      <c r="C5542" t="s">
        <v>7297</v>
      </c>
      <c r="D5542">
        <v>14.981771</v>
      </c>
    </row>
    <row r="5543" spans="1:4">
      <c r="A5543" t="s">
        <v>7160</v>
      </c>
      <c r="B5543" t="s">
        <v>380</v>
      </c>
      <c r="C5543" t="s">
        <v>7349</v>
      </c>
      <c r="D5543">
        <v>1.78929</v>
      </c>
    </row>
    <row r="5544" spans="1:4">
      <c r="A5544" t="s">
        <v>7161</v>
      </c>
      <c r="B5544" t="s">
        <v>380</v>
      </c>
      <c r="C5544" t="s">
        <v>7298</v>
      </c>
      <c r="D5544">
        <v>48.471319</v>
      </c>
    </row>
    <row r="5545" spans="1:4">
      <c r="A5545" t="s">
        <v>7162</v>
      </c>
      <c r="B5545" t="s">
        <v>380</v>
      </c>
      <c r="C5545" t="s">
        <v>7350</v>
      </c>
      <c r="D5545">
        <v>5.446705</v>
      </c>
    </row>
    <row r="5546" spans="1:4">
      <c r="A5546" t="s">
        <v>7163</v>
      </c>
      <c r="B5546" t="s">
        <v>380</v>
      </c>
      <c r="C5546" t="s">
        <v>7351</v>
      </c>
      <c r="D5546">
        <v>2.3772</v>
      </c>
    </row>
    <row r="5547" spans="1:4">
      <c r="A5547" t="s">
        <v>7164</v>
      </c>
      <c r="B5547" t="s">
        <v>380</v>
      </c>
      <c r="C5547" t="s">
        <v>7352</v>
      </c>
      <c r="D5547">
        <v>6.188275</v>
      </c>
    </row>
    <row r="5548" spans="1:4">
      <c r="A5548" t="s">
        <v>7165</v>
      </c>
      <c r="B5548" t="s">
        <v>380</v>
      </c>
      <c r="C5548" t="s">
        <v>7353</v>
      </c>
      <c r="D5548">
        <v>21.199629</v>
      </c>
    </row>
    <row r="5549" spans="1:4">
      <c r="A5549" t="s">
        <v>7166</v>
      </c>
      <c r="B5549" t="s">
        <v>380</v>
      </c>
      <c r="C5549" t="s">
        <v>7354</v>
      </c>
      <c r="D5549">
        <v>1.926796</v>
      </c>
    </row>
    <row r="5550" spans="1:4">
      <c r="A5550" t="s">
        <v>7167</v>
      </c>
      <c r="B5550" t="s">
        <v>380</v>
      </c>
      <c r="C5550" t="s">
        <v>7355</v>
      </c>
      <c r="D5550">
        <v>141.508415</v>
      </c>
    </row>
    <row r="5551" spans="1:4">
      <c r="A5551" t="s">
        <v>7168</v>
      </c>
      <c r="B5551" t="s">
        <v>380</v>
      </c>
      <c r="C5551" t="s">
        <v>7356</v>
      </c>
      <c r="D5551">
        <v>423.639059</v>
      </c>
    </row>
    <row r="5552" spans="1:4">
      <c r="A5552" t="s">
        <v>7169</v>
      </c>
      <c r="B5552" t="s">
        <v>380</v>
      </c>
      <c r="C5552" t="s">
        <v>7357</v>
      </c>
      <c r="D5552">
        <v>48.471338</v>
      </c>
    </row>
    <row r="5553" spans="1:4">
      <c r="A5553" t="s">
        <v>7170</v>
      </c>
      <c r="B5553" t="s">
        <v>380</v>
      </c>
      <c r="C5553" t="s">
        <v>7299</v>
      </c>
      <c r="D5553">
        <v>423.638067</v>
      </c>
    </row>
    <row r="5554" spans="1:4">
      <c r="A5554" t="s">
        <v>7171</v>
      </c>
      <c r="B5554" t="s">
        <v>380</v>
      </c>
      <c r="C5554" t="s">
        <v>7358</v>
      </c>
      <c r="D5554">
        <v>120.86165</v>
      </c>
    </row>
    <row r="5555" spans="1:4">
      <c r="A5555" t="s">
        <v>7172</v>
      </c>
      <c r="B5555" t="s">
        <v>380</v>
      </c>
      <c r="C5555" t="s">
        <v>7359</v>
      </c>
      <c r="D5555">
        <v>423.639059</v>
      </c>
    </row>
    <row r="5556" spans="1:4">
      <c r="A5556" t="s">
        <v>7173</v>
      </c>
      <c r="B5556" t="s">
        <v>380</v>
      </c>
      <c r="C5556" t="s">
        <v>7360</v>
      </c>
      <c r="D5556">
        <v>27.239007</v>
      </c>
    </row>
    <row r="5557" spans="1:4">
      <c r="A5557" t="s">
        <v>7174</v>
      </c>
      <c r="B5557" t="s">
        <v>380</v>
      </c>
      <c r="C5557" t="s">
        <v>7361</v>
      </c>
      <c r="D5557">
        <v>423.639059</v>
      </c>
    </row>
    <row r="5558" spans="1:4">
      <c r="A5558" t="s">
        <v>7175</v>
      </c>
      <c r="B5558" t="s">
        <v>380</v>
      </c>
      <c r="C5558" t="s">
        <v>7362</v>
      </c>
      <c r="D5558">
        <v>4.268249</v>
      </c>
    </row>
    <row r="5559" spans="1:4">
      <c r="A5559" t="s">
        <v>7176</v>
      </c>
      <c r="B5559" t="s">
        <v>380</v>
      </c>
      <c r="C5559" t="s">
        <v>7363</v>
      </c>
      <c r="D5559">
        <v>0.036184</v>
      </c>
    </row>
    <row r="5560" spans="1:4">
      <c r="A5560" t="s">
        <v>7177</v>
      </c>
      <c r="B5560" t="s">
        <v>380</v>
      </c>
      <c r="C5560" t="s">
        <v>7364</v>
      </c>
      <c r="D5560">
        <v>41.501516</v>
      </c>
    </row>
    <row r="5561" spans="1:4">
      <c r="A5561" t="s">
        <v>7178</v>
      </c>
      <c r="B5561" t="s">
        <v>380</v>
      </c>
      <c r="C5561" t="s">
        <v>7365</v>
      </c>
      <c r="D5561">
        <v>1.513032</v>
      </c>
    </row>
    <row r="5562" spans="1:4">
      <c r="A5562" t="s">
        <v>7179</v>
      </c>
      <c r="B5562" t="s">
        <v>380</v>
      </c>
      <c r="C5562" t="s">
        <v>7300</v>
      </c>
      <c r="D5562">
        <v>40.561312</v>
      </c>
    </row>
    <row r="5563" spans="1:4">
      <c r="A5563" t="s">
        <v>7180</v>
      </c>
      <c r="B5563" t="s">
        <v>380</v>
      </c>
      <c r="C5563" t="s">
        <v>7366</v>
      </c>
      <c r="D5563">
        <v>11.820507</v>
      </c>
    </row>
    <row r="5564" spans="1:4">
      <c r="A5564" t="s">
        <v>7181</v>
      </c>
      <c r="B5564" t="s">
        <v>380</v>
      </c>
      <c r="C5564" t="s">
        <v>7367</v>
      </c>
      <c r="D5564">
        <v>48.016475</v>
      </c>
    </row>
    <row r="5565" spans="1:4">
      <c r="A5565" t="s">
        <v>7182</v>
      </c>
      <c r="B5565" t="s">
        <v>380</v>
      </c>
      <c r="C5565" t="s">
        <v>7368</v>
      </c>
      <c r="D5565">
        <v>2.419618</v>
      </c>
    </row>
    <row r="5566" spans="1:4">
      <c r="A5566" t="s">
        <v>7183</v>
      </c>
      <c r="B5566" t="s">
        <v>380</v>
      </c>
      <c r="C5566" t="s">
        <v>7301</v>
      </c>
      <c r="D5566">
        <v>0.017768</v>
      </c>
    </row>
    <row r="5567" spans="1:4">
      <c r="A5567" t="s">
        <v>7184</v>
      </c>
      <c r="B5567" t="s">
        <v>380</v>
      </c>
      <c r="C5567" t="s">
        <v>7302</v>
      </c>
      <c r="D5567">
        <v>103.942484</v>
      </c>
    </row>
    <row r="5568" spans="1:4">
      <c r="A5568" t="s">
        <v>7185</v>
      </c>
      <c r="B5568" t="s">
        <v>380</v>
      </c>
      <c r="C5568" t="s">
        <v>7369</v>
      </c>
      <c r="D5568">
        <v>423.639059</v>
      </c>
    </row>
    <row r="5569" spans="1:4">
      <c r="A5569" t="s">
        <v>7186</v>
      </c>
      <c r="B5569" t="s">
        <v>380</v>
      </c>
      <c r="C5569" t="s">
        <v>7303</v>
      </c>
      <c r="D5569">
        <v>3.292815</v>
      </c>
    </row>
    <row r="5570" spans="1:4">
      <c r="A5570" t="s">
        <v>7187</v>
      </c>
      <c r="B5570" t="s">
        <v>380</v>
      </c>
      <c r="C5570" t="s">
        <v>7370</v>
      </c>
      <c r="D5570">
        <v>0.241551</v>
      </c>
    </row>
    <row r="5571" spans="1:4">
      <c r="A5571" t="s">
        <v>7188</v>
      </c>
      <c r="B5571" t="s">
        <v>380</v>
      </c>
      <c r="C5571" t="s">
        <v>7371</v>
      </c>
      <c r="D5571">
        <v>0.000231</v>
      </c>
    </row>
    <row r="5572" spans="1:4">
      <c r="A5572" t="s">
        <v>7189</v>
      </c>
      <c r="B5572" t="s">
        <v>380</v>
      </c>
      <c r="C5572" t="s">
        <v>7304</v>
      </c>
      <c r="D5572">
        <v>2.529232</v>
      </c>
    </row>
    <row r="5573" spans="1:4">
      <c r="A5573" t="s">
        <v>7190</v>
      </c>
      <c r="B5573" t="s">
        <v>380</v>
      </c>
      <c r="C5573" t="s">
        <v>7372</v>
      </c>
      <c r="D5573">
        <v>423.639059</v>
      </c>
    </row>
    <row r="5574" spans="1:4">
      <c r="A5574" t="s">
        <v>7191</v>
      </c>
      <c r="B5574" t="s">
        <v>380</v>
      </c>
      <c r="C5574" t="s">
        <v>7373</v>
      </c>
      <c r="D5574">
        <v>1.995111</v>
      </c>
    </row>
    <row r="5575" spans="1:4">
      <c r="A5575" t="s">
        <v>7192</v>
      </c>
      <c r="B5575" t="s">
        <v>380</v>
      </c>
      <c r="C5575" t="s">
        <v>7374</v>
      </c>
      <c r="D5575">
        <v>448.510933</v>
      </c>
    </row>
    <row r="5576" spans="1:4">
      <c r="A5576" t="s">
        <v>7193</v>
      </c>
      <c r="B5576" t="s">
        <v>380</v>
      </c>
      <c r="C5576" t="s">
        <v>7305</v>
      </c>
      <c r="D5576">
        <v>1.941329</v>
      </c>
    </row>
    <row r="5577" spans="1:4">
      <c r="A5577" t="s">
        <v>7194</v>
      </c>
      <c r="B5577" t="s">
        <v>380</v>
      </c>
      <c r="C5577" t="s">
        <v>7375</v>
      </c>
      <c r="D5577">
        <v>2.452557</v>
      </c>
    </row>
    <row r="5578" spans="1:4">
      <c r="A5578" t="s">
        <v>7195</v>
      </c>
      <c r="B5578" t="s">
        <v>380</v>
      </c>
      <c r="C5578" t="s">
        <v>7376</v>
      </c>
      <c r="D5578">
        <v>3.63185</v>
      </c>
    </row>
    <row r="5579" spans="1:4">
      <c r="A5579" t="s">
        <v>7196</v>
      </c>
      <c r="B5579" t="s">
        <v>380</v>
      </c>
      <c r="C5579" t="s">
        <v>7377</v>
      </c>
      <c r="D5579">
        <v>0.07811800000000001</v>
      </c>
    </row>
    <row r="5580" spans="1:4">
      <c r="A5580" t="s">
        <v>7197</v>
      </c>
      <c r="B5580" t="s">
        <v>380</v>
      </c>
      <c r="C5580" t="s">
        <v>7378</v>
      </c>
      <c r="D5580">
        <v>222.074163</v>
      </c>
    </row>
    <row r="5581" spans="1:4">
      <c r="A5581" t="s">
        <v>7198</v>
      </c>
      <c r="B5581" t="s">
        <v>380</v>
      </c>
      <c r="C5581" t="s">
        <v>7379</v>
      </c>
      <c r="D5581">
        <v>0.735374</v>
      </c>
    </row>
    <row r="5582" spans="1:4">
      <c r="A5582" t="s">
        <v>7199</v>
      </c>
      <c r="B5582" t="s">
        <v>380</v>
      </c>
      <c r="C5582" t="s">
        <v>7306</v>
      </c>
      <c r="D5582">
        <v>0.217259</v>
      </c>
    </row>
    <row r="5583" spans="1:4">
      <c r="A5583" t="s">
        <v>7200</v>
      </c>
      <c r="B5583" t="s">
        <v>380</v>
      </c>
      <c r="C5583" t="s">
        <v>7380</v>
      </c>
      <c r="D5583">
        <v>1027.052105</v>
      </c>
    </row>
    <row r="5584" spans="1:4">
      <c r="A5584" t="s">
        <v>7201</v>
      </c>
      <c r="B5584" t="s">
        <v>380</v>
      </c>
      <c r="C5584" t="s">
        <v>7381</v>
      </c>
      <c r="D5584">
        <v>381.593616</v>
      </c>
    </row>
    <row r="5585" spans="1:4">
      <c r="A5585" t="s">
        <v>7202</v>
      </c>
      <c r="B5585" t="s">
        <v>380</v>
      </c>
      <c r="C5585" t="s">
        <v>7382</v>
      </c>
      <c r="D5585">
        <v>0.669587</v>
      </c>
    </row>
    <row r="5586" spans="1:4">
      <c r="A5586" t="s">
        <v>7203</v>
      </c>
      <c r="B5586" t="s">
        <v>380</v>
      </c>
      <c r="C5586" t="s">
        <v>7383</v>
      </c>
      <c r="D5586">
        <v>0.014223</v>
      </c>
    </row>
    <row r="5587" spans="1:4">
      <c r="A5587" t="s">
        <v>7204</v>
      </c>
      <c r="B5587" t="s">
        <v>380</v>
      </c>
      <c r="C5587" t="s">
        <v>7384</v>
      </c>
      <c r="D5587">
        <v>0.003553</v>
      </c>
    </row>
    <row r="5588" spans="1:4">
      <c r="A5588" t="s">
        <v>7205</v>
      </c>
      <c r="B5588" t="s">
        <v>380</v>
      </c>
      <c r="C5588" t="s">
        <v>7385</v>
      </c>
      <c r="D5588">
        <v>0.945383</v>
      </c>
    </row>
    <row r="5589" spans="1:4">
      <c r="A5589" t="s">
        <v>7206</v>
      </c>
      <c r="B5589" t="s">
        <v>380</v>
      </c>
      <c r="C5589" t="s">
        <v>7386</v>
      </c>
      <c r="D5589">
        <v>1.748206</v>
      </c>
    </row>
    <row r="5590" spans="1:4">
      <c r="A5590" t="s">
        <v>7207</v>
      </c>
      <c r="B5590" t="s">
        <v>380</v>
      </c>
      <c r="C5590" t="s">
        <v>7387</v>
      </c>
      <c r="D5590">
        <v>18.906657</v>
      </c>
    </row>
    <row r="5591" spans="1:4">
      <c r="A5591" t="s">
        <v>7208</v>
      </c>
      <c r="B5591" t="s">
        <v>380</v>
      </c>
      <c r="C5591" t="s">
        <v>7388</v>
      </c>
      <c r="D5591">
        <v>49.406864</v>
      </c>
    </row>
    <row r="5592" spans="1:4">
      <c r="A5592" t="s">
        <v>7209</v>
      </c>
      <c r="B5592" t="s">
        <v>380</v>
      </c>
      <c r="C5592" t="s">
        <v>7389</v>
      </c>
      <c r="D5592">
        <v>33.889506</v>
      </c>
    </row>
    <row r="5593" spans="1:4">
      <c r="A5593" t="s">
        <v>7210</v>
      </c>
      <c r="B5593" t="s">
        <v>380</v>
      </c>
      <c r="C5593" t="s">
        <v>7390</v>
      </c>
      <c r="D5593">
        <v>18.045272</v>
      </c>
    </row>
    <row r="5594" spans="1:4">
      <c r="A5594" t="s">
        <v>7211</v>
      </c>
      <c r="B5594" t="s">
        <v>380</v>
      </c>
      <c r="C5594" t="s">
        <v>7391</v>
      </c>
      <c r="D5594">
        <v>0.07456599999999999</v>
      </c>
    </row>
    <row r="5595" spans="1:4">
      <c r="A5595" t="s">
        <v>7212</v>
      </c>
      <c r="B5595" t="s">
        <v>380</v>
      </c>
      <c r="C5595" t="s">
        <v>7392</v>
      </c>
      <c r="D5595">
        <v>5.883656</v>
      </c>
    </row>
    <row r="5596" spans="1:4">
      <c r="A5596" t="s">
        <v>7213</v>
      </c>
      <c r="B5596" t="s">
        <v>380</v>
      </c>
      <c r="C5596" t="s">
        <v>7393</v>
      </c>
      <c r="D5596">
        <v>0.151018</v>
      </c>
    </row>
    <row r="5597" spans="1:4">
      <c r="A5597" t="s">
        <v>7214</v>
      </c>
      <c r="B5597" t="s">
        <v>380</v>
      </c>
      <c r="C5597" t="s">
        <v>7394</v>
      </c>
      <c r="D5597">
        <v>0.089088</v>
      </c>
    </row>
    <row r="5598" spans="1:4">
      <c r="A5598" t="s">
        <v>7215</v>
      </c>
      <c r="B5598" t="s">
        <v>380</v>
      </c>
      <c r="C5598" t="s">
        <v>7395</v>
      </c>
      <c r="D5598">
        <v>39.379924</v>
      </c>
    </row>
    <row r="5599" spans="1:4">
      <c r="A5599" t="s">
        <v>7216</v>
      </c>
      <c r="B5599" t="s">
        <v>380</v>
      </c>
      <c r="C5599" t="s">
        <v>7396</v>
      </c>
      <c r="D5599">
        <v>7.885857</v>
      </c>
    </row>
    <row r="5600" spans="1:4">
      <c r="A5600" t="s">
        <v>7217</v>
      </c>
      <c r="B5600" t="s">
        <v>380</v>
      </c>
      <c r="C5600" t="s">
        <v>7397</v>
      </c>
      <c r="D5600">
        <v>6.714111</v>
      </c>
    </row>
    <row r="5601" spans="1:4">
      <c r="A5601" t="s">
        <v>7218</v>
      </c>
      <c r="B5601" t="s">
        <v>380</v>
      </c>
      <c r="C5601" t="s">
        <v>7398</v>
      </c>
      <c r="D5601">
        <v>20.479123</v>
      </c>
    </row>
    <row r="5602" spans="1:4">
      <c r="A5602" t="s">
        <v>7219</v>
      </c>
      <c r="B5602" t="s">
        <v>380</v>
      </c>
      <c r="C5602" t="s">
        <v>7399</v>
      </c>
      <c r="D5602">
        <v>0.181742</v>
      </c>
    </row>
    <row r="5603" spans="1:4">
      <c r="A5603" t="s">
        <v>7220</v>
      </c>
      <c r="B5603" t="s">
        <v>380</v>
      </c>
      <c r="C5603" t="s">
        <v>7307</v>
      </c>
      <c r="D5603">
        <v>18.191942</v>
      </c>
    </row>
    <row r="5604" spans="1:4">
      <c r="A5604" t="s">
        <v>7221</v>
      </c>
      <c r="B5604" t="s">
        <v>380</v>
      </c>
      <c r="C5604" t="s">
        <v>7308</v>
      </c>
      <c r="D5604">
        <v>77.73855</v>
      </c>
    </row>
    <row r="5605" spans="1:4">
      <c r="A5605" t="s">
        <v>7222</v>
      </c>
      <c r="B5605" t="s">
        <v>380</v>
      </c>
      <c r="C5605" t="s">
        <v>7400</v>
      </c>
      <c r="D5605">
        <v>4.975019</v>
      </c>
    </row>
    <row r="5606" spans="1:4">
      <c r="A5606" t="s">
        <v>7223</v>
      </c>
      <c r="B5606" t="s">
        <v>380</v>
      </c>
      <c r="C5606" t="s">
        <v>7401</v>
      </c>
      <c r="D5606">
        <v>18.906657</v>
      </c>
    </row>
    <row r="5607" spans="1:4">
      <c r="A5607" t="s">
        <v>7224</v>
      </c>
      <c r="B5607" t="s">
        <v>380</v>
      </c>
      <c r="C5607" t="s">
        <v>7402</v>
      </c>
      <c r="D5607">
        <v>0.233472</v>
      </c>
    </row>
    <row r="5608" spans="1:4">
      <c r="A5608" t="s">
        <v>7225</v>
      </c>
      <c r="B5608" t="s">
        <v>380</v>
      </c>
      <c r="C5608" t="s">
        <v>7403</v>
      </c>
      <c r="D5608">
        <v>8.603759999999999</v>
      </c>
    </row>
    <row r="5609" spans="1:4">
      <c r="A5609" t="s">
        <v>7226</v>
      </c>
      <c r="B5609" t="s">
        <v>380</v>
      </c>
      <c r="C5609" t="s">
        <v>7309</v>
      </c>
      <c r="D5609">
        <v>33.2018</v>
      </c>
    </row>
    <row r="5610" spans="1:4">
      <c r="A5610" t="s">
        <v>7227</v>
      </c>
      <c r="B5610" t="s">
        <v>380</v>
      </c>
      <c r="C5610" t="s">
        <v>7404</v>
      </c>
      <c r="D5610">
        <v>2.05801</v>
      </c>
    </row>
    <row r="5611" spans="1:4">
      <c r="A5611" t="s">
        <v>7228</v>
      </c>
      <c r="B5611" t="s">
        <v>380</v>
      </c>
      <c r="C5611" t="s">
        <v>7310</v>
      </c>
      <c r="D5611">
        <v>184.142763</v>
      </c>
    </row>
    <row r="5612" spans="1:4">
      <c r="A5612" t="s">
        <v>7229</v>
      </c>
      <c r="B5612" t="s">
        <v>380</v>
      </c>
      <c r="C5612" t="s">
        <v>7405</v>
      </c>
      <c r="D5612">
        <v>827.039436</v>
      </c>
    </row>
    <row r="5613" spans="1:4">
      <c r="A5613" t="s">
        <v>7230</v>
      </c>
      <c r="B5613" t="s">
        <v>380</v>
      </c>
      <c r="C5613" t="s">
        <v>7406</v>
      </c>
      <c r="D5613">
        <v>317.994513</v>
      </c>
    </row>
    <row r="5614" spans="1:4">
      <c r="A5614" t="s">
        <v>7231</v>
      </c>
      <c r="B5614" t="s">
        <v>380</v>
      </c>
      <c r="C5614" t="s">
        <v>7407</v>
      </c>
      <c r="D5614">
        <v>93.412828</v>
      </c>
    </row>
    <row r="5615" spans="1:4">
      <c r="A5615" t="s">
        <v>7232</v>
      </c>
      <c r="B5615" t="s">
        <v>380</v>
      </c>
      <c r="C5615" t="s">
        <v>7408</v>
      </c>
      <c r="D5615">
        <v>71.179024</v>
      </c>
    </row>
    <row r="5616" spans="1:4">
      <c r="A5616" t="s">
        <v>7233</v>
      </c>
      <c r="B5616" t="s">
        <v>380</v>
      </c>
      <c r="C5616" t="s">
        <v>7311</v>
      </c>
      <c r="D5616">
        <v>5.14386</v>
      </c>
    </row>
    <row r="5617" spans="1:4">
      <c r="A5617" t="s">
        <v>7234</v>
      </c>
      <c r="B5617" t="s">
        <v>380</v>
      </c>
      <c r="C5617" t="s">
        <v>7409</v>
      </c>
      <c r="D5617">
        <v>1.145155</v>
      </c>
    </row>
    <row r="5618" spans="1:4">
      <c r="A5618" t="s">
        <v>7235</v>
      </c>
      <c r="B5618" t="s">
        <v>380</v>
      </c>
      <c r="C5618" t="s">
        <v>7312</v>
      </c>
      <c r="D5618">
        <v>83.80507299999999</v>
      </c>
    </row>
    <row r="5619" spans="1:4">
      <c r="A5619" t="s">
        <v>7236</v>
      </c>
      <c r="B5619" t="s">
        <v>380</v>
      </c>
      <c r="C5619" t="s">
        <v>7410</v>
      </c>
      <c r="D5619">
        <v>0.052371</v>
      </c>
    </row>
    <row r="5620" spans="1:4">
      <c r="A5620" t="s">
        <v>7237</v>
      </c>
      <c r="B5620" t="s">
        <v>380</v>
      </c>
      <c r="C5620" t="s">
        <v>7411</v>
      </c>
      <c r="D5620">
        <v>87.36112</v>
      </c>
    </row>
    <row r="5621" spans="1:4">
      <c r="A5621" t="s">
        <v>7238</v>
      </c>
      <c r="B5621" t="s">
        <v>380</v>
      </c>
      <c r="C5621" t="s">
        <v>7313</v>
      </c>
      <c r="D5621">
        <v>69.107794</v>
      </c>
    </row>
    <row r="5622" spans="1:4">
      <c r="A5622" t="s">
        <v>7239</v>
      </c>
      <c r="B5622" t="s">
        <v>380</v>
      </c>
      <c r="C5622" t="s">
        <v>7412</v>
      </c>
      <c r="D5622">
        <v>3.080612</v>
      </c>
    </row>
    <row r="5623" spans="1:4">
      <c r="A5623" t="s">
        <v>7240</v>
      </c>
      <c r="B5623" t="s">
        <v>380</v>
      </c>
      <c r="C5623" t="s">
        <v>7413</v>
      </c>
      <c r="D5623">
        <v>4.062821</v>
      </c>
    </row>
    <row r="5624" spans="1:4">
      <c r="A5624" t="s">
        <v>7241</v>
      </c>
      <c r="B5624" t="s">
        <v>380</v>
      </c>
      <c r="C5624" t="s">
        <v>7414</v>
      </c>
      <c r="D5624">
        <v>0.215363</v>
      </c>
    </row>
    <row r="5625" spans="1:4">
      <c r="A5625" t="s">
        <v>7242</v>
      </c>
      <c r="B5625" t="s">
        <v>380</v>
      </c>
      <c r="C5625" t="s">
        <v>7415</v>
      </c>
      <c r="D5625">
        <v>84.798512</v>
      </c>
    </row>
    <row r="5626" spans="1:4">
      <c r="A5626" t="s">
        <v>7243</v>
      </c>
      <c r="B5626" t="s">
        <v>380</v>
      </c>
      <c r="C5626" t="s">
        <v>7416</v>
      </c>
      <c r="D5626">
        <v>39.36437</v>
      </c>
    </row>
    <row r="5627" spans="1:4">
      <c r="A5627" t="s">
        <v>7244</v>
      </c>
      <c r="B5627" t="s">
        <v>380</v>
      </c>
      <c r="C5627" t="s">
        <v>7417</v>
      </c>
      <c r="D5627">
        <v>21.736723</v>
      </c>
    </row>
    <row r="5628" spans="1:4">
      <c r="A5628" t="s">
        <v>7245</v>
      </c>
      <c r="B5628" t="s">
        <v>380</v>
      </c>
      <c r="C5628" t="s">
        <v>7418</v>
      </c>
      <c r="D5628">
        <v>0.708206</v>
      </c>
    </row>
    <row r="5629" spans="1:4">
      <c r="A5629" t="s">
        <v>7246</v>
      </c>
      <c r="B5629" t="s">
        <v>380</v>
      </c>
      <c r="C5629" t="s">
        <v>7314</v>
      </c>
      <c r="D5629">
        <v>32.733289</v>
      </c>
    </row>
    <row r="5630" spans="1:4">
      <c r="A5630" t="s">
        <v>7247</v>
      </c>
      <c r="B5630" t="s">
        <v>380</v>
      </c>
      <c r="C5630" t="s">
        <v>7315</v>
      </c>
      <c r="D5630">
        <v>246.357133</v>
      </c>
    </row>
    <row r="5631" spans="1:4">
      <c r="A5631" t="s">
        <v>7248</v>
      </c>
      <c r="B5631" t="s">
        <v>380</v>
      </c>
      <c r="C5631" t="s">
        <v>7419</v>
      </c>
      <c r="D5631">
        <v>423.639059</v>
      </c>
    </row>
    <row r="5632" spans="1:4">
      <c r="A5632" t="s">
        <v>7249</v>
      </c>
      <c r="B5632" t="s">
        <v>380</v>
      </c>
      <c r="C5632" t="s">
        <v>7420</v>
      </c>
      <c r="D5632">
        <v>13.05172</v>
      </c>
    </row>
    <row r="5633" spans="1:4">
      <c r="A5633" t="s">
        <v>7250</v>
      </c>
      <c r="B5633" t="s">
        <v>380</v>
      </c>
      <c r="C5633" t="s">
        <v>7421</v>
      </c>
      <c r="D5633">
        <v>0.013052</v>
      </c>
    </row>
    <row r="5634" spans="1:4">
      <c r="A5634" t="s">
        <v>7251</v>
      </c>
      <c r="B5634" t="s">
        <v>380</v>
      </c>
      <c r="C5634" t="s">
        <v>7422</v>
      </c>
      <c r="D5634">
        <v>0.554025</v>
      </c>
    </row>
    <row r="5635" spans="1:4">
      <c r="A5635" t="s">
        <v>7252</v>
      </c>
      <c r="B5635" t="s">
        <v>380</v>
      </c>
      <c r="C5635" t="s">
        <v>7423</v>
      </c>
      <c r="D5635">
        <v>8.368957999999999</v>
      </c>
    </row>
    <row r="5636" spans="1:4">
      <c r="A5636" t="s">
        <v>7253</v>
      </c>
      <c r="B5636" t="s">
        <v>380</v>
      </c>
      <c r="C5636" t="s">
        <v>7424</v>
      </c>
      <c r="D5636">
        <v>0.064905</v>
      </c>
    </row>
    <row r="5637" spans="1:4">
      <c r="A5637" t="s">
        <v>7254</v>
      </c>
      <c r="B5637" t="s">
        <v>380</v>
      </c>
      <c r="C5637" t="s">
        <v>7425</v>
      </c>
      <c r="D5637">
        <v>14.766536</v>
      </c>
    </row>
    <row r="5638" spans="1:4">
      <c r="A5638" t="s">
        <v>7255</v>
      </c>
      <c r="B5638" t="s">
        <v>380</v>
      </c>
      <c r="C5638" t="s">
        <v>7426</v>
      </c>
      <c r="D5638">
        <v>2.598426</v>
      </c>
    </row>
    <row r="5639" spans="1:4">
      <c r="A5639" t="s">
        <v>7256</v>
      </c>
      <c r="B5639" t="s">
        <v>380</v>
      </c>
      <c r="C5639" t="s">
        <v>7427</v>
      </c>
      <c r="D5639">
        <v>18.906657</v>
      </c>
    </row>
    <row r="5640" spans="1:4">
      <c r="A5640" t="s">
        <v>7257</v>
      </c>
      <c r="B5640" t="s">
        <v>380</v>
      </c>
      <c r="C5640" t="s">
        <v>7316</v>
      </c>
      <c r="D5640">
        <v>9.436249999999999</v>
      </c>
    </row>
    <row r="5641" spans="1:4">
      <c r="A5641" t="s">
        <v>7258</v>
      </c>
      <c r="B5641" t="s">
        <v>380</v>
      </c>
      <c r="C5641" t="s">
        <v>7428</v>
      </c>
      <c r="D5641">
        <v>34.412311</v>
      </c>
    </row>
    <row r="5642" spans="1:4">
      <c r="A5642" t="s">
        <v>7259</v>
      </c>
      <c r="B5642" t="s">
        <v>380</v>
      </c>
      <c r="C5642" t="s">
        <v>7429</v>
      </c>
      <c r="D5642">
        <v>90.77791499999999</v>
      </c>
    </row>
    <row r="5643" spans="1:4">
      <c r="A5643" t="s">
        <v>7260</v>
      </c>
      <c r="B5643" t="s">
        <v>380</v>
      </c>
      <c r="C5643" t="s">
        <v>7430</v>
      </c>
      <c r="D5643">
        <v>107.489829</v>
      </c>
    </row>
    <row r="5644" spans="1:4">
      <c r="A5644" t="s">
        <v>7261</v>
      </c>
      <c r="B5644" t="s">
        <v>380</v>
      </c>
      <c r="C5644" t="s">
        <v>7431</v>
      </c>
      <c r="D5644">
        <v>134.403018</v>
      </c>
    </row>
    <row r="5645" spans="1:4">
      <c r="A5645" t="s">
        <v>7262</v>
      </c>
      <c r="B5645" t="s">
        <v>380</v>
      </c>
      <c r="C5645" t="s">
        <v>7317</v>
      </c>
      <c r="D5645">
        <v>6.720187</v>
      </c>
    </row>
    <row r="5646" spans="1:4">
      <c r="A5646" t="s">
        <v>7263</v>
      </c>
      <c r="B5646" t="s">
        <v>380</v>
      </c>
      <c r="C5646" t="s">
        <v>7432</v>
      </c>
      <c r="D5646">
        <v>41.127587</v>
      </c>
    </row>
    <row r="5647" spans="1:4">
      <c r="A5647" t="s">
        <v>7264</v>
      </c>
      <c r="B5647" t="s">
        <v>380</v>
      </c>
      <c r="C5647" t="s">
        <v>7433</v>
      </c>
      <c r="D5647">
        <v>222.074163</v>
      </c>
    </row>
    <row r="5648" spans="1:4">
      <c r="A5648" t="s">
        <v>7265</v>
      </c>
      <c r="B5648" t="s">
        <v>380</v>
      </c>
      <c r="C5648" t="s">
        <v>7434</v>
      </c>
      <c r="D5648">
        <v>9.830415</v>
      </c>
    </row>
    <row r="5649" spans="1:4">
      <c r="A5649" t="s">
        <v>7266</v>
      </c>
      <c r="B5649" t="s">
        <v>380</v>
      </c>
      <c r="C5649" t="s">
        <v>7435</v>
      </c>
      <c r="D5649">
        <v>0.12122</v>
      </c>
    </row>
    <row r="5650" spans="1:4">
      <c r="A5650" t="s">
        <v>7267</v>
      </c>
      <c r="B5650" t="s">
        <v>380</v>
      </c>
      <c r="C5650" t="s">
        <v>7436</v>
      </c>
      <c r="D5650">
        <v>7.08635</v>
      </c>
    </row>
    <row r="5651" spans="1:4">
      <c r="A5651" t="s">
        <v>7268</v>
      </c>
      <c r="B5651" t="s">
        <v>380</v>
      </c>
      <c r="C5651" t="s">
        <v>7437</v>
      </c>
      <c r="D5651">
        <v>0.08564099999999999</v>
      </c>
    </row>
    <row r="5652" spans="1:4">
      <c r="A5652" t="s">
        <v>7269</v>
      </c>
      <c r="B5652" t="s">
        <v>380</v>
      </c>
      <c r="C5652" t="s">
        <v>399</v>
      </c>
      <c r="D5652">
        <v>317.993954</v>
      </c>
    </row>
    <row r="5653" spans="1:4">
      <c r="A5653" t="s">
        <v>7270</v>
      </c>
      <c r="B5653" t="s">
        <v>380</v>
      </c>
      <c r="C5653" t="s">
        <v>7438</v>
      </c>
      <c r="D5653">
        <v>7.885014</v>
      </c>
    </row>
    <row r="5654" spans="1:4">
      <c r="A5654" t="s">
        <v>7271</v>
      </c>
      <c r="B5654" t="s">
        <v>380</v>
      </c>
      <c r="C5654" t="s">
        <v>7439</v>
      </c>
      <c r="D5654">
        <v>0.026229</v>
      </c>
    </row>
    <row r="5655" spans="1:4">
      <c r="A5655" t="s">
        <v>7272</v>
      </c>
      <c r="B5655" t="s">
        <v>380</v>
      </c>
      <c r="C5655" t="s">
        <v>7440</v>
      </c>
      <c r="D5655">
        <v>0.428538</v>
      </c>
    </row>
    <row r="5656" spans="1:4">
      <c r="A5656" t="s">
        <v>7273</v>
      </c>
      <c r="B5656" t="s">
        <v>380</v>
      </c>
      <c r="C5656" t="s">
        <v>7441</v>
      </c>
      <c r="D5656">
        <v>0.012097</v>
      </c>
    </row>
    <row r="5657" spans="1:4">
      <c r="A5657" t="s">
        <v>7274</v>
      </c>
      <c r="B5657" t="s">
        <v>380</v>
      </c>
      <c r="C5657" t="s">
        <v>7442</v>
      </c>
      <c r="D5657">
        <v>2.679935</v>
      </c>
    </row>
    <row r="5658" spans="1:4">
      <c r="A5658" t="s">
        <v>7275</v>
      </c>
      <c r="B5658" t="s">
        <v>380</v>
      </c>
      <c r="C5658" t="s">
        <v>7443</v>
      </c>
      <c r="D5658">
        <v>116.876132</v>
      </c>
    </row>
    <row r="5659" spans="1:4">
      <c r="A5659" t="s">
        <v>7276</v>
      </c>
      <c r="B5659" t="s">
        <v>380</v>
      </c>
      <c r="C5659" t="s">
        <v>7444</v>
      </c>
      <c r="D5659">
        <v>0.55153</v>
      </c>
    </row>
    <row r="5660" spans="1:4">
      <c r="A5660" t="s">
        <v>7277</v>
      </c>
      <c r="B5660" t="s">
        <v>380</v>
      </c>
      <c r="C5660" t="s">
        <v>7445</v>
      </c>
      <c r="D5660">
        <v>117.775711</v>
      </c>
    </row>
    <row r="5661" spans="1:4">
      <c r="A5661" t="s">
        <v>7278</v>
      </c>
      <c r="B5661" t="s">
        <v>380</v>
      </c>
      <c r="C5661" t="s">
        <v>7446</v>
      </c>
      <c r="D5661">
        <v>177.650519</v>
      </c>
    </row>
    <row r="5662" spans="1:4">
      <c r="A5662" t="s">
        <v>7279</v>
      </c>
      <c r="B5662" t="s">
        <v>380</v>
      </c>
      <c r="C5662" t="s">
        <v>7447</v>
      </c>
      <c r="D5662">
        <v>431.169024</v>
      </c>
    </row>
    <row r="5663" spans="1:4">
      <c r="A5663" t="s">
        <v>7280</v>
      </c>
      <c r="B5663" t="s">
        <v>380</v>
      </c>
      <c r="C5663" t="s">
        <v>7448</v>
      </c>
      <c r="D5663">
        <v>0.55153</v>
      </c>
    </row>
    <row r="5664" spans="1:4">
      <c r="A5664" t="s">
        <v>7281</v>
      </c>
      <c r="B5664" t="s">
        <v>380</v>
      </c>
      <c r="C5664" t="s">
        <v>7449</v>
      </c>
      <c r="D5664">
        <v>3.031711</v>
      </c>
    </row>
    <row r="5665" spans="1:4">
      <c r="A5665" t="s">
        <v>7282</v>
      </c>
      <c r="B5665" t="s">
        <v>380</v>
      </c>
      <c r="C5665" t="s">
        <v>7450</v>
      </c>
      <c r="D5665">
        <v>1.32986</v>
      </c>
    </row>
    <row r="5666" spans="1:4">
      <c r="A5666" t="s">
        <v>7283</v>
      </c>
      <c r="B5666" t="s">
        <v>380</v>
      </c>
      <c r="C5666" t="s">
        <v>7318</v>
      </c>
      <c r="D5666">
        <v>18.906554</v>
      </c>
    </row>
    <row r="5667" spans="1:4">
      <c r="A5667" t="s">
        <v>7284</v>
      </c>
      <c r="B5667" t="s">
        <v>380</v>
      </c>
      <c r="C5667" t="s">
        <v>7451</v>
      </c>
      <c r="D5667">
        <v>17.106367</v>
      </c>
    </row>
    <row r="5668" spans="1:4">
      <c r="A5668" t="s">
        <v>7285</v>
      </c>
      <c r="B5668" t="s">
        <v>380</v>
      </c>
      <c r="C5668" t="s">
        <v>7452</v>
      </c>
      <c r="D5668">
        <v>11.926791</v>
      </c>
    </row>
    <row r="5669" spans="1:4">
      <c r="A5669" t="s">
        <v>7286</v>
      </c>
      <c r="B5669" t="s">
        <v>380</v>
      </c>
      <c r="C5669" t="s">
        <v>7453</v>
      </c>
      <c r="D5669">
        <v>11.926791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7.7109375" customWidth="1"/>
    <col min="3" max="3" width="26.7109375" customWidth="1"/>
  </cols>
  <sheetData>
    <row r="1" spans="1:3">
      <c r="A1" s="5" t="s">
        <v>7455</v>
      </c>
      <c r="B1" s="5" t="s">
        <v>1576</v>
      </c>
      <c r="C1" s="5" t="s">
        <v>7456</v>
      </c>
    </row>
    <row r="2" spans="1:3">
      <c r="A2" t="s">
        <v>7457</v>
      </c>
      <c r="B2" t="s">
        <v>385</v>
      </c>
      <c r="C2" t="s">
        <v>1582</v>
      </c>
    </row>
    <row r="3" spans="1:3">
      <c r="A3" t="s">
        <v>7457</v>
      </c>
      <c r="B3" t="s">
        <v>384</v>
      </c>
      <c r="C3" t="s">
        <v>1583</v>
      </c>
    </row>
    <row r="4" spans="1:3">
      <c r="A4" t="s">
        <v>7457</v>
      </c>
      <c r="B4" t="s">
        <v>395</v>
      </c>
      <c r="C4" t="s">
        <v>1584</v>
      </c>
    </row>
    <row r="5" spans="1:3">
      <c r="A5" t="s">
        <v>7457</v>
      </c>
      <c r="B5" t="s">
        <v>388</v>
      </c>
      <c r="C5" t="s">
        <v>1585</v>
      </c>
    </row>
    <row r="6" spans="1:3">
      <c r="A6" t="s">
        <v>7457</v>
      </c>
      <c r="B6" t="s">
        <v>392</v>
      </c>
      <c r="C6" t="s">
        <v>1586</v>
      </c>
    </row>
    <row r="7" spans="1:3">
      <c r="A7" t="s">
        <v>7457</v>
      </c>
      <c r="B7" t="s">
        <v>390</v>
      </c>
      <c r="C7" t="s">
        <v>1587</v>
      </c>
    </row>
    <row r="8" spans="1:3">
      <c r="A8" t="s">
        <v>7457</v>
      </c>
      <c r="B8" t="s">
        <v>393</v>
      </c>
      <c r="C8" t="s">
        <v>1588</v>
      </c>
    </row>
    <row r="9" spans="1:3">
      <c r="A9" t="s">
        <v>7457</v>
      </c>
      <c r="B9" t="s">
        <v>387</v>
      </c>
      <c r="C9" t="s">
        <v>1589</v>
      </c>
    </row>
    <row r="10" spans="1:3">
      <c r="A10" t="s">
        <v>7457</v>
      </c>
      <c r="B10" t="s">
        <v>386</v>
      </c>
      <c r="C10" t="s">
        <v>1590</v>
      </c>
    </row>
    <row r="11" spans="1:3">
      <c r="A11" t="s">
        <v>7457</v>
      </c>
      <c r="B11" t="s">
        <v>394</v>
      </c>
      <c r="C11" t="s">
        <v>1591</v>
      </c>
    </row>
    <row r="12" spans="1:3">
      <c r="A12" t="s">
        <v>7457</v>
      </c>
      <c r="B12" t="s">
        <v>1580</v>
      </c>
      <c r="C12" t="s">
        <v>1592</v>
      </c>
    </row>
    <row r="13" spans="1:3">
      <c r="A13" t="s">
        <v>7457</v>
      </c>
      <c r="B13" t="s">
        <v>391</v>
      </c>
      <c r="C13" t="s">
        <v>1593</v>
      </c>
    </row>
    <row r="14" spans="1:3">
      <c r="A14" t="s">
        <v>7457</v>
      </c>
      <c r="B14" t="s">
        <v>389</v>
      </c>
      <c r="C14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00_Dashboard</vt:lpstr>
      <vt:lpstr>01_Transactions</vt:lpstr>
      <vt:lpstr>02_Accounts</vt:lpstr>
      <vt:lpstr>03_BudgetsGoals</vt:lpstr>
      <vt:lpstr>04_Pockets</vt:lpstr>
      <vt:lpstr>90_Settings</vt:lpstr>
      <vt:lpstr>91_Data_ExRates</vt:lpstr>
      <vt:lpstr>91_Data_IDMap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2026-07-29T11:48:18Z</dcterms:created>
  <dcterms:modified xsi:type="dcterms:W3CDTF">2026-07-29T11:48:18Z</dcterms:modified>
</cp:coreProperties>
</file>