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Transactions" sheetId="2" r:id="rId2"/>
    <sheet name="02_TransactionSplits" sheetId="3" r:id="rId3"/>
    <sheet name="10_Accounts" sheetId="4" r:id="rId4"/>
    <sheet name="11_Assets" sheetId="5" r:id="rId5"/>
    <sheet name="12_Categories" sheetId="6" r:id="rId6"/>
    <sheet name="13_Tags" sheetId="7" r:id="rId7"/>
    <sheet name="14_Pockets" sheetId="8" r:id="rId8"/>
    <sheet name="15_Goals" sheetId="9" r:id="rId9"/>
    <sheet name="16_Budgets" sheetId="10" r:id="rId10"/>
    <sheet name="17_People" sheetId="11" r:id="rId11"/>
    <sheet name="20_Recurring" sheetId="12" r:id="rId12"/>
    <sheet name="21_Debts" sheetId="13" r:id="rId13"/>
    <sheet name="22_ExchangeRates" sheetId="14" r:id="rId14"/>
    <sheet name="99_Settings" sheetId="15" r:id="rId15"/>
  </sheets>
  <calcPr calcId="124519" fullCalcOnLoad="1"/>
</workbook>
</file>

<file path=xl/sharedStrings.xml><?xml version="1.0" encoding="utf-8"?>
<sst xmlns="http://schemas.openxmlformats.org/spreadsheetml/2006/main" count="27281" uniqueCount="7147">
  <si>
    <t>💰 FŐ MUTATÓK (🔒 Auto)</t>
  </si>
  <si>
    <t>Összes Bevétel (Income)</t>
  </si>
  <si>
    <t>Összes Kiadás (Expense)</t>
  </si>
  <si>
    <t>Net Worth (Nettó Vagyon)</t>
  </si>
  <si>
    <t>🎯 VIRTUÁLIS ZSEBEK (🔒 Auto)</t>
  </si>
  <si>
    <t>Zsebek Összesen</t>
  </si>
  <si>
    <t>TransactionID</t>
  </si>
  <si>
    <t>Date</t>
  </si>
  <si>
    <t>Type</t>
  </si>
  <si>
    <t>Owner</t>
  </si>
  <si>
    <t>Account</t>
  </si>
  <si>
    <t>ToAccount</t>
  </si>
  <si>
    <t>Amount</t>
  </si>
  <si>
    <t>Currency</t>
  </si>
  <si>
    <t>BaseAmount</t>
  </si>
  <si>
    <t>ExchangeRate</t>
  </si>
  <si>
    <t>Category</t>
  </si>
  <si>
    <t>Pocket</t>
  </si>
  <si>
    <t>Merchant</t>
  </si>
  <si>
    <t>Note</t>
  </si>
  <si>
    <t>Status</t>
  </si>
  <si>
    <t>RecurringID</t>
  </si>
  <si>
    <t>CreatedAt</t>
  </si>
  <si>
    <t>TX-1448</t>
  </si>
  <si>
    <t>TX-1445</t>
  </si>
  <si>
    <t>TX-1446</t>
  </si>
  <si>
    <t>TX-1447</t>
  </si>
  <si>
    <t>TX-1444</t>
  </si>
  <si>
    <t>TX-1443</t>
  </si>
  <si>
    <t>TX-1442</t>
  </si>
  <si>
    <t>TX-1519</t>
  </si>
  <si>
    <t>TX-1518</t>
  </si>
  <si>
    <t>TX-1517</t>
  </si>
  <si>
    <t>TX-1439</t>
  </si>
  <si>
    <t>TX-1441</t>
  </si>
  <si>
    <t>TX-1440</t>
  </si>
  <si>
    <t>TX-1438</t>
  </si>
  <si>
    <t>TX-1437</t>
  </si>
  <si>
    <t>TX-1516</t>
  </si>
  <si>
    <t>TX-1436</t>
  </si>
  <si>
    <t>TX-1435</t>
  </si>
  <si>
    <t>TX-1434</t>
  </si>
  <si>
    <t>TX-1433</t>
  </si>
  <si>
    <t>TX-1432</t>
  </si>
  <si>
    <t>TX-1431</t>
  </si>
  <si>
    <t>TX-1551</t>
  </si>
  <si>
    <t>TX-1430</t>
  </si>
  <si>
    <t>TX-1550</t>
  </si>
  <si>
    <t>TX-1429</t>
  </si>
  <si>
    <t>TX-1428</t>
  </si>
  <si>
    <t>TX-1425</t>
  </si>
  <si>
    <t>TX-1426</t>
  </si>
  <si>
    <t>TX-1427</t>
  </si>
  <si>
    <t>TX-1424</t>
  </si>
  <si>
    <t>TX-1514</t>
  </si>
  <si>
    <t>TX-1515</t>
  </si>
  <si>
    <t>TX-1549</t>
  </si>
  <si>
    <t>TX-1423</t>
  </si>
  <si>
    <t>TX-1422</t>
  </si>
  <si>
    <t>TX-1421</t>
  </si>
  <si>
    <t>TX-1513</t>
  </si>
  <si>
    <t>TX-1420</t>
  </si>
  <si>
    <t>TX-1512</t>
  </si>
  <si>
    <t>TX-1418</t>
  </si>
  <si>
    <t>TX-1419</t>
  </si>
  <si>
    <t>TX-1417</t>
  </si>
  <si>
    <t>TX-1511</t>
  </si>
  <si>
    <t>TX-1510</t>
  </si>
  <si>
    <t>TX-1416</t>
  </si>
  <si>
    <t>TX-1415</t>
  </si>
  <si>
    <t>TX-1548</t>
  </si>
  <si>
    <t>TX-1414</t>
  </si>
  <si>
    <t>TX-1413</t>
  </si>
  <si>
    <t>TX-1412</t>
  </si>
  <si>
    <t>TX-1509</t>
  </si>
  <si>
    <t>TX-1508</t>
  </si>
  <si>
    <t>TX-1411</t>
  </si>
  <si>
    <t>TX-1410</t>
  </si>
  <si>
    <t>TX-1507</t>
  </si>
  <si>
    <t>TX-1506</t>
  </si>
  <si>
    <t>TX-1409</t>
  </si>
  <si>
    <t>TX-1407</t>
  </si>
  <si>
    <t>TX-1408</t>
  </si>
  <si>
    <t>TX-1406</t>
  </si>
  <si>
    <t>TX-1402</t>
  </si>
  <si>
    <t>TX-1404</t>
  </si>
  <si>
    <t>TX-1405</t>
  </si>
  <si>
    <t>TX-1401</t>
  </si>
  <si>
    <t>TX-1403</t>
  </si>
  <si>
    <t>TX-1400</t>
  </si>
  <si>
    <t>TX-1399</t>
  </si>
  <si>
    <t>TX-1398</t>
  </si>
  <si>
    <t>TX-1397</t>
  </si>
  <si>
    <t>TX-1505</t>
  </si>
  <si>
    <t>TX-1396</t>
  </si>
  <si>
    <t>TX-1395</t>
  </si>
  <si>
    <t>TX-1394</t>
  </si>
  <si>
    <t>TX-1392</t>
  </si>
  <si>
    <t>TX-1393</t>
  </si>
  <si>
    <t>TX-1391</t>
  </si>
  <si>
    <t>TX-1390</t>
  </si>
  <si>
    <t>TX-1389</t>
  </si>
  <si>
    <t>TX-1388</t>
  </si>
  <si>
    <t>TX-1387</t>
  </si>
  <si>
    <t>TX-1504</t>
  </si>
  <si>
    <t>TX-1386</t>
  </si>
  <si>
    <t>TX-1385</t>
  </si>
  <si>
    <t>TX-1503</t>
  </si>
  <si>
    <t>TX-1384</t>
  </si>
  <si>
    <t>TX-1383</t>
  </si>
  <si>
    <t>TX-1382</t>
  </si>
  <si>
    <t>TX-1502</t>
  </si>
  <si>
    <t>TX-1379</t>
  </si>
  <si>
    <t>TX-1380</t>
  </si>
  <si>
    <t>TX-1381</t>
  </si>
  <si>
    <t>TX-1501</t>
  </si>
  <si>
    <t>TX-1500</t>
  </si>
  <si>
    <t>TX-1378</t>
  </si>
  <si>
    <t>TX-1374</t>
  </si>
  <si>
    <t>TX-1377</t>
  </si>
  <si>
    <t>TX-1375</t>
  </si>
  <si>
    <t>TX-1376</t>
  </si>
  <si>
    <t>TX-1373</t>
  </si>
  <si>
    <t>TX-1372</t>
  </si>
  <si>
    <t>TX-1371</t>
  </si>
  <si>
    <t>TX-1369</t>
  </si>
  <si>
    <t>TX-1370</t>
  </si>
  <si>
    <t>TX-1499</t>
  </si>
  <si>
    <t>TX-1368</t>
  </si>
  <si>
    <t>TX-1498</t>
  </si>
  <si>
    <t>TX-1367</t>
  </si>
  <si>
    <t>TX-1366</t>
  </si>
  <si>
    <t>TX-1365</t>
  </si>
  <si>
    <t>TX-1364</t>
  </si>
  <si>
    <t>TX-1496</t>
  </si>
  <si>
    <t>TX-1363</t>
  </si>
  <si>
    <t>TX-1497</t>
  </si>
  <si>
    <t>TX-1362</t>
  </si>
  <si>
    <t>TX-1361</t>
  </si>
  <si>
    <t>TX-1360</t>
  </si>
  <si>
    <t>TX-1495</t>
  </si>
  <si>
    <t>TX-1494</t>
  </si>
  <si>
    <t>TX-1359</t>
  </si>
  <si>
    <t>TX-1358</t>
  </si>
  <si>
    <t>TX-1357</t>
  </si>
  <si>
    <t>TX-1356</t>
  </si>
  <si>
    <t>TX-1547</t>
  </si>
  <si>
    <t>TX-1493</t>
  </si>
  <si>
    <t>TX-1492</t>
  </si>
  <si>
    <t>TX-1546</t>
  </si>
  <si>
    <t>TX-1354</t>
  </si>
  <si>
    <t>TX-1355</t>
  </si>
  <si>
    <t>TX-1353</t>
  </si>
  <si>
    <t>TX-1491</t>
  </si>
  <si>
    <t>TX-1545</t>
  </si>
  <si>
    <t>TX-1347</t>
  </si>
  <si>
    <t>TX-1348</t>
  </si>
  <si>
    <t>TX-1349</t>
  </si>
  <si>
    <t>TX-1350</t>
  </si>
  <si>
    <t>TX-1351</t>
  </si>
  <si>
    <t>TX-1352</t>
  </si>
  <si>
    <t>TX-1544</t>
  </si>
  <si>
    <t>TX-1345</t>
  </si>
  <si>
    <t>TX-1340</t>
  </si>
  <si>
    <t>TX-1341</t>
  </si>
  <si>
    <t>TX-1342</t>
  </si>
  <si>
    <t>TX-1343</t>
  </si>
  <si>
    <t>TX-1346</t>
  </si>
  <si>
    <t>TX-1344</t>
  </si>
  <si>
    <t>TX-1339</t>
  </si>
  <si>
    <t>TX-1335</t>
  </si>
  <si>
    <t>TX-1338</t>
  </si>
  <si>
    <t>TX-1336</t>
  </si>
  <si>
    <t>TX-1337</t>
  </si>
  <si>
    <t>TX-1330</t>
  </si>
  <si>
    <t>TX-1331</t>
  </si>
  <si>
    <t>TX-1332</t>
  </si>
  <si>
    <t>TX-1333</t>
  </si>
  <si>
    <t>TX-1334</t>
  </si>
  <si>
    <t>TX-1329</t>
  </si>
  <si>
    <t>TX-1490</t>
  </si>
  <si>
    <t>TX-1328</t>
  </si>
  <si>
    <t>TX-1327</t>
  </si>
  <si>
    <t>TX-1489</t>
  </si>
  <si>
    <t>TX-1543</t>
  </si>
  <si>
    <t>TX-1326</t>
  </si>
  <si>
    <t>TX-1325</t>
  </si>
  <si>
    <t>TX-1542</t>
  </si>
  <si>
    <t>TX-1488</t>
  </si>
  <si>
    <t>TX-1324</t>
  </si>
  <si>
    <t>TX-1487</t>
  </si>
  <si>
    <t>TX-1486</t>
  </si>
  <si>
    <t>TX-1323</t>
  </si>
  <si>
    <t>TX-1322</t>
  </si>
  <si>
    <t>TX-1321</t>
  </si>
  <si>
    <t>TX-1320</t>
  </si>
  <si>
    <t>TX-1541</t>
  </si>
  <si>
    <t>TX-1319</t>
  </si>
  <si>
    <t>TX-1313</t>
  </si>
  <si>
    <t>TX-1314</t>
  </si>
  <si>
    <t>TX-1318</t>
  </si>
  <si>
    <t>TX-1316</t>
  </si>
  <si>
    <t>TX-1317</t>
  </si>
  <si>
    <t>TX-1315</t>
  </si>
  <si>
    <t>TX-1311</t>
  </si>
  <si>
    <t>TX-1312</t>
  </si>
  <si>
    <t>TX-1310</t>
  </si>
  <si>
    <t>TX-1309</t>
  </si>
  <si>
    <t>TX-1308</t>
  </si>
  <si>
    <t>TX-1307</t>
  </si>
  <si>
    <t>TX-1306</t>
  </si>
  <si>
    <t>TX-1305</t>
  </si>
  <si>
    <t>TX-1304</t>
  </si>
  <si>
    <t>TX-1303</t>
  </si>
  <si>
    <t>TX-1302</t>
  </si>
  <si>
    <t>TX-1301</t>
  </si>
  <si>
    <t>TX-1300</t>
  </si>
  <si>
    <t>TX-1299</t>
  </si>
  <si>
    <t>TX-1297</t>
  </si>
  <si>
    <t>TX-1298</t>
  </si>
  <si>
    <t>TX-1296</t>
  </si>
  <si>
    <t>TX-1295</t>
  </si>
  <si>
    <t>TX-1294</t>
  </si>
  <si>
    <t>TX-1293</t>
  </si>
  <si>
    <t>TX-1292</t>
  </si>
  <si>
    <t>TX-1291</t>
  </si>
  <si>
    <t>TX-1290</t>
  </si>
  <si>
    <t>TX-1289</t>
  </si>
  <si>
    <t>TX-1288</t>
  </si>
  <si>
    <t>TX-1286</t>
  </si>
  <si>
    <t>TX-1285</t>
  </si>
  <si>
    <t>TX-1287</t>
  </si>
  <si>
    <t>TX-1284</t>
  </si>
  <si>
    <t>TX-1283</t>
  </si>
  <si>
    <t>TX-1282</t>
  </si>
  <si>
    <t>TX-1281</t>
  </si>
  <si>
    <t>TX-1280</t>
  </si>
  <si>
    <t>TX-1279</t>
  </si>
  <si>
    <t>TX-1278</t>
  </si>
  <si>
    <t>TX-1540</t>
  </si>
  <si>
    <t>TX-1539</t>
  </si>
  <si>
    <t>TX-1277</t>
  </si>
  <si>
    <t>TX-1276</t>
  </si>
  <si>
    <t>TX-1275</t>
  </si>
  <si>
    <t>TX-1274</t>
  </si>
  <si>
    <t>TX-1273</t>
  </si>
  <si>
    <t>TX-1272</t>
  </si>
  <si>
    <t>TX-1271</t>
  </si>
  <si>
    <t>TX-1270</t>
  </si>
  <si>
    <t>TX-1269</t>
  </si>
  <si>
    <t>TX-1538</t>
  </si>
  <si>
    <t>TX-1485</t>
  </si>
  <si>
    <t>TX-1268</t>
  </si>
  <si>
    <t>TX-1537</t>
  </si>
  <si>
    <t>TX-1259</t>
  </si>
  <si>
    <t>TX-1260</t>
  </si>
  <si>
    <t>TX-1261</t>
  </si>
  <si>
    <t>TX-1262</t>
  </si>
  <si>
    <t>TX-1267</t>
  </si>
  <si>
    <t>TX-1264</t>
  </si>
  <si>
    <t>TX-1265</t>
  </si>
  <si>
    <t>TX-1266</t>
  </si>
  <si>
    <t>TX-1257</t>
  </si>
  <si>
    <t>TX-1263</t>
  </si>
  <si>
    <t>TX-1256</t>
  </si>
  <si>
    <t>TX-1258</t>
  </si>
  <si>
    <t>TX-1484</t>
  </si>
  <si>
    <t>TX-1483</t>
  </si>
  <si>
    <t>TX-1255</t>
  </si>
  <si>
    <t>TX-1254</t>
  </si>
  <si>
    <t>TX-1482</t>
  </si>
  <si>
    <t>TX-1253</t>
  </si>
  <si>
    <t>TX-1252</t>
  </si>
  <si>
    <t>TX-1251</t>
  </si>
  <si>
    <t>TX-1249</t>
  </si>
  <si>
    <t>TX-1250</t>
  </si>
  <si>
    <t>TX-1536</t>
  </si>
  <si>
    <t>TX-1248</t>
  </si>
  <si>
    <t>TX-1247</t>
  </si>
  <si>
    <t>TX-1246</t>
  </si>
  <si>
    <t>TX-1245</t>
  </si>
  <si>
    <t>TX-1244</t>
  </si>
  <si>
    <t>TX-1481</t>
  </si>
  <si>
    <t>TX-1243</t>
  </si>
  <si>
    <t>TX-1241</t>
  </si>
  <si>
    <t>TX-1240</t>
  </si>
  <si>
    <t>TX-1242</t>
  </si>
  <si>
    <t>TX-1237</t>
  </si>
  <si>
    <t>TX-1239</t>
  </si>
  <si>
    <t>TX-1238</t>
  </si>
  <si>
    <t>TX-1236</t>
  </si>
  <si>
    <t>TX-1235</t>
  </si>
  <si>
    <t>TX-1234</t>
  </si>
  <si>
    <t>TX-1233</t>
  </si>
  <si>
    <t>TX-1480</t>
  </si>
  <si>
    <t>TX-1479</t>
  </si>
  <si>
    <t>TX-1232</t>
  </si>
  <si>
    <t>TX-1231</t>
  </si>
  <si>
    <t>TX-1535</t>
  </si>
  <si>
    <t>TX-1229</t>
  </si>
  <si>
    <t>TX-1230</t>
  </si>
  <si>
    <t>TX-1478</t>
  </si>
  <si>
    <t>TX-1477</t>
  </si>
  <si>
    <t>TX-1228</t>
  </si>
  <si>
    <t>TX-1227</t>
  </si>
  <si>
    <t>TX-1476</t>
  </si>
  <si>
    <t>TX-1226</t>
  </si>
  <si>
    <t>TX-1475</t>
  </si>
  <si>
    <t>TX-1224</t>
  </si>
  <si>
    <t>TX-1225</t>
  </si>
  <si>
    <t>TX-1223</t>
  </si>
  <si>
    <t>TX-1474</t>
  </si>
  <si>
    <t>TX-1222</t>
  </si>
  <si>
    <t>TX-1221</t>
  </si>
  <si>
    <t>TX-1219</t>
  </si>
  <si>
    <t>TX-1534</t>
  </si>
  <si>
    <t>TX-1220</t>
  </si>
  <si>
    <t>TX-1218</t>
  </si>
  <si>
    <t>TX-1217</t>
  </si>
  <si>
    <t>TX-1473</t>
  </si>
  <si>
    <t>TX-1215</t>
  </si>
  <si>
    <t>TX-1216</t>
  </si>
  <si>
    <t>TX-1214</t>
  </si>
  <si>
    <t>TX-1213</t>
  </si>
  <si>
    <t>TX-1212</t>
  </si>
  <si>
    <t>TX-1211</t>
  </si>
  <si>
    <t>TX-1210</t>
  </si>
  <si>
    <t>TX-1209</t>
  </si>
  <si>
    <t>TX-1208</t>
  </si>
  <si>
    <t>TX-1533</t>
  </si>
  <si>
    <t>TX-1206</t>
  </si>
  <si>
    <t>TX-1205</t>
  </si>
  <si>
    <t>TX-1207</t>
  </si>
  <si>
    <t>TX-1204</t>
  </si>
  <si>
    <t>TX-1203</t>
  </si>
  <si>
    <t>TX-1202</t>
  </si>
  <si>
    <t>TX-1201</t>
  </si>
  <si>
    <t>TX-1472</t>
  </si>
  <si>
    <t>TX-1200</t>
  </si>
  <si>
    <t>TX-1199</t>
  </si>
  <si>
    <t>TX-1198</t>
  </si>
  <si>
    <t>TX-1196</t>
  </si>
  <si>
    <t>TX-1197</t>
  </si>
  <si>
    <t>TX-1532</t>
  </si>
  <si>
    <t>TX-1195</t>
  </si>
  <si>
    <t>TX-1194</t>
  </si>
  <si>
    <t>TX-1193</t>
  </si>
  <si>
    <t>TX-1191</t>
  </si>
  <si>
    <t>TX-1192</t>
  </si>
  <si>
    <t>TX-1189</t>
  </si>
  <si>
    <t>TX-1190</t>
  </si>
  <si>
    <t>TX-1471</t>
  </si>
  <si>
    <t>TX-1188</t>
  </si>
  <si>
    <t>TX-1531</t>
  </si>
  <si>
    <t>TX-1187</t>
  </si>
  <si>
    <t>TX-1186</t>
  </si>
  <si>
    <t>TX-1185</t>
  </si>
  <si>
    <t>TX-1470</t>
  </si>
  <si>
    <t>TX-1184</t>
  </si>
  <si>
    <t>TX-1183</t>
  </si>
  <si>
    <t>TX-1182</t>
  </si>
  <si>
    <t>TX-1469</t>
  </si>
  <si>
    <t>TX-1530</t>
  </si>
  <si>
    <t>TX-1181</t>
  </si>
  <si>
    <t>TX-1180</t>
  </si>
  <si>
    <t>TX-1179</t>
  </si>
  <si>
    <t>TX-1178</t>
  </si>
  <si>
    <t>TX-1468</t>
  </si>
  <si>
    <t>TX-1176</t>
  </si>
  <si>
    <t>TX-1175</t>
  </si>
  <si>
    <t>TX-1177</t>
  </si>
  <si>
    <t>TX-1173</t>
  </si>
  <si>
    <t>TX-1174</t>
  </si>
  <si>
    <t>TX-1172</t>
  </si>
  <si>
    <t>TX-1171</t>
  </si>
  <si>
    <t>TX-1170</t>
  </si>
  <si>
    <t>TX-1169</t>
  </si>
  <si>
    <t>TX-1168</t>
  </si>
  <si>
    <t>TX-1167</t>
  </si>
  <si>
    <t>TX-1466</t>
  </si>
  <si>
    <t>TX-1465</t>
  </si>
  <si>
    <t>TX-1467</t>
  </si>
  <si>
    <t>TX-1165</t>
  </si>
  <si>
    <t>TX-1166</t>
  </si>
  <si>
    <t>TX-1164</t>
  </si>
  <si>
    <t>TX-1163</t>
  </si>
  <si>
    <t>TX-1162</t>
  </si>
  <si>
    <t>TX-1529</t>
  </si>
  <si>
    <t>TX-1161</t>
  </si>
  <si>
    <t>TX-1160</t>
  </si>
  <si>
    <t>TX-1464</t>
  </si>
  <si>
    <t>TX-1158</t>
  </si>
  <si>
    <t>TX-1159</t>
  </si>
  <si>
    <t>TX-1157</t>
  </si>
  <si>
    <t>TX-1156</t>
  </si>
  <si>
    <t>TX-1155</t>
  </si>
  <si>
    <t>TX-1154</t>
  </si>
  <si>
    <t>TX-1153</t>
  </si>
  <si>
    <t>TX-1152</t>
  </si>
  <si>
    <t>TX-1528</t>
  </si>
  <si>
    <t>TX-1151</t>
  </si>
  <si>
    <t>TX-1463</t>
  </si>
  <si>
    <t>TX-1150</t>
  </si>
  <si>
    <t>TX-1149</t>
  </si>
  <si>
    <t>TX-1148</t>
  </si>
  <si>
    <t>TX-1147</t>
  </si>
  <si>
    <t>TX-1146</t>
  </si>
  <si>
    <t>TX-1145</t>
  </si>
  <si>
    <t>TX-1144</t>
  </si>
  <si>
    <t>TX-1462</t>
  </si>
  <si>
    <t>TX-1143</t>
  </si>
  <si>
    <t>TX-1142</t>
  </si>
  <si>
    <t>TX-1141</t>
  </si>
  <si>
    <t>TX-1140</t>
  </si>
  <si>
    <t>TX-1527</t>
  </si>
  <si>
    <t>TX-1139</t>
  </si>
  <si>
    <t>TX-1138</t>
  </si>
  <si>
    <t>TX-1137</t>
  </si>
  <si>
    <t>TX-1136</t>
  </si>
  <si>
    <t>TX-1135</t>
  </si>
  <si>
    <t>TX-1134</t>
  </si>
  <si>
    <t>TX-1133</t>
  </si>
  <si>
    <t>TX-1131</t>
  </si>
  <si>
    <t>TX-1132</t>
  </si>
  <si>
    <t>TX-1130</t>
  </si>
  <si>
    <t>TX-1125</t>
  </si>
  <si>
    <t>TX-1126</t>
  </si>
  <si>
    <t>TX-1127</t>
  </si>
  <si>
    <t>TX-1128</t>
  </si>
  <si>
    <t>TX-1129</t>
  </si>
  <si>
    <t>TX-1122</t>
  </si>
  <si>
    <t>TX-1124</t>
  </si>
  <si>
    <t>TX-1526</t>
  </si>
  <si>
    <t>TX-1123</t>
  </si>
  <si>
    <t>TX-1461</t>
  </si>
  <si>
    <t>TX-1121</t>
  </si>
  <si>
    <t>TX-1120</t>
  </si>
  <si>
    <t>TX-1119</t>
  </si>
  <si>
    <t>TX-1118</t>
  </si>
  <si>
    <t>TX-1460</t>
  </si>
  <si>
    <t>TX-1459</t>
  </si>
  <si>
    <t>TX-1117</t>
  </si>
  <si>
    <t>TX-1525</t>
  </si>
  <si>
    <t>TX-1116</t>
  </si>
  <si>
    <t>TX-1115</t>
  </si>
  <si>
    <t>TX-1114</t>
  </si>
  <si>
    <t>TX-1113</t>
  </si>
  <si>
    <t>TX-1112</t>
  </si>
  <si>
    <t>TX-1111</t>
  </si>
  <si>
    <t>TX-1110</t>
  </si>
  <si>
    <t>TX-1109</t>
  </si>
  <si>
    <t>TX-1108</t>
  </si>
  <si>
    <t>TX-1103</t>
  </si>
  <si>
    <t>TX-1104</t>
  </si>
  <si>
    <t>TX-1107</t>
  </si>
  <si>
    <t>TX-1105</t>
  </si>
  <si>
    <t>TX-1106</t>
  </si>
  <si>
    <t>TX-1102</t>
  </si>
  <si>
    <t>TX-1101</t>
  </si>
  <si>
    <t>TX-1100</t>
  </si>
  <si>
    <t>TX-1099</t>
  </si>
  <si>
    <t>TX-1098</t>
  </si>
  <si>
    <t>TX-1097</t>
  </si>
  <si>
    <t>TX-1096</t>
  </si>
  <si>
    <t>TX-1095</t>
  </si>
  <si>
    <t>TX-1094</t>
  </si>
  <si>
    <t>TX-1093</t>
  </si>
  <si>
    <t>TX-1458</t>
  </si>
  <si>
    <t>TX-1457</t>
  </si>
  <si>
    <t>TX-1092</t>
  </si>
  <si>
    <t>TX-1091</t>
  </si>
  <si>
    <t>TX-1090</t>
  </si>
  <si>
    <t>TX-1089</t>
  </si>
  <si>
    <t>TX-1088</t>
  </si>
  <si>
    <t>TX-1087</t>
  </si>
  <si>
    <t>TX-1086</t>
  </si>
  <si>
    <t>TX-1524</t>
  </si>
  <si>
    <t>TX-1085</t>
  </si>
  <si>
    <t>TX-1084</t>
  </si>
  <si>
    <t>TX-1083</t>
  </si>
  <si>
    <t>TX-1523</t>
  </si>
  <si>
    <t>TX-1082</t>
  </si>
  <si>
    <t>TX-1081</t>
  </si>
  <si>
    <t>TX-1080</t>
  </si>
  <si>
    <t>TX-1522</t>
  </si>
  <si>
    <t>TX-1521</t>
  </si>
  <si>
    <t>TX-1079</t>
  </si>
  <si>
    <t>TX-1078</t>
  </si>
  <si>
    <t>TX-1456</t>
  </si>
  <si>
    <t>TX-1077</t>
  </si>
  <si>
    <t>TX-1076</t>
  </si>
  <si>
    <t>TX-1075</t>
  </si>
  <si>
    <t>TX-1074</t>
  </si>
  <si>
    <t>TX-1073</t>
  </si>
  <si>
    <t>TX-1072</t>
  </si>
  <si>
    <t>TX-1071</t>
  </si>
  <si>
    <t>TX-1070</t>
  </si>
  <si>
    <t>TX-1069</t>
  </si>
  <si>
    <t>TX-1068</t>
  </si>
  <si>
    <t>TX-1065</t>
  </si>
  <si>
    <t>TX-1066</t>
  </si>
  <si>
    <t>TX-1067</t>
  </si>
  <si>
    <t>TX-1064</t>
  </si>
  <si>
    <t>TX-1063</t>
  </si>
  <si>
    <t>TX-1062</t>
  </si>
  <si>
    <t>TX-1061</t>
  </si>
  <si>
    <t>TX-1455</t>
  </si>
  <si>
    <t>TX-1060</t>
  </si>
  <si>
    <t>TX-1059</t>
  </si>
  <si>
    <t>TX-1057</t>
  </si>
  <si>
    <t>TX-1058</t>
  </si>
  <si>
    <t>TX-1056</t>
  </si>
  <si>
    <t>TX-1055</t>
  </si>
  <si>
    <t>TX-1454</t>
  </si>
  <si>
    <t>TX-1054</t>
  </si>
  <si>
    <t>TX-1053</t>
  </si>
  <si>
    <t>TX-1050</t>
  </si>
  <si>
    <t>TX-1051</t>
  </si>
  <si>
    <t>TX-1052</t>
  </si>
  <si>
    <t>TX-1453</t>
  </si>
  <si>
    <t>TX-1049</t>
  </si>
  <si>
    <t>TX-1048</t>
  </si>
  <si>
    <t>TX-1047</t>
  </si>
  <si>
    <t>TX-1046</t>
  </si>
  <si>
    <t>TX-1045</t>
  </si>
  <si>
    <t>TX-1044</t>
  </si>
  <si>
    <t>TX-1043</t>
  </si>
  <si>
    <t>TX-1042</t>
  </si>
  <si>
    <t>TX-1041</t>
  </si>
  <si>
    <t>TX-1039</t>
  </si>
  <si>
    <t>TX-1040</t>
  </si>
  <si>
    <t>TX-1038</t>
  </si>
  <si>
    <t>TX-1037</t>
  </si>
  <si>
    <t>TX-1036</t>
  </si>
  <si>
    <t>TX-1035</t>
  </si>
  <si>
    <t>TX-1033</t>
  </si>
  <si>
    <t>TX-1034</t>
  </si>
  <si>
    <t>TX-1452</t>
  </si>
  <si>
    <t>TX-1032</t>
  </si>
  <si>
    <t>TX-1031</t>
  </si>
  <si>
    <t>TX-1450</t>
  </si>
  <si>
    <t>TX-1451</t>
  </si>
  <si>
    <t>TX-1030</t>
  </si>
  <si>
    <t>TX-1029</t>
  </si>
  <si>
    <t>TX-1027</t>
  </si>
  <si>
    <t>TX-1028</t>
  </si>
  <si>
    <t>TX-1026</t>
  </si>
  <si>
    <t>TX-1025</t>
  </si>
  <si>
    <t>TX-1024</t>
  </si>
  <si>
    <t>TX-1023</t>
  </si>
  <si>
    <t>TX-1022</t>
  </si>
  <si>
    <t>TX-1021</t>
  </si>
  <si>
    <t>TX-1020</t>
  </si>
  <si>
    <t>TX-1019</t>
  </si>
  <si>
    <t>TX-1018</t>
  </si>
  <si>
    <t>TX-1017</t>
  </si>
  <si>
    <t>TX-1016</t>
  </si>
  <si>
    <t>TX-1015</t>
  </si>
  <si>
    <t>TX-1013</t>
  </si>
  <si>
    <t>TX-1014</t>
  </si>
  <si>
    <t>TX-1011</t>
  </si>
  <si>
    <t>TX-1012</t>
  </si>
  <si>
    <t>TX-1010</t>
  </si>
  <si>
    <t>TX-1009</t>
  </si>
  <si>
    <t>TX-1449</t>
  </si>
  <si>
    <t>TX-1008</t>
  </si>
  <si>
    <t>TX-1007</t>
  </si>
  <si>
    <t>TX-1006</t>
  </si>
  <si>
    <t>TX-1005</t>
  </si>
  <si>
    <t>TX-1004</t>
  </si>
  <si>
    <t>TX-1003</t>
  </si>
  <si>
    <t>TX-1520</t>
  </si>
  <si>
    <t>TX-1000</t>
  </si>
  <si>
    <t>TX-1002</t>
  </si>
  <si>
    <t>TX-1001</t>
  </si>
  <si>
    <t>TX-1552</t>
  </si>
  <si>
    <t>TX-1553</t>
  </si>
  <si>
    <t>TX-1554</t>
  </si>
  <si>
    <t>TX-1555</t>
  </si>
  <si>
    <t>TX-1556</t>
  </si>
  <si>
    <t>TX-1557</t>
  </si>
  <si>
    <t>TX-1558</t>
  </si>
  <si>
    <t>TX-1559</t>
  </si>
  <si>
    <t>TX-1560</t>
  </si>
  <si>
    <t>TX-1561</t>
  </si>
  <si>
    <t>TX-1562</t>
  </si>
  <si>
    <t>TX-1563</t>
  </si>
  <si>
    <t>TX-1564</t>
  </si>
  <si>
    <t>TX-1565</t>
  </si>
  <si>
    <t>TX-1566</t>
  </si>
  <si>
    <t>TX-1567</t>
  </si>
  <si>
    <t>TX-1568</t>
  </si>
  <si>
    <t>TX-1569</t>
  </si>
  <si>
    <t>TX-1570</t>
  </si>
  <si>
    <t>TX-1571</t>
  </si>
  <si>
    <t>TX-1572</t>
  </si>
  <si>
    <t>TX-1573</t>
  </si>
  <si>
    <t>TX-1574</t>
  </si>
  <si>
    <t>TX-1576</t>
  </si>
  <si>
    <t>TX-1577</t>
  </si>
  <si>
    <t>TX-1575</t>
  </si>
  <si>
    <t>TX-1578</t>
  </si>
  <si>
    <t>TX-1579</t>
  </si>
  <si>
    <t>TX-1580</t>
  </si>
  <si>
    <t>TX-1581</t>
  </si>
  <si>
    <t>TX-1582</t>
  </si>
  <si>
    <t>TX-1583</t>
  </si>
  <si>
    <t>TX-1584</t>
  </si>
  <si>
    <t>TX-1585</t>
  </si>
  <si>
    <t>TX-1586</t>
  </si>
  <si>
    <t>TX-1587</t>
  </si>
  <si>
    <t>TX-1588</t>
  </si>
  <si>
    <t>TX-1589</t>
  </si>
  <si>
    <t>TX-1593</t>
  </si>
  <si>
    <t>TX-1592</t>
  </si>
  <si>
    <t>TX-1590</t>
  </si>
  <si>
    <t>TX-1591</t>
  </si>
  <si>
    <t>TX-1594</t>
  </si>
  <si>
    <t>TX-1595</t>
  </si>
  <si>
    <t>TX-1596</t>
  </si>
  <si>
    <t>TX-1597</t>
  </si>
  <si>
    <t>TX-1598</t>
  </si>
  <si>
    <t>TX-1599</t>
  </si>
  <si>
    <t>TX-1601</t>
  </si>
  <si>
    <t>TX-1600</t>
  </si>
  <si>
    <t>TX-1602</t>
  </si>
  <si>
    <t>TX-1603</t>
  </si>
  <si>
    <t>TX-1604</t>
  </si>
  <si>
    <t>2024-01-08</t>
  </si>
  <si>
    <t>2024-01-22</t>
  </si>
  <si>
    <t>2024-01-23</t>
  </si>
  <si>
    <t>2024-01-24</t>
  </si>
  <si>
    <t>2024-01-25</t>
  </si>
  <si>
    <t>2024-01-26</t>
  </si>
  <si>
    <t>2024-02-01</t>
  </si>
  <si>
    <t>2024-02-02</t>
  </si>
  <si>
    <t>2024-02-03</t>
  </si>
  <si>
    <t>2024-02-05</t>
  </si>
  <si>
    <t>2024-02-07</t>
  </si>
  <si>
    <t>2024-02-09</t>
  </si>
  <si>
    <t>2024-02-10</t>
  </si>
  <si>
    <t>2024-02-11</t>
  </si>
  <si>
    <t>2024-02-13</t>
  </si>
  <si>
    <t>2024-02-15</t>
  </si>
  <si>
    <t>2024-02-16</t>
  </si>
  <si>
    <t>2024-02-17</t>
  </si>
  <si>
    <t>2024-02-21</t>
  </si>
  <si>
    <t>2024-02-23</t>
  </si>
  <si>
    <t>2024-03-01</t>
  </si>
  <si>
    <t>2024-03-02</t>
  </si>
  <si>
    <t>2024-03-04</t>
  </si>
  <si>
    <t>2024-03-06</t>
  </si>
  <si>
    <t>2024-03-07</t>
  </si>
  <si>
    <t>2024-03-08</t>
  </si>
  <si>
    <t>2024-03-09</t>
  </si>
  <si>
    <t>2024-03-14</t>
  </si>
  <si>
    <t>2024-03-16</t>
  </si>
  <si>
    <t>2024-03-17</t>
  </si>
  <si>
    <t>2024-03-25</t>
  </si>
  <si>
    <t>2024-03-27</t>
  </si>
  <si>
    <t>2024-03-28</t>
  </si>
  <si>
    <t>2024-04-01</t>
  </si>
  <si>
    <t>2024-04-02</t>
  </si>
  <si>
    <t>2024-04-04</t>
  </si>
  <si>
    <t>2024-04-05</t>
  </si>
  <si>
    <t>2024-04-09</t>
  </si>
  <si>
    <t>2024-04-12</t>
  </si>
  <si>
    <t>2024-04-16</t>
  </si>
  <si>
    <t>2024-04-18</t>
  </si>
  <si>
    <t>2024-04-26</t>
  </si>
  <si>
    <t>2024-04-29</t>
  </si>
  <si>
    <t>2024-05-02</t>
  </si>
  <si>
    <t>2024-05-03</t>
  </si>
  <si>
    <t>2024-05-07</t>
  </si>
  <si>
    <t>2024-05-08</t>
  </si>
  <si>
    <t>2024-05-11</t>
  </si>
  <si>
    <t>2024-05-13</t>
  </si>
  <si>
    <t>2024-05-15</t>
  </si>
  <si>
    <t>2024-05-17</t>
  </si>
  <si>
    <t>2024-05-19</t>
  </si>
  <si>
    <t>2024-05-20</t>
  </si>
  <si>
    <t>2024-05-23</t>
  </si>
  <si>
    <t>2024-05-28</t>
  </si>
  <si>
    <t>2024-05-31</t>
  </si>
  <si>
    <t>2024-06-03</t>
  </si>
  <si>
    <t>2024-06-04</t>
  </si>
  <si>
    <t>2024-06-05</t>
  </si>
  <si>
    <t>2024-06-06</t>
  </si>
  <si>
    <t>2024-06-07</t>
  </si>
  <si>
    <t>2024-06-09</t>
  </si>
  <si>
    <t>2024-06-12</t>
  </si>
  <si>
    <t>2024-06-14</t>
  </si>
  <si>
    <t>2024-06-17</t>
  </si>
  <si>
    <t>2024-06-18</t>
  </si>
  <si>
    <t>2024-06-20</t>
  </si>
  <si>
    <t>2024-06-21</t>
  </si>
  <si>
    <t>2024-06-23</t>
  </si>
  <si>
    <t>2024-06-24</t>
  </si>
  <si>
    <t>2024-06-29</t>
  </si>
  <si>
    <t>2024-06-30</t>
  </si>
  <si>
    <t>2024-07-01</t>
  </si>
  <si>
    <t>2024-07-02</t>
  </si>
  <si>
    <t>2024-07-03</t>
  </si>
  <si>
    <t>2024-07-06</t>
  </si>
  <si>
    <t>2024-07-07</t>
  </si>
  <si>
    <t>2024-07-08</t>
  </si>
  <si>
    <t>2024-07-09</t>
  </si>
  <si>
    <t>2024-07-10</t>
  </si>
  <si>
    <t>2024-07-11</t>
  </si>
  <si>
    <t>2024-07-14</t>
  </si>
  <si>
    <t>2024-07-15</t>
  </si>
  <si>
    <t>2024-07-16</t>
  </si>
  <si>
    <t>2024-07-17</t>
  </si>
  <si>
    <t>2024-07-18</t>
  </si>
  <si>
    <t>2024-07-19</t>
  </si>
  <si>
    <t>2024-07-21</t>
  </si>
  <si>
    <t>2024-07-22</t>
  </si>
  <si>
    <t>2024-07-27</t>
  </si>
  <si>
    <t>2024-08-02</t>
  </si>
  <si>
    <t>2024-08-03</t>
  </si>
  <si>
    <t>2024-08-04</t>
  </si>
  <si>
    <t>2024-08-05</t>
  </si>
  <si>
    <t>2024-08-06</t>
  </si>
  <si>
    <t>2024-08-08</t>
  </si>
  <si>
    <t>2024-08-09</t>
  </si>
  <si>
    <t>2024-08-12</t>
  </si>
  <si>
    <t>2024-08-16</t>
  </si>
  <si>
    <t>2024-08-17</t>
  </si>
  <si>
    <t>2024-08-18</t>
  </si>
  <si>
    <t>2024-08-22</t>
  </si>
  <si>
    <t>2024-08-24</t>
  </si>
  <si>
    <t>2024-08-27</t>
  </si>
  <si>
    <t>2024-09-03</t>
  </si>
  <si>
    <t>2024-09-05</t>
  </si>
  <si>
    <t>2024-09-09</t>
  </si>
  <si>
    <t>2024-09-12</t>
  </si>
  <si>
    <t>2024-09-13</t>
  </si>
  <si>
    <t>2024-09-14</t>
  </si>
  <si>
    <t>2024-09-15</t>
  </si>
  <si>
    <t>2024-09-19</t>
  </si>
  <si>
    <t>2024-09-20</t>
  </si>
  <si>
    <t>2024-09-21</t>
  </si>
  <si>
    <t>2024-09-25</t>
  </si>
  <si>
    <t>2024-09-26</t>
  </si>
  <si>
    <t>2024-09-27</t>
  </si>
  <si>
    <t>2024-09-29</t>
  </si>
  <si>
    <t>2024-10-02</t>
  </si>
  <si>
    <t>2024-10-04</t>
  </si>
  <si>
    <t>2024-10-10</t>
  </si>
  <si>
    <t>2024-10-16</t>
  </si>
  <si>
    <t>2024-10-19</t>
  </si>
  <si>
    <t>2024-10-22</t>
  </si>
  <si>
    <t>2024-10-25</t>
  </si>
  <si>
    <t>2024-10-26</t>
  </si>
  <si>
    <t>2024-10-29</t>
  </si>
  <si>
    <t>2024-10-31</t>
  </si>
  <si>
    <t>2024-11-05</t>
  </si>
  <si>
    <t>2024-11-08</t>
  </si>
  <si>
    <t>2024-11-09</t>
  </si>
  <si>
    <t>2024-11-10</t>
  </si>
  <si>
    <t>2024-11-11</t>
  </si>
  <si>
    <t>2024-11-14</t>
  </si>
  <si>
    <t>2024-11-17</t>
  </si>
  <si>
    <t>2024-11-19</t>
  </si>
  <si>
    <t>2024-11-20</t>
  </si>
  <si>
    <t>2024-11-23</t>
  </si>
  <si>
    <t>2024-11-28</t>
  </si>
  <si>
    <t>2024-11-29</t>
  </si>
  <si>
    <t>2024-11-30</t>
  </si>
  <si>
    <t>2024-12-11</t>
  </si>
  <si>
    <t>2024-12-16</t>
  </si>
  <si>
    <t>2024-12-18</t>
  </si>
  <si>
    <t>2024-12-19</t>
  </si>
  <si>
    <t>2024-12-20</t>
  </si>
  <si>
    <t>2024-12-21</t>
  </si>
  <si>
    <t>2024-12-22</t>
  </si>
  <si>
    <t>2024-12-25</t>
  </si>
  <si>
    <t>2024-12-26</t>
  </si>
  <si>
    <t>2024-12-28</t>
  </si>
  <si>
    <t>2024-12-30</t>
  </si>
  <si>
    <t>2025-01-01</t>
  </si>
  <si>
    <t>2025-01-02</t>
  </si>
  <si>
    <t>2025-01-04</t>
  </si>
  <si>
    <t>2025-01-05</t>
  </si>
  <si>
    <t>2025-01-07</t>
  </si>
  <si>
    <t>2025-01-10</t>
  </si>
  <si>
    <t>2025-01-15</t>
  </si>
  <si>
    <t>2025-01-19</t>
  </si>
  <si>
    <t>2025-01-21</t>
  </si>
  <si>
    <t>2025-01-22</t>
  </si>
  <si>
    <t>2025-01-23</t>
  </si>
  <si>
    <t>2025-01-24</t>
  </si>
  <si>
    <t>2025-01-25</t>
  </si>
  <si>
    <t>2025-01-26</t>
  </si>
  <si>
    <t>2025-01-28</t>
  </si>
  <si>
    <t>2025-02-03</t>
  </si>
  <si>
    <t>2025-02-04</t>
  </si>
  <si>
    <t>2025-02-07</t>
  </si>
  <si>
    <t>2025-02-08</t>
  </si>
  <si>
    <t>2025-02-09</t>
  </si>
  <si>
    <t>2025-02-11</t>
  </si>
  <si>
    <t>2025-02-13</t>
  </si>
  <si>
    <t>2025-02-14</t>
  </si>
  <si>
    <t>2025-02-18</t>
  </si>
  <si>
    <t>2025-02-21</t>
  </si>
  <si>
    <t>2025-02-24</t>
  </si>
  <si>
    <t>2025-02-27</t>
  </si>
  <si>
    <t>2025-02-28</t>
  </si>
  <si>
    <t>2025-03-04</t>
  </si>
  <si>
    <t>2025-03-05</t>
  </si>
  <si>
    <t>2025-03-08</t>
  </si>
  <si>
    <t>2025-03-10</t>
  </si>
  <si>
    <t>2025-03-11</t>
  </si>
  <si>
    <t>2025-03-19</t>
  </si>
  <si>
    <t>2025-03-21</t>
  </si>
  <si>
    <t>2025-03-23</t>
  </si>
  <si>
    <t>2025-03-28</t>
  </si>
  <si>
    <t>2025-03-29</t>
  </si>
  <si>
    <t>2025-04-02</t>
  </si>
  <si>
    <t>2025-04-03</t>
  </si>
  <si>
    <t>2025-04-05</t>
  </si>
  <si>
    <t>2025-04-08</t>
  </si>
  <si>
    <t>2025-04-10</t>
  </si>
  <si>
    <t>2025-04-12</t>
  </si>
  <si>
    <t>2025-04-15</t>
  </si>
  <si>
    <t>2025-04-16</t>
  </si>
  <si>
    <t>2025-04-18</t>
  </si>
  <si>
    <t>2025-04-20</t>
  </si>
  <si>
    <t>2025-04-21</t>
  </si>
  <si>
    <t>2025-04-23</t>
  </si>
  <si>
    <t>2025-04-27</t>
  </si>
  <si>
    <t>2025-04-28</t>
  </si>
  <si>
    <t>2025-05-02</t>
  </si>
  <si>
    <t>2025-05-03</t>
  </si>
  <si>
    <t>2025-05-07</t>
  </si>
  <si>
    <t>2025-05-10</t>
  </si>
  <si>
    <t>2025-05-15</t>
  </si>
  <si>
    <t>2025-05-17</t>
  </si>
  <si>
    <t>2025-05-18</t>
  </si>
  <si>
    <t>2025-05-29</t>
  </si>
  <si>
    <t>2025-06-10</t>
  </si>
  <si>
    <t>2025-06-14</t>
  </si>
  <si>
    <t>2025-06-16</t>
  </si>
  <si>
    <t>2025-06-18</t>
  </si>
  <si>
    <t>2025-06-19</t>
  </si>
  <si>
    <t>2025-06-24</t>
  </si>
  <si>
    <t>2025-06-25</t>
  </si>
  <si>
    <t>2025-06-27</t>
  </si>
  <si>
    <t>2025-06-29</t>
  </si>
  <si>
    <t>2025-07-03</t>
  </si>
  <si>
    <t>2025-07-09</t>
  </si>
  <si>
    <t>2025-07-10</t>
  </si>
  <si>
    <t>2025-07-11</t>
  </si>
  <si>
    <t>2025-07-17</t>
  </si>
  <si>
    <t>2025-07-18</t>
  </si>
  <si>
    <t>2025-07-21</t>
  </si>
  <si>
    <t>2025-07-29</t>
  </si>
  <si>
    <t>2025-08-20</t>
  </si>
  <si>
    <t>2025-08-23</t>
  </si>
  <si>
    <t>2025-08-24</t>
  </si>
  <si>
    <t>2025-08-26</t>
  </si>
  <si>
    <t>2025-08-29</t>
  </si>
  <si>
    <t>2025-08-31</t>
  </si>
  <si>
    <t>2025-09-07</t>
  </si>
  <si>
    <t>2025-09-20</t>
  </si>
  <si>
    <t>2025-09-22</t>
  </si>
  <si>
    <t>2025-09-27</t>
  </si>
  <si>
    <t>2025-10-02</t>
  </si>
  <si>
    <t>2025-10-03</t>
  </si>
  <si>
    <t>2025-10-13</t>
  </si>
  <si>
    <t>2025-10-21</t>
  </si>
  <si>
    <t>2025-10-25</t>
  </si>
  <si>
    <t>2025-10-30</t>
  </si>
  <si>
    <t>2025-11-06</t>
  </si>
  <si>
    <t>2025-11-07</t>
  </si>
  <si>
    <t>2025-11-09</t>
  </si>
  <si>
    <t>2025-11-11</t>
  </si>
  <si>
    <t>2025-11-12</t>
  </si>
  <si>
    <t>2025-11-19</t>
  </si>
  <si>
    <t>2025-11-20</t>
  </si>
  <si>
    <t>2025-11-21</t>
  </si>
  <si>
    <t>2025-11-28</t>
  </si>
  <si>
    <t>2025-11-29</t>
  </si>
  <si>
    <t>2025-12-01</t>
  </si>
  <si>
    <t>2025-12-03</t>
  </si>
  <si>
    <t>2025-12-05</t>
  </si>
  <si>
    <t>2025-12-06</t>
  </si>
  <si>
    <t>2025-12-08</t>
  </si>
  <si>
    <t>2025-12-17</t>
  </si>
  <si>
    <t>2025-12-24</t>
  </si>
  <si>
    <t>2025-12-25</t>
  </si>
  <si>
    <t>2025-12-26</t>
  </si>
  <si>
    <t>2025-12-27</t>
  </si>
  <si>
    <t>2026-01-03</t>
  </si>
  <si>
    <t>2026-01-07</t>
  </si>
  <si>
    <t>2026-01-09</t>
  </si>
  <si>
    <t>2026-01-13</t>
  </si>
  <si>
    <t>2026-01-23</t>
  </si>
  <si>
    <t>2026-01-24</t>
  </si>
  <si>
    <t>2026-01-28</t>
  </si>
  <si>
    <t>2026-01-31</t>
  </si>
  <si>
    <t>2026-02-01</t>
  </si>
  <si>
    <t>2026-02-02</t>
  </si>
  <si>
    <t>2026-02-03</t>
  </si>
  <si>
    <t>2026-02-05</t>
  </si>
  <si>
    <t>2026-02-06</t>
  </si>
  <si>
    <t>2026-02-14</t>
  </si>
  <si>
    <t>2026-02-17</t>
  </si>
  <si>
    <t>2026-02-22</t>
  </si>
  <si>
    <t>2026-02-23</t>
  </si>
  <si>
    <t>2026-02-24</t>
  </si>
  <si>
    <t>2026-02-25</t>
  </si>
  <si>
    <t>2026-02-26</t>
  </si>
  <si>
    <t>2026-02-27</t>
  </si>
  <si>
    <t>2026-03-03</t>
  </si>
  <si>
    <t>2026-03-05</t>
  </si>
  <si>
    <t>2026-03-10</t>
  </si>
  <si>
    <t>2026-03-15</t>
  </si>
  <si>
    <t>2026-03-19</t>
  </si>
  <si>
    <t>2026-03-20</t>
  </si>
  <si>
    <t>2026-03-22</t>
  </si>
  <si>
    <t>2026-03-23</t>
  </si>
  <si>
    <t>2026-03-25</t>
  </si>
  <si>
    <t>2026-03-31</t>
  </si>
  <si>
    <t>2026-04-01</t>
  </si>
  <si>
    <t>2026-04-02</t>
  </si>
  <si>
    <t>2026-04-05</t>
  </si>
  <si>
    <t>2026-04-07</t>
  </si>
  <si>
    <t>2026-04-08</t>
  </si>
  <si>
    <t>2026-04-09</t>
  </si>
  <si>
    <t>2026-04-11</t>
  </si>
  <si>
    <t>2026-04-12</t>
  </si>
  <si>
    <t>2026-04-14</t>
  </si>
  <si>
    <t>2026-04-15</t>
  </si>
  <si>
    <t>2026-04-21</t>
  </si>
  <si>
    <t>2026-04-22</t>
  </si>
  <si>
    <t>2026-04-23</t>
  </si>
  <si>
    <t>2026-04-24</t>
  </si>
  <si>
    <t>2026-04-25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</si>
  <si>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</si>
  <si>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</si>
  <si>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</si>
  <si>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</si>
  <si>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</si>
  <si>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</si>
  <si>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</si>
  <si>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</si>
  <si>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2026-05-07</t>
  </si>
  <si>
    <t>2026-05-10</t>
  </si>
  <si>
    <t>2026-05-14</t>
  </si>
  <si>
    <t>2026-05-15</t>
  </si>
  <si>
    <t>2026-05-16</t>
  </si>
  <si>
    <t>2026-05-18</t>
  </si>
  <si>
    <t>2026-05-21</t>
  </si>
  <si>
    <t>2026-05-23</t>
  </si>
  <si>
    <t>2026-05-27</t>
  </si>
  <si>
    <t>2026-05-30</t>
  </si>
  <si>
    <t>2026-06-03</t>
  </si>
  <si>
    <t>2026-06-04</t>
  </si>
  <si>
    <t>2026-06-06</t>
  </si>
  <si>
    <t>2026-06-07</t>
  </si>
  <si>
    <t>2026-06-10</t>
  </si>
  <si>
    <t>2026-06-11</t>
  </si>
  <si>
    <t>2026-06-19</t>
  </si>
  <si>
    <t>2026-06-20</t>
  </si>
  <si>
    <t>2026-06-23</t>
  </si>
  <si>
    <t>2026-06-24</t>
  </si>
  <si>
    <t>2026-06-25</t>
  </si>
  <si>
    <t>2026-06-28</t>
  </si>
  <si>
    <t>2026-06-30</t>
  </si>
  <si>
    <t>2026-07-01</t>
  </si>
  <si>
    <t>2026-07-02</t>
  </si>
  <si>
    <t>2026-07-05</t>
  </si>
  <si>
    <t>2026-07-06</t>
  </si>
  <si>
    <t>2026-07-09</t>
  </si>
  <si>
    <t>2026-07-13</t>
  </si>
  <si>
    <t>2026-07-16</t>
  </si>
  <si>
    <t>2026-07-19</t>
  </si>
  <si>
    <t>Expense</t>
  </si>
  <si>
    <t>Income</t>
  </si>
  <si>
    <t>Transfer</t>
  </si>
  <si>
    <t>Adam</t>
  </si>
  <si>
    <t>OTP számla</t>
  </si>
  <si>
    <t>Készpénz</t>
  </si>
  <si>
    <t>Államkincstár</t>
  </si>
  <si>
    <t>Ajándékutalvány</t>
  </si>
  <si>
    <t>Valuták (EUR)</t>
  </si>
  <si>
    <t>Laptop kaució</t>
  </si>
  <si>
    <t>Valuták (BGN)</t>
  </si>
  <si>
    <t>Dapper wallet</t>
  </si>
  <si>
    <t>PayPal</t>
  </si>
  <si>
    <t>Nexo</t>
  </si>
  <si>
    <t>Wise</t>
  </si>
  <si>
    <t>Revolut Pro</t>
  </si>
  <si>
    <t>Lightyear TBSZ</t>
  </si>
  <si>
    <t>HUF</t>
  </si>
  <si>
    <t>EUR</t>
  </si>
  <si>
    <t>BGN</t>
  </si>
  <si>
    <t>USD</t>
  </si>
  <si>
    <t>Business befektetés</t>
  </si>
  <si>
    <t>Ajándék</t>
  </si>
  <si>
    <t>Közlekedés</t>
  </si>
  <si>
    <t>Étel-ital</t>
  </si>
  <si>
    <t>Luxus, szórakozás</t>
  </si>
  <si>
    <t>Üzletelés</t>
  </si>
  <si>
    <t>Egészség</t>
  </si>
  <si>
    <t>Egyéb</t>
  </si>
  <si>
    <t>Kamat</t>
  </si>
  <si>
    <t>Ösztöndíj</t>
  </si>
  <si>
    <t>Fejlődés, befektetés</t>
  </si>
  <si>
    <t>Utazás</t>
  </si>
  <si>
    <t>Fizetés</t>
  </si>
  <si>
    <t>VitaSteps</t>
  </si>
  <si>
    <t>Bari 2026</t>
  </si>
  <si>
    <t>Vésztartalék</t>
  </si>
  <si>
    <t>Hosszútávú</t>
  </si>
  <si>
    <t>Mezek és táska</t>
  </si>
  <si>
    <t>Futár</t>
  </si>
  <si>
    <t>Gdl</t>
  </si>
  <si>
    <t xml:space="preserve">GDL busz </t>
  </si>
  <si>
    <t>Algir gyros @ Dönercos</t>
  </si>
  <si>
    <t>Dreher @ pajta pub</t>
  </si>
  <si>
    <t>Juventus vendég mez</t>
  </si>
  <si>
    <t>Barcelona zsebpénz - Bözsi mama</t>
  </si>
  <si>
    <t>Barcelona zsebpénz - Zsuzsi mama</t>
  </si>
  <si>
    <t>Strawberry colada @ Blokk</t>
  </si>
  <si>
    <t>Sör @ Blokk</t>
  </si>
  <si>
    <t xml:space="preserve">Daiquiri @ Blokk </t>
  </si>
  <si>
    <t>Gyros</t>
  </si>
  <si>
    <t>Maskulan</t>
  </si>
  <si>
    <t>Piros United mez</t>
  </si>
  <si>
    <t xml:space="preserve">Mate tea </t>
  </si>
  <si>
    <t>Biciklis bérlet</t>
  </si>
  <si>
    <t>GDL</t>
  </si>
  <si>
    <t>Torta Kinga</t>
  </si>
  <si>
    <t>Twentysix</t>
  </si>
  <si>
    <t>EUR átváltas költségei</t>
  </si>
  <si>
    <t>Otp díj</t>
  </si>
  <si>
    <t>Mekdo</t>
  </si>
  <si>
    <t>Karimi gyrostál felezés</t>
  </si>
  <si>
    <t>Pomyva nagyfröccs</t>
  </si>
  <si>
    <t>Borpatika házmester</t>
  </si>
  <si>
    <t>Timi hotpot</t>
  </si>
  <si>
    <t>Anya zsebpénz</t>
  </si>
  <si>
    <t>Volán GDL</t>
  </si>
  <si>
    <t>Pogi @ MVM - kóla</t>
  </si>
  <si>
    <t>Sör @ udvarROM</t>
  </si>
  <si>
    <t>Ajándékutalvány makro xdd</t>
  </si>
  <si>
    <t>Hotpot bevásárlás</t>
  </si>
  <si>
    <t>Kéthavi ösztöndíj</t>
  </si>
  <si>
    <t>tortilla + falafel tál @ Karimi</t>
  </si>
  <si>
    <t>Két sör + borravaló</t>
  </si>
  <si>
    <t>Hotpot bevásárlás+torta törlesztés</t>
  </si>
  <si>
    <t xml:space="preserve"> hotpot</t>
  </si>
  <si>
    <t>Staropramen @ ZICCER</t>
  </si>
  <si>
    <t>Anya trade</t>
  </si>
  <si>
    <t>Shein mate + air fryer</t>
  </si>
  <si>
    <t>Robi</t>
  </si>
  <si>
    <t>Zsuzsi mama locsolás</t>
  </si>
  <si>
    <t xml:space="preserve">Bözsi mama húsvét </t>
  </si>
  <si>
    <t>Condom</t>
  </si>
  <si>
    <t>Falafel king street</t>
  </si>
  <si>
    <t>WHU mez</t>
  </si>
  <si>
    <t>Fagyi @ Naplázs</t>
  </si>
  <si>
    <t xml:space="preserve">Munch </t>
  </si>
  <si>
    <t>Munch szülőknek</t>
  </si>
  <si>
    <t>Mézes (?) - menü (sör + tabasco vodka)</t>
  </si>
  <si>
    <t>Sör + hubi kombó @ GosSip</t>
  </si>
  <si>
    <t>Burger king</t>
  </si>
  <si>
    <t>Soproni @ Albert</t>
  </si>
  <si>
    <t>Búzasör @ GosSip</t>
  </si>
  <si>
    <t>Kör @ all-inn</t>
  </si>
  <si>
    <t>Kálvin kebab</t>
  </si>
  <si>
    <t>Trio pizza munch</t>
  </si>
  <si>
    <t>Mittelwasser pólók részem</t>
  </si>
  <si>
    <t>Bueno automata Corvo</t>
  </si>
  <si>
    <t>Három oli 2 korsó Dreher</t>
  </si>
  <si>
    <t>Zacskos leves muller</t>
  </si>
  <si>
    <t>Tig öregdiák sportnap</t>
  </si>
  <si>
    <t>Kissarkany</t>
  </si>
  <si>
    <t>Kupadöntő</t>
  </si>
  <si>
    <t>Kupadöntő Timinek</t>
  </si>
  <si>
    <t>Fradi - Újpest meccsjegy</t>
  </si>
  <si>
    <t>Meccs pia 2x</t>
  </si>
  <si>
    <t>Mekdo meccs után</t>
  </si>
  <si>
    <t>MU mez</t>
  </si>
  <si>
    <t>Derbi fradikártya</t>
  </si>
  <si>
    <t>Krúbi koncert</t>
  </si>
  <si>
    <t>Juventus mez</t>
  </si>
  <si>
    <t>MÁV bicijegy</t>
  </si>
  <si>
    <t>GDL menetjegy</t>
  </si>
  <si>
    <t>Burgasz Repjegyek</t>
  </si>
  <si>
    <t>Burgasz repjegy Timi</t>
  </si>
  <si>
    <t>GDL buszjegy</t>
  </si>
  <si>
    <t>Gumióvszer</t>
  </si>
  <si>
    <t>500g bio rozskenyér kvaszhoz</t>
  </si>
  <si>
    <t>Úszó bérletre</t>
  </si>
  <si>
    <t>Úszóbérlet</t>
  </si>
  <si>
    <t>Bagoly kola 💀💀</t>
  </si>
  <si>
    <t>Fan vodka sprite</t>
  </si>
  <si>
    <t>Robinson meggyes soproni</t>
  </si>
  <si>
    <t>Fan stella (4dl)</t>
  </si>
  <si>
    <t>Burgasz szállás</t>
  </si>
  <si>
    <t>Timi krém (utalta)</t>
  </si>
  <si>
    <t>Timi harisnya</t>
  </si>
  <si>
    <t>GDL jegy</t>
  </si>
  <si>
    <t xml:space="preserve">Timi krém utalás </t>
  </si>
  <si>
    <t>Legenda: meggysör + tonic</t>
  </si>
  <si>
    <t>Anyám cash</t>
  </si>
  <si>
    <t>Palatinus én</t>
  </si>
  <si>
    <t>Palatinus Peti</t>
  </si>
  <si>
    <t>Palatinus hambi</t>
  </si>
  <si>
    <t>Peti gyros tál Pala</t>
  </si>
  <si>
    <t>Anya Burgasz költőpénz</t>
  </si>
  <si>
    <t>Kölcsön festőre</t>
  </si>
  <si>
    <t>Festő tartozás törlesztő</t>
  </si>
  <si>
    <t>Bagoly: 4 pia (3x tatra + meggysör)</t>
  </si>
  <si>
    <t>Timi fehér rózsa @ Palotakert</t>
  </si>
  <si>
    <t>Zsuzsi mama Montenegró</t>
  </si>
  <si>
    <t>Bözsi mama pénz Montenegró</t>
  </si>
  <si>
    <t>Hanna és Kolos torta</t>
  </si>
  <si>
    <t>Business: Cigi Montenegró</t>
  </si>
  <si>
    <t>Balaton törlesztés Lukácsnak</t>
  </si>
  <si>
    <t>Váltás költsége</t>
  </si>
  <si>
    <t>HUF-EUR váltás Arany change (395)</t>
  </si>
  <si>
    <t>Timitől Leva pénz</t>
  </si>
  <si>
    <t>Timi: szállás, krúbi, cigi</t>
  </si>
  <si>
    <t>Biztosítás Burgasz</t>
  </si>
  <si>
    <t>Gyógykrém shit</t>
  </si>
  <si>
    <t>Timi AC Milan mez</t>
  </si>
  <si>
    <t>Mama Burgasz költőpénz</t>
  </si>
  <si>
    <t>BOJ airport valutaváltás</t>
  </si>
  <si>
    <t>Fagyi beannek</t>
  </si>
  <si>
    <t>Yav-ka pizzák rendelés</t>
  </si>
  <si>
    <t>Burgasz kaja bevásárlás</t>
  </si>
  <si>
    <t>2x2 múzeumok jegy</t>
  </si>
  <si>
    <t>King kong burger</t>
  </si>
  <si>
    <t>Burgasz transzfer</t>
  </si>
  <si>
    <t xml:space="preserve">Burgasz pénzváltó </t>
  </si>
  <si>
    <t>Old Pub kiadós ebéd</t>
  </si>
  <si>
    <t>Buszjegy Burgasz</t>
  </si>
  <si>
    <t>Zöldséges itt</t>
  </si>
  <si>
    <t>Bevásárlas Sunny Market</t>
  </si>
  <si>
    <t xml:space="preserve">Múzeum St. Anastasia sziget </t>
  </si>
  <si>
    <t>St. Anastasia hajók</t>
  </si>
  <si>
    <t>Sand festival Burgas</t>
  </si>
  <si>
    <t>Neszebar buszjegyek</t>
  </si>
  <si>
    <t>Burgasz pékség: croissant és 400g rozskenyér</t>
  </si>
  <si>
    <t>Neszebar wc</t>
  </si>
  <si>
    <t>Neszebar-Burgasz jegyek</t>
  </si>
  <si>
    <t>Hűtőmágnesek Neszebar</t>
  </si>
  <si>
    <t>Lokum reptéren</t>
  </si>
  <si>
    <t xml:space="preserve">Aviomuseum Burgasz </t>
  </si>
  <si>
    <t xml:space="preserve">Reptérre transzfer </t>
  </si>
  <si>
    <t>Omako tálak</t>
  </si>
  <si>
    <t>Burgasz: burek és croissant</t>
  </si>
  <si>
    <t>Vinted LAFC mez</t>
  </si>
  <si>
    <t>Robi Soproni</t>
  </si>
  <si>
    <t>Kinga Krúbi koncert</t>
  </si>
  <si>
    <t>Meki Timinek és nekem</t>
  </si>
  <si>
    <t>Tranzakciós ktsg Nexo (kb.)</t>
  </si>
  <si>
    <t>Top shot teljes cashout</t>
  </si>
  <si>
    <t>Vinted Chelsea mez</t>
  </si>
  <si>
    <t>Szonda és alkohol</t>
  </si>
  <si>
    <t>Bözsi mamától Balatonra</t>
  </si>
  <si>
    <t>Anyától többlet biciklire</t>
  </si>
  <si>
    <t>2 twister kfc</t>
  </si>
  <si>
    <t>Idegenforgalmi adó</t>
  </si>
  <si>
    <t>Bevásárlás Balatonalmádi</t>
  </si>
  <si>
    <t xml:space="preserve">Balatonalmádi Aldi </t>
  </si>
  <si>
    <t>Balatonalmádi Aldi csoportosan</t>
  </si>
  <si>
    <t>Strandbelépő</t>
  </si>
  <si>
    <t>Bevásárlás Máténak</t>
  </si>
  <si>
    <t>Bobozás</t>
  </si>
  <si>
    <t>Amerikai burger @ Balatonalmádi</t>
  </si>
  <si>
    <t>Sajtos-tejfölös Balatonalmádi</t>
  </si>
  <si>
    <t>Timinek icengo</t>
  </si>
  <si>
    <t>Gyros tortilla Balatonalmádi</t>
  </si>
  <si>
    <t>Balaton strandjegy</t>
  </si>
  <si>
    <t>Gödöllői Kéktúra füzetek</t>
  </si>
  <si>
    <t>Pest vármegyebérlet</t>
  </si>
  <si>
    <t>GDL busz</t>
  </si>
  <si>
    <t>Maskulan @ Rossmann GDL</t>
  </si>
  <si>
    <t>Tej + vaj100g + 4db citrom (Timinek)</t>
  </si>
  <si>
    <t>2db sör + 1 péksüti</t>
  </si>
  <si>
    <t>Izrael - Olaszország focimeccs</t>
  </si>
  <si>
    <t>Timi 2. évforduló minigolf</t>
  </si>
  <si>
    <t>Timi 2. évfordulós Bamba Marha</t>
  </si>
  <si>
    <t>Timi 2. évforduló desszert mekdóban</t>
  </si>
  <si>
    <t xml:space="preserve">GDL bringatúra  </t>
  </si>
  <si>
    <t>Bringajegy to GDL</t>
  </si>
  <si>
    <t>GDL helyi</t>
  </si>
  <si>
    <t>Apenta Vásárcsarnok coop</t>
  </si>
  <si>
    <t>Hell</t>
  </si>
  <si>
    <t>Miami heat mez</t>
  </si>
  <si>
    <t>Mirinda @ Bozsik</t>
  </si>
  <si>
    <t>Fradi - Budafok</t>
  </si>
  <si>
    <t>Korcsma</t>
  </si>
  <si>
    <t>Fuzetea @ Budafok</t>
  </si>
  <si>
    <t>Gyömbér @ Oportó</t>
  </si>
  <si>
    <t>Nagyfröccs @ Ponyvaregény</t>
  </si>
  <si>
    <t>Fiúknak kör @ Pinyó</t>
  </si>
  <si>
    <t>Országbérlet</t>
  </si>
  <si>
    <t>Teljesítménytúra XVI</t>
  </si>
  <si>
    <t>Kombucha + kimchi</t>
  </si>
  <si>
    <t>Galatasaray és Werder mez 1. részlet</t>
  </si>
  <si>
    <t>Galatasaray és Werder mez 2. részlet</t>
  </si>
  <si>
    <t>Burger king fogyasztás</t>
  </si>
  <si>
    <t>Szondi utca kínai</t>
  </si>
  <si>
    <t>Anya vízilabda jegyek ára</t>
  </si>
  <si>
    <t>Anya szülinapi orchidea (LIDL)</t>
  </si>
  <si>
    <t>Fröccs én+Bencsik @ Jolly</t>
  </si>
  <si>
    <t>Krumpli Máté+Én @ Tölcsibe</t>
  </si>
  <si>
    <t>3x tiramusu</t>
  </si>
  <si>
    <t>Munch szendó</t>
  </si>
  <si>
    <t>Kávé automatából</t>
  </si>
  <si>
    <t>7db mez by messi107</t>
  </si>
  <si>
    <t>Maskulan, das Kondom</t>
  </si>
  <si>
    <t>Marika néni 10k Magyarék 15k</t>
  </si>
  <si>
    <t>Yerba mate (Rosamonte)</t>
  </si>
  <si>
    <t xml:space="preserve">Lukács Simon </t>
  </si>
  <si>
    <t>Starbucks Lukynak</t>
  </si>
  <si>
    <t xml:space="preserve">Szabaduló Lukácsnak </t>
  </si>
  <si>
    <t>Luky szülinap @ Gyűrű</t>
  </si>
  <si>
    <t>Szabaduló nekem</t>
  </si>
  <si>
    <t>Luky szülinapi @ cafe35szerviz</t>
  </si>
  <si>
    <t>Simon Luky szülinap</t>
  </si>
  <si>
    <t>Starbucks Luky szülinapi</t>
  </si>
  <si>
    <t xml:space="preserve">Luky szülinapi @ Bordizsár </t>
  </si>
  <si>
    <t>Luky szülinap @ cafe35szerviz</t>
  </si>
  <si>
    <t>Szülinapi Bözsi mamától</t>
  </si>
  <si>
    <t>Zsuzsi mama szülinap</t>
  </si>
  <si>
    <t>Pogány koncert 2025.április</t>
  </si>
  <si>
    <t xml:space="preserve">Sült burgonya McDonald's </t>
  </si>
  <si>
    <t>Öltöny eladása</t>
  </si>
  <si>
    <t xml:space="preserve">Timi borkostoló </t>
  </si>
  <si>
    <t>Bor + ajándék bor @ Gyöngyös 5Dudás</t>
  </si>
  <si>
    <t>Temu: biciklis balaclava, bucket hat, játékok</t>
  </si>
  <si>
    <t>Karácsonyi Temu: Timi és fiúk</t>
  </si>
  <si>
    <t>ETF</t>
  </si>
  <si>
    <t>Frei @ Nyugati</t>
  </si>
  <si>
    <t>FTC - BVSC vizilabda</t>
  </si>
  <si>
    <t>Wokngo nagy @ Batthyany</t>
  </si>
  <si>
    <t xml:space="preserve">2x házmester @ Mátra borozó </t>
  </si>
  <si>
    <t>Athééén retúr repjegy</t>
  </si>
  <si>
    <t>Arsenal és Messi mez (Vinted)</t>
  </si>
  <si>
    <t>Pest vármegye bérlet</t>
  </si>
  <si>
    <t>GosSip</t>
  </si>
  <si>
    <t>Luki+Mate+én</t>
  </si>
  <si>
    <t>Karácsonyra üvegek</t>
  </si>
  <si>
    <t>Étcsoki (90g) a likőrbe</t>
  </si>
  <si>
    <t>2sör Robi</t>
  </si>
  <si>
    <t>Mekdós bigmac (kuponnal)</t>
  </si>
  <si>
    <t xml:space="preserve">Anya apa dumaszínház </t>
  </si>
  <si>
    <t>Athén szállás</t>
  </si>
  <si>
    <t>Bözsi mama kari</t>
  </si>
  <si>
    <t>Zsuzsi mama kari</t>
  </si>
  <si>
    <t>Lightyear díj</t>
  </si>
  <si>
    <t>Tabletop simulator</t>
  </si>
  <si>
    <t>Sör + 2jäger</t>
  </si>
  <si>
    <t>Sör @ Fan club</t>
  </si>
  <si>
    <t>2024 növekedés</t>
  </si>
  <si>
    <t>Szoboszlai mez, Vinted</t>
  </si>
  <si>
    <t>IKEA 8db zöldséggolyó</t>
  </si>
  <si>
    <t>Timi IKEA 8db zöldséggolyó</t>
  </si>
  <si>
    <t>Anya Athén költőpénz</t>
  </si>
  <si>
    <t>Gyros @ Mester utca</t>
  </si>
  <si>
    <t>Sajtburesz mekdo</t>
  </si>
  <si>
    <t>Athén biztosítás</t>
  </si>
  <si>
    <t>Mama Athénra</t>
  </si>
  <si>
    <t>Bérlet</t>
  </si>
  <si>
    <t>Athén repjegy ülőhely</t>
  </si>
  <si>
    <t>Transzfer jegyek</t>
  </si>
  <si>
    <t>Faszinak parkolás fizetése reptéren</t>
  </si>
  <si>
    <t>ΠΑΥΛΙΣ gyros+sali+krumpli</t>
  </si>
  <si>
    <t>Szuvenírek Athén (3db hűtőmágnés)</t>
  </si>
  <si>
    <t xml:space="preserve">Gyros rendelés </t>
  </si>
  <si>
    <t>Vinted Milan mez</t>
  </si>
  <si>
    <t>Lukumadesz + süti</t>
  </si>
  <si>
    <t>Olympion étterem</t>
  </si>
  <si>
    <t>Vonaljegyek</t>
  </si>
  <si>
    <t>szuvenírek (olíva)</t>
  </si>
  <si>
    <t>The big bad wolf: szuvlaki</t>
  </si>
  <si>
    <t>ΚΡΙΤΣ péksüti</t>
  </si>
  <si>
    <t>Bozo nem mondja le időben a feliratkozást (smartguide)</t>
  </si>
  <si>
    <t>2 sör @ Trabant</t>
  </si>
  <si>
    <t>Szilvás sör @ Guri</t>
  </si>
  <si>
    <t>2dl bor @ Humbák</t>
  </si>
  <si>
    <t>Dreher @ Paranoir</t>
  </si>
  <si>
    <t>Meki 2db burger</t>
  </si>
  <si>
    <t>Hosszúlépés @ OneBeer</t>
  </si>
  <si>
    <t>2dl bor @ Zuzmó</t>
  </si>
  <si>
    <t>Timi 2,5 éves rózsa</t>
  </si>
  <si>
    <t>Anya ttúra előtti aji</t>
  </si>
  <si>
    <t xml:space="preserve">Téli Margita 20 </t>
  </si>
  <si>
    <t>Margita kupaaa</t>
  </si>
  <si>
    <t xml:space="preserve">Új fülhallgató </t>
  </si>
  <si>
    <t>Utalás díja</t>
  </si>
  <si>
    <t>Tiramisu @ Drönk</t>
  </si>
  <si>
    <t>Timi libegő enyém</t>
  </si>
  <si>
    <t>Timi libegő</t>
  </si>
  <si>
    <t>Timi ramenezés, enyém</t>
  </si>
  <si>
    <t>Timi ramen</t>
  </si>
  <si>
    <t>PMÁP</t>
  </si>
  <si>
    <t xml:space="preserve">Croissant: butter brothers </t>
  </si>
  <si>
    <t>Karimi</t>
  </si>
  <si>
    <t>Ázsiai üdítők Timivel</t>
  </si>
  <si>
    <t>Timi országbérlet</t>
  </si>
  <si>
    <t>Hot dog készítés Bencsiknél</t>
  </si>
  <si>
    <t>Bözsi mama jogsihoz</t>
  </si>
  <si>
    <t>Fradi kártya (ital)</t>
  </si>
  <si>
    <t>Timi rétes</t>
  </si>
  <si>
    <t>Drönk</t>
  </si>
  <si>
    <t>Meki Timinek és nekem + mandula</t>
  </si>
  <si>
    <t>Ruhatár Pog</t>
  </si>
  <si>
    <t>Pogi koncert pia+repohár</t>
  </si>
  <si>
    <t>Starbie munch otthonra</t>
  </si>
  <si>
    <t>Zaza kebab</t>
  </si>
  <si>
    <t>Club32 vodkasprite+hubi</t>
  </si>
  <si>
    <t>Unci @ Hauzol</t>
  </si>
  <si>
    <t>Zsuzsi mama húsvét</t>
  </si>
  <si>
    <t>Noémi húsvét</t>
  </si>
  <si>
    <t>Timi food court pho</t>
  </si>
  <si>
    <t>Keleti food court: hagyományos pekingi tészta</t>
  </si>
  <si>
    <t>Margita K50</t>
  </si>
  <si>
    <t>Masculan + sikosító</t>
  </si>
  <si>
    <t>Anya anyák napja</t>
  </si>
  <si>
    <t>Mekdo bejövős</t>
  </si>
  <si>
    <t>TIG sportnap</t>
  </si>
  <si>
    <t>Timi rizspapír</t>
  </si>
  <si>
    <t>Yerba mate (Pajaritos)</t>
  </si>
  <si>
    <t>2 kör @ All-inn</t>
  </si>
  <si>
    <t>Staropramen @ Andersen</t>
  </si>
  <si>
    <t>Mcdonalds Sertés farm</t>
  </si>
  <si>
    <t>Margita éjszakai 12k</t>
  </si>
  <si>
    <t xml:space="preserve">Timi Palatinus </t>
  </si>
  <si>
    <t>Timi Palatinus hambi</t>
  </si>
  <si>
    <t>Bözsi mama Nyíregyre</t>
  </si>
  <si>
    <t>Nyíregy buszjegy</t>
  </si>
  <si>
    <t>Nyíregy -&gt; Budapest anya+én</t>
  </si>
  <si>
    <t>Egészségügyi vizsga</t>
  </si>
  <si>
    <t>Jurassic world jegy nekem</t>
  </si>
  <si>
    <t>Jurassic world jegy Timi</t>
  </si>
  <si>
    <t>Temu</t>
  </si>
  <si>
    <t>Bringajegyek (Diósjenő)</t>
  </si>
  <si>
    <t>Kerékpárjegy</t>
  </si>
  <si>
    <t>IKEA snack (fahéjas csiga)</t>
  </si>
  <si>
    <t>Tranzakció költség OTP</t>
  </si>
  <si>
    <t>foodora rendelés</t>
  </si>
  <si>
    <t>Gamerland</t>
  </si>
  <si>
    <t>2 szörpös feles @ Pinyó</t>
  </si>
  <si>
    <t>2 sör @ Black Dog</t>
  </si>
  <si>
    <t>Nagyfröccs @ Sarki Tanszék</t>
  </si>
  <si>
    <t xml:space="preserve">Móricz meki </t>
  </si>
  <si>
    <t>Gamerland Peti</t>
  </si>
  <si>
    <t>Anya vonatjegy</t>
  </si>
  <si>
    <t>Zsuzsi mama Esztergom</t>
  </si>
  <si>
    <t>Lukács szülinap könyv</t>
  </si>
  <si>
    <t>Margita éjszakai K20</t>
  </si>
  <si>
    <t>Margita éjszakai K20 Timi</t>
  </si>
  <si>
    <t>Kerékpárjegyek</t>
  </si>
  <si>
    <t>Grillezés Magyarék</t>
  </si>
  <si>
    <t>Grillezés Marika néni</t>
  </si>
  <si>
    <t>bringajegy</t>
  </si>
  <si>
    <t>Cafe Frei Timivel</t>
  </si>
  <si>
    <t>Két sör Timivel</t>
  </si>
  <si>
    <t>Tízórai</t>
  </si>
  <si>
    <t>Fuzetea</t>
  </si>
  <si>
    <t>Masculan</t>
  </si>
  <si>
    <t>Pulcsi</t>
  </si>
  <si>
    <t>Anya szülinap: városi séta</t>
  </si>
  <si>
    <t>Timi japánkert</t>
  </si>
  <si>
    <t>Hervis pulcsi</t>
  </si>
  <si>
    <t>Timi Chinatown</t>
  </si>
  <si>
    <t>Timi burger king krumpli+szósz</t>
  </si>
  <si>
    <t>Guri Keresztapa</t>
  </si>
  <si>
    <t>Halva @ Iran cukraszda</t>
  </si>
  <si>
    <t>Mcdonalds Bigmac+krumpli</t>
  </si>
  <si>
    <t>2 koktél 1 árán @ 7ker</t>
  </si>
  <si>
    <t>7ker fröccs kancsó akció</t>
  </si>
  <si>
    <t>Apa karácsony, Timi szülinap</t>
  </si>
  <si>
    <t>Timi ALDI rózsa</t>
  </si>
  <si>
    <t>Bözsi mama szülinapi</t>
  </si>
  <si>
    <t>Sütikék @ Smankerli</t>
  </si>
  <si>
    <t xml:space="preserve">Süti hozzávalók </t>
  </si>
  <si>
    <t>Burger king Timi</t>
  </si>
  <si>
    <t>Burger King kupon</t>
  </si>
  <si>
    <t>Sör @ HÉTKER</t>
  </si>
  <si>
    <t>2dl bor + shot @ HÉTKER</t>
  </si>
  <si>
    <t>IKEA 8 hotdog Timi</t>
  </si>
  <si>
    <t>3 lottószelvény</t>
  </si>
  <si>
    <t>Nobility ital Timi</t>
  </si>
  <si>
    <t>Állampapír vétel</t>
  </si>
  <si>
    <t>Pinyó 2 tálca spanoknak</t>
  </si>
  <si>
    <t>Lotto</t>
  </si>
  <si>
    <t>Timi ZAIQA</t>
  </si>
  <si>
    <t>Anya karácsonyi ajándék</t>
  </si>
  <si>
    <t>Timi Keleti</t>
  </si>
  <si>
    <t>Google AI Pro</t>
  </si>
  <si>
    <t>Vonatjegy Timi Fehérvár</t>
  </si>
  <si>
    <t>Maskulan @ Sugár DM</t>
  </si>
  <si>
    <t>Telefontok, Timi cuccok</t>
  </si>
  <si>
    <t>XXXLutz ebéd</t>
  </si>
  <si>
    <t>Telki ebéd + xfb ebéd</t>
  </si>
  <si>
    <t>Timi tulipán</t>
  </si>
  <si>
    <t>Timi munch</t>
  </si>
  <si>
    <t>TipForge hirdetések</t>
  </si>
  <si>
    <t>Székház szenya+kinder</t>
  </si>
  <si>
    <t>Telki</t>
  </si>
  <si>
    <t>A Grund Mlsz</t>
  </si>
  <si>
    <t>Kelly's wok Timi</t>
  </si>
  <si>
    <t>Telki ebéd</t>
  </si>
  <si>
    <t>Odor Finium hirdetések</t>
  </si>
  <si>
    <t>Lovi fogadás</t>
  </si>
  <si>
    <t>Gyros Bakáts</t>
  </si>
  <si>
    <t>Üdítők Peti kártya</t>
  </si>
  <si>
    <t>Máté sör + 2dl cserszegi @ 7ker</t>
  </si>
  <si>
    <t>Sör @ Hauzol</t>
  </si>
  <si>
    <t>Rudas Fürdő Timi</t>
  </si>
  <si>
    <t>Rudas Fürdő Timivel</t>
  </si>
  <si>
    <t>Masculan+öblítő</t>
  </si>
  <si>
    <t>Telki capuccino</t>
  </si>
  <si>
    <t>Pho Timi+én</t>
  </si>
  <si>
    <t>Három ori 2 korsó Dreher</t>
  </si>
  <si>
    <t>Timi ázsiai</t>
  </si>
  <si>
    <t>Sió 1L + zsemle</t>
  </si>
  <si>
    <t>Rejtő Jenő: Vanek úr Párizsban (akció @ Libri)</t>
  </si>
  <si>
    <t>Timi kaják március</t>
  </si>
  <si>
    <t>Puskás Aréna üdítők+chips</t>
  </si>
  <si>
    <t>Karimi tortilla</t>
  </si>
  <si>
    <t>Hosszúlépés + kóla @ Borpatika</t>
  </si>
  <si>
    <t>Meta ads</t>
  </si>
  <si>
    <t>Zsuzsi mama húsvét(+kari)</t>
  </si>
  <si>
    <t>MTK - ZTE</t>
  </si>
  <si>
    <t>Tej Timi</t>
  </si>
  <si>
    <t>Masculan + wc papír</t>
  </si>
  <si>
    <t>Twentysix Timivel</t>
  </si>
  <si>
    <t>MK döntő különbözet</t>
  </si>
  <si>
    <t>Timi kaják április</t>
  </si>
  <si>
    <t>WC Bécs xd</t>
  </si>
  <si>
    <t>Buszjegy Bécs</t>
  </si>
  <si>
    <t>Bécs jegy 2x</t>
  </si>
  <si>
    <t>ÖBB Gösser Märzen</t>
  </si>
  <si>
    <t>Kávé @ Grund</t>
  </si>
  <si>
    <t>Philly cheesesteak + krumpli @ Grund</t>
  </si>
  <si>
    <t>BKIK hozzájárulás</t>
  </si>
  <si>
    <t>Vállalkozás létrehozása Laci</t>
  </si>
  <si>
    <t>Első 100-as batch</t>
  </si>
  <si>
    <t>Timi kv</t>
  </si>
  <si>
    <t>Szotyik Örs</t>
  </si>
  <si>
    <t>Gyros + Timi krumpli @ Urban kebab</t>
  </si>
  <si>
    <t>Bari repjegyek</t>
  </si>
  <si>
    <t>Átcsoportosítás</t>
  </si>
  <si>
    <t>Dunapanda</t>
  </si>
  <si>
    <t>Szójaszósz Timi</t>
  </si>
  <si>
    <t>Anya hosszúlépés</t>
  </si>
  <si>
    <t>Google One</t>
  </si>
  <si>
    <t>Masculan @ dm</t>
  </si>
  <si>
    <t>Bari szállás</t>
  </si>
  <si>
    <t>PSG fanzone chips</t>
  </si>
  <si>
    <t>Paprika</t>
  </si>
  <si>
    <t>Bari szállás Timi</t>
  </si>
  <si>
    <t>Kajapénz korrekció Timi</t>
  </si>
  <si>
    <t>Meki bl döntő</t>
  </si>
  <si>
    <t>PAFC mez kiárusítás</t>
  </si>
  <si>
    <t>Üdítő Puskás</t>
  </si>
  <si>
    <t>Bari IFA</t>
  </si>
  <si>
    <t>Legi 4 korsó w/ Máté</t>
  </si>
  <si>
    <t>Kínai @ Kolosy</t>
  </si>
  <si>
    <t>Szivar</t>
  </si>
  <si>
    <t xml:space="preserve">Gyors Máté </t>
  </si>
  <si>
    <t>Peti szülinapi szivar</t>
  </si>
  <si>
    <t>Bari</t>
  </si>
  <si>
    <t>ZenSlot teszt kampány</t>
  </si>
  <si>
    <t>Google pro</t>
  </si>
  <si>
    <t>Szendvics Székház mellett</t>
  </si>
  <si>
    <t>MLSZ Grund night out (ital)</t>
  </si>
  <si>
    <t>Margherita @ Grund (MLSZ night out)</t>
  </si>
  <si>
    <t>Éjszakai coca cola zero</t>
  </si>
  <si>
    <t>Gyros Markónál</t>
  </si>
  <si>
    <t>Masculan @ Rossmann Árkád</t>
  </si>
  <si>
    <t>Timi kajapénz</t>
  </si>
  <si>
    <t>OrdoPure Meta</t>
  </si>
  <si>
    <t>Cafeteria</t>
  </si>
  <si>
    <t>Fizu</t>
  </si>
  <si>
    <t>Bónusz</t>
  </si>
  <si>
    <t>IKEA ital</t>
  </si>
  <si>
    <t>Narandzs</t>
  </si>
  <si>
    <t>OrdoPure kampány 1</t>
  </si>
  <si>
    <t>Gyros @ Szentendre</t>
  </si>
  <si>
    <t>Tata Anya vonat</t>
  </si>
  <si>
    <t>Masculan @ Sugár dm</t>
  </si>
  <si>
    <t>Söri @ Hauzol</t>
  </si>
  <si>
    <t>Gyros tál Akácfa</t>
  </si>
  <si>
    <t>3x jäger + 1x sör @ Hauzol</t>
  </si>
  <si>
    <t>Snacky @ Dunakeszi</t>
  </si>
  <si>
    <t>Fully night market Timivel</t>
  </si>
  <si>
    <t>Completed</t>
  </si>
  <si>
    <t>2026-05-14 12:49:44</t>
  </si>
  <si>
    <t>2026-05-14 12:51:46</t>
  </si>
  <si>
    <t>2026-05-14 12:53:35</t>
  </si>
  <si>
    <t>2026-05-14 12:54:32</t>
  </si>
  <si>
    <t>2026-05-14 13:43:56</t>
  </si>
  <si>
    <t>2026-05-15 08:18:09</t>
  </si>
  <si>
    <t>2026-05-16 15:04:01</t>
  </si>
  <si>
    <t>2026-05-18 08:40:24</t>
  </si>
  <si>
    <t>2026-05-21 15:43:57</t>
  </si>
  <si>
    <t>2026-05-23 19:22:45</t>
  </si>
  <si>
    <t>2026-05-27 11:05:33</t>
  </si>
  <si>
    <t>2026-05-30 06:33:16</t>
  </si>
  <si>
    <t>2026-05-30 13:19:44</t>
  </si>
  <si>
    <t>2026-05-30 13:20:17</t>
  </si>
  <si>
    <t>2026-05-30 13:36:51</t>
  </si>
  <si>
    <t>2026-05-30 13:38:23</t>
  </si>
  <si>
    <t>2026-05-30 20:49:08</t>
  </si>
  <si>
    <t>2026-06-03 19:41:34</t>
  </si>
  <si>
    <t>2026-06-04 18:32:47</t>
  </si>
  <si>
    <t>2026-06-06 09:36:53</t>
  </si>
  <si>
    <t>2026-06-07 16:19:31</t>
  </si>
  <si>
    <t>2026-06-10 23:23:34</t>
  </si>
  <si>
    <t>2026-06-11 10:53:45</t>
  </si>
  <si>
    <t>2026-06-19 16:17:40</t>
  </si>
  <si>
    <t>2026-06-19 16:57:46</t>
  </si>
  <si>
    <t>2026-06-19 16:17:24</t>
  </si>
  <si>
    <t>2026-06-20 12:50:08</t>
  </si>
  <si>
    <t>2026-06-20 12:51:29</t>
  </si>
  <si>
    <t>2026-06-23 13:12:17</t>
  </si>
  <si>
    <t>2026-06-23 14:55:24</t>
  </si>
  <si>
    <t>2026-06-24 11:23:07</t>
  </si>
  <si>
    <t>2026-06-25 11:18:16</t>
  </si>
  <si>
    <t>2026-06-25 11:19:11</t>
  </si>
  <si>
    <t>2026-06-25 11:19:29</t>
  </si>
  <si>
    <t>2026-06-25 11:20:55</t>
  </si>
  <si>
    <t>2026-06-28 11:01:44</t>
  </si>
  <si>
    <t>2026-06-28 17:19:07</t>
  </si>
  <si>
    <t>2026-06-30 17:27:03</t>
  </si>
  <si>
    <t>2026-07-01 19:39:57</t>
  </si>
  <si>
    <t>2026-07-01 15:05:55</t>
  </si>
  <si>
    <t>2026-07-01 13:28:03</t>
  </si>
  <si>
    <t>2026-07-01 13:28:24</t>
  </si>
  <si>
    <t>2026-07-02 18:02:54</t>
  </si>
  <si>
    <t>2026-07-05 16:58:18</t>
  </si>
  <si>
    <t>2026-07-06 17:15:43</t>
  </si>
  <si>
    <t>2026-07-06 17:16:31</t>
  </si>
  <si>
    <t>2026-07-09 08:01:36</t>
  </si>
  <si>
    <t>2026-07-13 16:54:10</t>
  </si>
  <si>
    <t>2026-07-16 17:37:31</t>
  </si>
  <si>
    <t>2026-07-16 17:36:12</t>
  </si>
  <si>
    <t>2026-07-16 17:38:09</t>
  </si>
  <si>
    <t>2026-07-19 10:25:11</t>
  </si>
  <si>
    <t>2026-07-19 10:26:46</t>
  </si>
  <si>
    <t>TransactionID 🔒</t>
  </si>
  <si>
    <t>BaseAmount 🔒</t>
  </si>
  <si>
    <t>ExchangeRate 🔒</t>
  </si>
  <si>
    <t>CreatedAt 🔒</t>
  </si>
  <si>
    <t>SplitID</t>
  </si>
  <si>
    <t>OwnerShare</t>
  </si>
  <si>
    <t>AccountID</t>
  </si>
  <si>
    <t>Name</t>
  </si>
  <si>
    <t>Institution</t>
  </si>
  <si>
    <t>OpeningBalance</t>
  </si>
  <si>
    <t>CurrentBalance</t>
  </si>
  <si>
    <t>IsArchived</t>
  </si>
  <si>
    <t>Color</t>
  </si>
  <si>
    <t>Icon</t>
  </si>
  <si>
    <t>6a04c8576297c4682dd5cacc</t>
  </si>
  <si>
    <t>6a04c8576297c4682dd5cacf</t>
  </si>
  <si>
    <t>6a04c8586297c4682dd5cad4</t>
  </si>
  <si>
    <t>6a04c8636297c4682dd5cbb2</t>
  </si>
  <si>
    <t>6a04c8666297c4682dd5cbf2</t>
  </si>
  <si>
    <t>6a04c8686297c4682dd5cc24</t>
  </si>
  <si>
    <t>6a04c8716297c4682dd5ccbf</t>
  </si>
  <si>
    <t>6a04c8726297c4682dd5cce4</t>
  </si>
  <si>
    <t>6a04c8726297c4682dd5cce6</t>
  </si>
  <si>
    <t>6a04c8736297c4682dd5ccee</t>
  </si>
  <si>
    <t>6a04c8736297c4682dd5ccf3</t>
  </si>
  <si>
    <t>6a04c8746297c4682dd5cd05</t>
  </si>
  <si>
    <t>6a04c8746297c4682dd5cd0a</t>
  </si>
  <si>
    <t>Bank</t>
  </si>
  <si>
    <t>AccountID 🔒</t>
  </si>
  <si>
    <t>CurrentBalance 🔒</t>
  </si>
  <si>
    <t>AssetID</t>
  </si>
  <si>
    <t>Ticker</t>
  </si>
  <si>
    <t>Quantity</t>
  </si>
  <si>
    <t>Notes</t>
  </si>
  <si>
    <t>CategoryID</t>
  </si>
  <si>
    <t>ParentCategory</t>
  </si>
  <si>
    <t>TotalSpent</t>
  </si>
  <si>
    <t>Order</t>
  </si>
  <si>
    <t>6a04c8576297c4682dd5cacd</t>
  </si>
  <si>
    <t>6a04c8576297c4682dd5cad0</t>
  </si>
  <si>
    <t>6a04c8586297c4682dd5cad5</t>
  </si>
  <si>
    <t>6a04c8586297c4682dd5cada</t>
  </si>
  <si>
    <t>6a04c8586297c4682dd5cadd</t>
  </si>
  <si>
    <t>6a04c8586297c4682dd5cae2</t>
  </si>
  <si>
    <t>6a04c8596297c4682dd5cae9</t>
  </si>
  <si>
    <t>6a04c85d6297c4682dd5cb3e</t>
  </si>
  <si>
    <t>6a04c86e6297c4682dd5cc8a</t>
  </si>
  <si>
    <t>6a04c86f6297c4682dd5cc9d</t>
  </si>
  <si>
    <t>6a04c86f6297c4682dd5cc9f</t>
  </si>
  <si>
    <t>6a04c86f6297c4682dd5cca4</t>
  </si>
  <si>
    <t>6a04c8706297c4682dd5ccae</t>
  </si>
  <si>
    <t>6a04c8706297c4682dd5ccb9</t>
  </si>
  <si>
    <t>Both</t>
  </si>
  <si>
    <t>CategoryID 🔒</t>
  </si>
  <si>
    <t>TotalSpent 🔒</t>
  </si>
  <si>
    <t>TagID</t>
  </si>
  <si>
    <t>PocketID</t>
  </si>
  <si>
    <t>GoalAmount</t>
  </si>
  <si>
    <t>Active</t>
  </si>
  <si>
    <t>6a05bfb43fc100a238d0b0df</t>
  </si>
  <si>
    <t>6a05c55603740ac92d5c4e54</t>
  </si>
  <si>
    <t>6a05c5b803740ac92d5c4e56</t>
  </si>
  <si>
    <t>Virtual</t>
  </si>
  <si>
    <t>PocketID 🔒</t>
  </si>
  <si>
    <t>GoalID</t>
  </si>
  <si>
    <t>TargetAmount</t>
  </si>
  <si>
    <t>Deadline</t>
  </si>
  <si>
    <t>Priority</t>
  </si>
  <si>
    <t>BudgetID</t>
  </si>
  <si>
    <t>Month</t>
  </si>
  <si>
    <t>Limit</t>
  </si>
  <si>
    <t>WarningPercentage</t>
  </si>
  <si>
    <t>CriticalPercentage</t>
  </si>
  <si>
    <t>PersonID</t>
  </si>
  <si>
    <t>P-1</t>
  </si>
  <si>
    <t>Primary</t>
  </si>
  <si>
    <t>Frequency</t>
  </si>
  <si>
    <t>NextDate</t>
  </si>
  <si>
    <t>Enabled</t>
  </si>
  <si>
    <t>DebtID</t>
  </si>
  <si>
    <t>From</t>
  </si>
  <si>
    <t>To</t>
  </si>
  <si>
    <t>Settled</t>
  </si>
  <si>
    <t>SettledDate</t>
  </si>
  <si>
    <t>Date_Currency</t>
  </si>
  <si>
    <t>BaseCurrency</t>
  </si>
  <si>
    <t>Rate</t>
  </si>
  <si>
    <t>2026-05-13AUD</t>
  </si>
  <si>
    <t>2026-05-13BRL</t>
  </si>
  <si>
    <t>2026-05-13CAD</t>
  </si>
  <si>
    <t>2026-05-13CHF</t>
  </si>
  <si>
    <t>2026-05-13CNY</t>
  </si>
  <si>
    <t>2026-05-13CZK</t>
  </si>
  <si>
    <t>2026-05-13DKK</t>
  </si>
  <si>
    <t>2026-05-13GBP</t>
  </si>
  <si>
    <t>2026-05-13HKD</t>
  </si>
  <si>
    <t>2026-05-13IDR</t>
  </si>
  <si>
    <t>2026-05-13ILS</t>
  </si>
  <si>
    <t>2026-05-13INR</t>
  </si>
  <si>
    <t>2026-05-13ISK</t>
  </si>
  <si>
    <t>2026-05-13JPY</t>
  </si>
  <si>
    <t>2026-05-13KRW</t>
  </si>
  <si>
    <t>2026-05-13MXN</t>
  </si>
  <si>
    <t>2026-05-13MYR</t>
  </si>
  <si>
    <t>2026-05-13NOK</t>
  </si>
  <si>
    <t>2026-05-13NZD</t>
  </si>
  <si>
    <t>2026-05-13PHP</t>
  </si>
  <si>
    <t>2026-05-13PLN</t>
  </si>
  <si>
    <t>2026-05-13RON</t>
  </si>
  <si>
    <t>2026-05-13SEK</t>
  </si>
  <si>
    <t>2026-05-13SGD</t>
  </si>
  <si>
    <t>2026-05-13THB</t>
  </si>
  <si>
    <t>2026-05-13TRY</t>
  </si>
  <si>
    <t>2026-05-13USD</t>
  </si>
  <si>
    <t>2026-05-13ZAR</t>
  </si>
  <si>
    <t>2026-05-13EUR</t>
  </si>
  <si>
    <t>2026-05-14AUD</t>
  </si>
  <si>
    <t>2026-05-14BRL</t>
  </si>
  <si>
    <t>2026-05-14CAD</t>
  </si>
  <si>
    <t>2026-05-14CHF</t>
  </si>
  <si>
    <t>2026-05-14CNY</t>
  </si>
  <si>
    <t>2026-05-14CZK</t>
  </si>
  <si>
    <t>2026-05-14DKK</t>
  </si>
  <si>
    <t>2026-05-14GBP</t>
  </si>
  <si>
    <t>2026-05-14HKD</t>
  </si>
  <si>
    <t>2026-05-14IDR</t>
  </si>
  <si>
    <t>2026-05-14ILS</t>
  </si>
  <si>
    <t>2026-05-14INR</t>
  </si>
  <si>
    <t>2026-05-14ISK</t>
  </si>
  <si>
    <t>2026-05-14JPY</t>
  </si>
  <si>
    <t>2026-05-14KRW</t>
  </si>
  <si>
    <t>2026-05-14MXN</t>
  </si>
  <si>
    <t>2026-05-14MYR</t>
  </si>
  <si>
    <t>2026-05-14NOK</t>
  </si>
  <si>
    <t>2026-05-14NZD</t>
  </si>
  <si>
    <t>2026-05-14PHP</t>
  </si>
  <si>
    <t>2026-05-14PLN</t>
  </si>
  <si>
    <t>2026-05-14RON</t>
  </si>
  <si>
    <t>2026-05-14SEK</t>
  </si>
  <si>
    <t>2026-05-14SGD</t>
  </si>
  <si>
    <t>2026-05-14THB</t>
  </si>
  <si>
    <t>2026-05-14TRY</t>
  </si>
  <si>
    <t>2026-05-14USD</t>
  </si>
  <si>
    <t>2026-05-14ZAR</t>
  </si>
  <si>
    <t>2026-05-14EUR</t>
  </si>
  <si>
    <t>2026-05-15EUR</t>
  </si>
  <si>
    <t>2026-05-15AED</t>
  </si>
  <si>
    <t>2026-05-15AFN</t>
  </si>
  <si>
    <t>2026-05-15ALL</t>
  </si>
  <si>
    <t>2026-05-15AMD</t>
  </si>
  <si>
    <t>2026-05-15ANG</t>
  </si>
  <si>
    <t>2026-05-15AOA</t>
  </si>
  <si>
    <t>2026-05-15ARS</t>
  </si>
  <si>
    <t>2026-05-15AUD</t>
  </si>
  <si>
    <t>2026-05-15AWG</t>
  </si>
  <si>
    <t>2026-05-15AZN</t>
  </si>
  <si>
    <t>2026-05-15BAM</t>
  </si>
  <si>
    <t>2026-05-15BBD</t>
  </si>
  <si>
    <t>2026-05-15BDT</t>
  </si>
  <si>
    <t>2026-05-15BGN</t>
  </si>
  <si>
    <t>2026-05-15BHD</t>
  </si>
  <si>
    <t>2026-05-15BIF</t>
  </si>
  <si>
    <t>2026-05-15BMD</t>
  </si>
  <si>
    <t>2026-05-15BND</t>
  </si>
  <si>
    <t>2026-05-15BOB</t>
  </si>
  <si>
    <t>2026-05-15BRL</t>
  </si>
  <si>
    <t>2026-05-15BSD</t>
  </si>
  <si>
    <t>2026-05-15BTN</t>
  </si>
  <si>
    <t>2026-05-15BWP</t>
  </si>
  <si>
    <t>2026-05-15BYN</t>
  </si>
  <si>
    <t>2026-05-15BZD</t>
  </si>
  <si>
    <t>2026-05-15CAD</t>
  </si>
  <si>
    <t>2026-05-15CDF</t>
  </si>
  <si>
    <t>2026-05-15CHF</t>
  </si>
  <si>
    <t>2026-05-15CLF</t>
  </si>
  <si>
    <t>2026-05-15CLP</t>
  </si>
  <si>
    <t>2026-05-15CNH</t>
  </si>
  <si>
    <t>2026-05-15CNY</t>
  </si>
  <si>
    <t>2026-05-15COP</t>
  </si>
  <si>
    <t>2026-05-15CRC</t>
  </si>
  <si>
    <t>2026-05-15CUP</t>
  </si>
  <si>
    <t>2026-05-15CVE</t>
  </si>
  <si>
    <t>2026-05-15CZK</t>
  </si>
  <si>
    <t>2026-05-15DJF</t>
  </si>
  <si>
    <t>2026-05-15DKK</t>
  </si>
  <si>
    <t>2026-05-15DOP</t>
  </si>
  <si>
    <t>2026-05-15DZD</t>
  </si>
  <si>
    <t>2026-05-15EGP</t>
  </si>
  <si>
    <t>2026-05-15ERN</t>
  </si>
  <si>
    <t>2026-05-15ETB</t>
  </si>
  <si>
    <t>2026-05-15FJD</t>
  </si>
  <si>
    <t>2026-05-15FKP</t>
  </si>
  <si>
    <t>2026-05-15FOK</t>
  </si>
  <si>
    <t>2026-05-15GBP</t>
  </si>
  <si>
    <t>2026-05-15GEL</t>
  </si>
  <si>
    <t>2026-05-15GGP</t>
  </si>
  <si>
    <t>2026-05-15GHS</t>
  </si>
  <si>
    <t>2026-05-15GIP</t>
  </si>
  <si>
    <t>2026-05-15GMD</t>
  </si>
  <si>
    <t>2026-05-15GNF</t>
  </si>
  <si>
    <t>2026-05-15GTQ</t>
  </si>
  <si>
    <t>2026-05-15GYD</t>
  </si>
  <si>
    <t>2026-05-15HKD</t>
  </si>
  <si>
    <t>2026-05-15HNL</t>
  </si>
  <si>
    <t>2026-05-15HRK</t>
  </si>
  <si>
    <t>2026-05-15HTG</t>
  </si>
  <si>
    <t>2026-05-15IDR</t>
  </si>
  <si>
    <t>2026-05-15ILS</t>
  </si>
  <si>
    <t>2026-05-15IMP</t>
  </si>
  <si>
    <t>2026-05-15INR</t>
  </si>
  <si>
    <t>2026-05-15IQD</t>
  </si>
  <si>
    <t>2026-05-15IRR</t>
  </si>
  <si>
    <t>2026-05-15ISK</t>
  </si>
  <si>
    <t>2026-05-15JEP</t>
  </si>
  <si>
    <t>2026-05-15JMD</t>
  </si>
  <si>
    <t>2026-05-15JOD</t>
  </si>
  <si>
    <t>2026-05-15JPY</t>
  </si>
  <si>
    <t>2026-05-15KES</t>
  </si>
  <si>
    <t>2026-05-15KGS</t>
  </si>
  <si>
    <t>2026-05-15KHR</t>
  </si>
  <si>
    <t>2026-05-15KID</t>
  </si>
  <si>
    <t>2026-05-15KMF</t>
  </si>
  <si>
    <t>2026-05-15KRW</t>
  </si>
  <si>
    <t>2026-05-15KWD</t>
  </si>
  <si>
    <t>2026-05-15KYD</t>
  </si>
  <si>
    <t>2026-05-15KZT</t>
  </si>
  <si>
    <t>2026-05-15LAK</t>
  </si>
  <si>
    <t>2026-05-15LBP</t>
  </si>
  <si>
    <t>2026-05-15LKR</t>
  </si>
  <si>
    <t>2026-05-15LRD</t>
  </si>
  <si>
    <t>2026-05-15LSL</t>
  </si>
  <si>
    <t>2026-05-15LYD</t>
  </si>
  <si>
    <t>2026-05-15MAD</t>
  </si>
  <si>
    <t>2026-05-15MDL</t>
  </si>
  <si>
    <t>2026-05-15MGA</t>
  </si>
  <si>
    <t>2026-05-15MKD</t>
  </si>
  <si>
    <t>2026-05-15MMK</t>
  </si>
  <si>
    <t>2026-05-15MNT</t>
  </si>
  <si>
    <t>2026-05-15MOP</t>
  </si>
  <si>
    <t>2026-05-15MRU</t>
  </si>
  <si>
    <t>2026-05-15MUR</t>
  </si>
  <si>
    <t>2026-05-15MVR</t>
  </si>
  <si>
    <t>2026-05-15MWK</t>
  </si>
  <si>
    <t>2026-05-15MXN</t>
  </si>
  <si>
    <t>2026-05-15MYR</t>
  </si>
  <si>
    <t>2026-05-15MZN</t>
  </si>
  <si>
    <t>2026-05-15NAD</t>
  </si>
  <si>
    <t>2026-05-15NGN</t>
  </si>
  <si>
    <t>2026-05-15NIO</t>
  </si>
  <si>
    <t>2026-05-15NOK</t>
  </si>
  <si>
    <t>2026-05-15NPR</t>
  </si>
  <si>
    <t>2026-05-15NZD</t>
  </si>
  <si>
    <t>2026-05-15OMR</t>
  </si>
  <si>
    <t>2026-05-15PAB</t>
  </si>
  <si>
    <t>2026-05-15PEN</t>
  </si>
  <si>
    <t>2026-05-15PGK</t>
  </si>
  <si>
    <t>2026-05-15PHP</t>
  </si>
  <si>
    <t>2026-05-15PKR</t>
  </si>
  <si>
    <t>2026-05-15PLN</t>
  </si>
  <si>
    <t>2026-05-15PYG</t>
  </si>
  <si>
    <t>2026-05-15QAR</t>
  </si>
  <si>
    <t>2026-05-15RON</t>
  </si>
  <si>
    <t>2026-05-15RSD</t>
  </si>
  <si>
    <t>2026-05-15RUB</t>
  </si>
  <si>
    <t>2026-05-15RWF</t>
  </si>
  <si>
    <t>2026-05-15SAR</t>
  </si>
  <si>
    <t>2026-05-15SBD</t>
  </si>
  <si>
    <t>2026-05-15SCR</t>
  </si>
  <si>
    <t>2026-05-15SDG</t>
  </si>
  <si>
    <t>2026-05-15SEK</t>
  </si>
  <si>
    <t>2026-05-15SGD</t>
  </si>
  <si>
    <t>2026-05-15SHP</t>
  </si>
  <si>
    <t>2026-05-15SLE</t>
  </si>
  <si>
    <t>2026-05-15SLL</t>
  </si>
  <si>
    <t>2026-05-15SOS</t>
  </si>
  <si>
    <t>2026-05-15SRD</t>
  </si>
  <si>
    <t>2026-05-15SSP</t>
  </si>
  <si>
    <t>2026-05-15STN</t>
  </si>
  <si>
    <t>2026-05-15SYP</t>
  </si>
  <si>
    <t>2026-05-15SZL</t>
  </si>
  <si>
    <t>2026-05-15THB</t>
  </si>
  <si>
    <t>2026-05-15TJS</t>
  </si>
  <si>
    <t>2026-05-15TMT</t>
  </si>
  <si>
    <t>2026-05-15TND</t>
  </si>
  <si>
    <t>2026-05-15TOP</t>
  </si>
  <si>
    <t>2026-05-15TRY</t>
  </si>
  <si>
    <t>2026-05-15TTD</t>
  </si>
  <si>
    <t>2026-05-15TVD</t>
  </si>
  <si>
    <t>2026-05-15TWD</t>
  </si>
  <si>
    <t>2026-05-15TZS</t>
  </si>
  <si>
    <t>2026-05-15UAH</t>
  </si>
  <si>
    <t>2026-05-15UGX</t>
  </si>
  <si>
    <t>2026-05-15USD</t>
  </si>
  <si>
    <t>2026-05-15UYU</t>
  </si>
  <si>
    <t>2026-05-15UZS</t>
  </si>
  <si>
    <t>2026-05-15VES</t>
  </si>
  <si>
    <t>2026-05-15VND</t>
  </si>
  <si>
    <t>2026-05-15VUV</t>
  </si>
  <si>
    <t>2026-05-15WST</t>
  </si>
  <si>
    <t>2026-05-15XAF</t>
  </si>
  <si>
    <t>2026-05-15XCD</t>
  </si>
  <si>
    <t>2026-05-15XCG</t>
  </si>
  <si>
    <t>2026-05-15XDR</t>
  </si>
  <si>
    <t>2026-05-15XOF</t>
  </si>
  <si>
    <t>2026-05-15XPF</t>
  </si>
  <si>
    <t>2026-05-15YER</t>
  </si>
  <si>
    <t>2026-05-15ZAR</t>
  </si>
  <si>
    <t>2026-05-15ZMW</t>
  </si>
  <si>
    <t>2026-05-15ZWG</t>
  </si>
  <si>
    <t>2026-05-15ZWL</t>
  </si>
  <si>
    <t>2026-05-16EUR</t>
  </si>
  <si>
    <t>2026-05-16AED</t>
  </si>
  <si>
    <t>2026-05-16AFN</t>
  </si>
  <si>
    <t>2026-05-16ALL</t>
  </si>
  <si>
    <t>2026-05-16AMD</t>
  </si>
  <si>
    <t>2026-05-16ANG</t>
  </si>
  <si>
    <t>2026-05-16AOA</t>
  </si>
  <si>
    <t>2026-05-16ARS</t>
  </si>
  <si>
    <t>2026-05-16AUD</t>
  </si>
  <si>
    <t>2026-05-16AWG</t>
  </si>
  <si>
    <t>2026-05-16AZN</t>
  </si>
  <si>
    <t>2026-05-16BAM</t>
  </si>
  <si>
    <t>2026-05-16BBD</t>
  </si>
  <si>
    <t>2026-05-16BDT</t>
  </si>
  <si>
    <t>2026-05-16BGN</t>
  </si>
  <si>
    <t>2026-05-16BHD</t>
  </si>
  <si>
    <t>2026-05-16BIF</t>
  </si>
  <si>
    <t>2026-05-16BMD</t>
  </si>
  <si>
    <t>2026-05-16BND</t>
  </si>
  <si>
    <t>2026-05-16BOB</t>
  </si>
  <si>
    <t>2026-05-16BRL</t>
  </si>
  <si>
    <t>2026-05-16BSD</t>
  </si>
  <si>
    <t>2026-05-16BTN</t>
  </si>
  <si>
    <t>2026-05-16BWP</t>
  </si>
  <si>
    <t>2026-05-16BYN</t>
  </si>
  <si>
    <t>2026-05-16BZD</t>
  </si>
  <si>
    <t>2026-05-16CAD</t>
  </si>
  <si>
    <t>2026-05-16CDF</t>
  </si>
  <si>
    <t>2026-05-16CHF</t>
  </si>
  <si>
    <t>2026-05-16CLF</t>
  </si>
  <si>
    <t>2026-05-16CLP</t>
  </si>
  <si>
    <t>2026-05-16CNH</t>
  </si>
  <si>
    <t>2026-05-16CNY</t>
  </si>
  <si>
    <t>2026-05-16COP</t>
  </si>
  <si>
    <t>2026-05-16CRC</t>
  </si>
  <si>
    <t>2026-05-16CUP</t>
  </si>
  <si>
    <t>2026-05-16CVE</t>
  </si>
  <si>
    <t>2026-05-16CZK</t>
  </si>
  <si>
    <t>2026-05-16DJF</t>
  </si>
  <si>
    <t>2026-05-16DKK</t>
  </si>
  <si>
    <t>2026-05-16DOP</t>
  </si>
  <si>
    <t>2026-05-16DZD</t>
  </si>
  <si>
    <t>2026-05-16EGP</t>
  </si>
  <si>
    <t>2026-05-16ERN</t>
  </si>
  <si>
    <t>2026-05-16ETB</t>
  </si>
  <si>
    <t>2026-05-16FJD</t>
  </si>
  <si>
    <t>2026-05-16FKP</t>
  </si>
  <si>
    <t>2026-05-16FOK</t>
  </si>
  <si>
    <t>2026-05-16GBP</t>
  </si>
  <si>
    <t>2026-05-16GEL</t>
  </si>
  <si>
    <t>2026-05-16GGP</t>
  </si>
  <si>
    <t>2026-05-16GHS</t>
  </si>
  <si>
    <t>2026-05-16GIP</t>
  </si>
  <si>
    <t>2026-05-16GMD</t>
  </si>
  <si>
    <t>2026-05-16GNF</t>
  </si>
  <si>
    <t>2026-05-16GTQ</t>
  </si>
  <si>
    <t>2026-05-16GYD</t>
  </si>
  <si>
    <t>2026-05-16HKD</t>
  </si>
  <si>
    <t>2026-05-16HNL</t>
  </si>
  <si>
    <t>2026-05-16HRK</t>
  </si>
  <si>
    <t>2026-05-16HTG</t>
  </si>
  <si>
    <t>2026-05-16IDR</t>
  </si>
  <si>
    <t>2026-05-16ILS</t>
  </si>
  <si>
    <t>2026-05-16IMP</t>
  </si>
  <si>
    <t>2026-05-16INR</t>
  </si>
  <si>
    <t>2026-05-16IQD</t>
  </si>
  <si>
    <t>2026-05-16IRR</t>
  </si>
  <si>
    <t>2026-05-16ISK</t>
  </si>
  <si>
    <t>2026-05-16JEP</t>
  </si>
  <si>
    <t>2026-05-16JMD</t>
  </si>
  <si>
    <t>2026-05-16JOD</t>
  </si>
  <si>
    <t>2026-05-16JPY</t>
  </si>
  <si>
    <t>2026-05-16KES</t>
  </si>
  <si>
    <t>2026-05-16KGS</t>
  </si>
  <si>
    <t>2026-05-16KHR</t>
  </si>
  <si>
    <t>2026-05-16KID</t>
  </si>
  <si>
    <t>2026-05-16KMF</t>
  </si>
  <si>
    <t>2026-05-16KRW</t>
  </si>
  <si>
    <t>2026-05-16KWD</t>
  </si>
  <si>
    <t>2026-05-16KYD</t>
  </si>
  <si>
    <t>2026-05-16KZT</t>
  </si>
  <si>
    <t>2026-05-16LAK</t>
  </si>
  <si>
    <t>2026-05-16LBP</t>
  </si>
  <si>
    <t>2026-05-16LKR</t>
  </si>
  <si>
    <t>2026-05-16LRD</t>
  </si>
  <si>
    <t>2026-05-16LSL</t>
  </si>
  <si>
    <t>2026-05-16LYD</t>
  </si>
  <si>
    <t>2026-05-16MAD</t>
  </si>
  <si>
    <t>2026-05-16MDL</t>
  </si>
  <si>
    <t>2026-05-16MGA</t>
  </si>
  <si>
    <t>2026-05-16MKD</t>
  </si>
  <si>
    <t>2026-05-16MMK</t>
  </si>
  <si>
    <t>2026-05-16MNT</t>
  </si>
  <si>
    <t>2026-05-16MOP</t>
  </si>
  <si>
    <t>2026-05-16MRU</t>
  </si>
  <si>
    <t>2026-05-16MUR</t>
  </si>
  <si>
    <t>2026-05-16MVR</t>
  </si>
  <si>
    <t>2026-05-16MWK</t>
  </si>
  <si>
    <t>2026-05-16MXN</t>
  </si>
  <si>
    <t>2026-05-16MYR</t>
  </si>
  <si>
    <t>2026-05-16MZN</t>
  </si>
  <si>
    <t>2026-05-16NAD</t>
  </si>
  <si>
    <t>2026-05-16NGN</t>
  </si>
  <si>
    <t>2026-05-16NIO</t>
  </si>
  <si>
    <t>2026-05-16NOK</t>
  </si>
  <si>
    <t>2026-05-16NPR</t>
  </si>
  <si>
    <t>2026-05-16NZD</t>
  </si>
  <si>
    <t>2026-05-16OMR</t>
  </si>
  <si>
    <t>2026-05-16PAB</t>
  </si>
  <si>
    <t>2026-05-16PEN</t>
  </si>
  <si>
    <t>2026-05-16PGK</t>
  </si>
  <si>
    <t>2026-05-16PHP</t>
  </si>
  <si>
    <t>2026-05-16PKR</t>
  </si>
  <si>
    <t>2026-05-16PLN</t>
  </si>
  <si>
    <t>2026-05-16PYG</t>
  </si>
  <si>
    <t>2026-05-16QAR</t>
  </si>
  <si>
    <t>2026-05-16RON</t>
  </si>
  <si>
    <t>2026-05-16RSD</t>
  </si>
  <si>
    <t>2026-05-16RUB</t>
  </si>
  <si>
    <t>2026-05-16RWF</t>
  </si>
  <si>
    <t>2026-05-16SAR</t>
  </si>
  <si>
    <t>2026-05-16SBD</t>
  </si>
  <si>
    <t>2026-05-16SCR</t>
  </si>
  <si>
    <t>2026-05-16SDG</t>
  </si>
  <si>
    <t>2026-05-16SEK</t>
  </si>
  <si>
    <t>2026-05-16SGD</t>
  </si>
  <si>
    <t>2026-05-16SHP</t>
  </si>
  <si>
    <t>2026-05-16SLE</t>
  </si>
  <si>
    <t>2026-05-16SLL</t>
  </si>
  <si>
    <t>2026-05-16SOS</t>
  </si>
  <si>
    <t>2026-05-16SRD</t>
  </si>
  <si>
    <t>2026-05-16SSP</t>
  </si>
  <si>
    <t>2026-05-16STN</t>
  </si>
  <si>
    <t>2026-05-16SYP</t>
  </si>
  <si>
    <t>2026-05-16SZL</t>
  </si>
  <si>
    <t>2026-05-16THB</t>
  </si>
  <si>
    <t>2026-05-16TJS</t>
  </si>
  <si>
    <t>2026-05-16TMT</t>
  </si>
  <si>
    <t>2026-05-16TND</t>
  </si>
  <si>
    <t>2026-05-16TOP</t>
  </si>
  <si>
    <t>2026-05-16TRY</t>
  </si>
  <si>
    <t>2026-05-16TTD</t>
  </si>
  <si>
    <t>2026-05-16TVD</t>
  </si>
  <si>
    <t>2026-05-16TWD</t>
  </si>
  <si>
    <t>2026-05-16TZS</t>
  </si>
  <si>
    <t>2026-05-16UAH</t>
  </si>
  <si>
    <t>2026-05-16UGX</t>
  </si>
  <si>
    <t>2026-05-16USD</t>
  </si>
  <si>
    <t>2026-05-16UYU</t>
  </si>
  <si>
    <t>2026-05-16UZS</t>
  </si>
  <si>
    <t>2026-05-16VES</t>
  </si>
  <si>
    <t>2026-05-16VND</t>
  </si>
  <si>
    <t>2026-05-16VUV</t>
  </si>
  <si>
    <t>2026-05-16WST</t>
  </si>
  <si>
    <t>2026-05-16XAF</t>
  </si>
  <si>
    <t>2026-05-16XCD</t>
  </si>
  <si>
    <t>2026-05-16XCG</t>
  </si>
  <si>
    <t>2026-05-16XDR</t>
  </si>
  <si>
    <t>2026-05-16XOF</t>
  </si>
  <si>
    <t>2026-05-16XPF</t>
  </si>
  <si>
    <t>2026-05-16YER</t>
  </si>
  <si>
    <t>2026-05-16ZAR</t>
  </si>
  <si>
    <t>2026-05-16ZMW</t>
  </si>
  <si>
    <t>2026-05-16ZWG</t>
  </si>
  <si>
    <t>2026-05-16ZWL</t>
  </si>
  <si>
    <t>2026-05-18EUR</t>
  </si>
  <si>
    <t>2026-05-18AED</t>
  </si>
  <si>
    <t>2026-05-18AFN</t>
  </si>
  <si>
    <t>2026-05-18ALL</t>
  </si>
  <si>
    <t>2026-05-18AMD</t>
  </si>
  <si>
    <t>2026-05-18ANG</t>
  </si>
  <si>
    <t>2026-05-18AOA</t>
  </si>
  <si>
    <t>2026-05-18ARS</t>
  </si>
  <si>
    <t>2026-05-18AUD</t>
  </si>
  <si>
    <t>2026-05-18AWG</t>
  </si>
  <si>
    <t>2026-05-18AZN</t>
  </si>
  <si>
    <t>2026-05-18BAM</t>
  </si>
  <si>
    <t>2026-05-18BBD</t>
  </si>
  <si>
    <t>2026-05-18BDT</t>
  </si>
  <si>
    <t>2026-05-18BGN</t>
  </si>
  <si>
    <t>2026-05-18BHD</t>
  </si>
  <si>
    <t>2026-05-18BIF</t>
  </si>
  <si>
    <t>2026-05-18BMD</t>
  </si>
  <si>
    <t>2026-05-18BND</t>
  </si>
  <si>
    <t>2026-05-18BOB</t>
  </si>
  <si>
    <t>2026-05-18BRL</t>
  </si>
  <si>
    <t>2026-05-18BSD</t>
  </si>
  <si>
    <t>2026-05-18BTN</t>
  </si>
  <si>
    <t>2026-05-18BWP</t>
  </si>
  <si>
    <t>2026-05-18BYN</t>
  </si>
  <si>
    <t>2026-05-18BZD</t>
  </si>
  <si>
    <t>2026-05-18CAD</t>
  </si>
  <si>
    <t>2026-05-18CDF</t>
  </si>
  <si>
    <t>2026-05-18CHF</t>
  </si>
  <si>
    <t>2026-05-18CLF</t>
  </si>
  <si>
    <t>2026-05-18CLP</t>
  </si>
  <si>
    <t>2026-05-18CNH</t>
  </si>
  <si>
    <t>2026-05-18CNY</t>
  </si>
  <si>
    <t>2026-05-18COP</t>
  </si>
  <si>
    <t>2026-05-18CRC</t>
  </si>
  <si>
    <t>2026-05-18CUP</t>
  </si>
  <si>
    <t>2026-05-18CVE</t>
  </si>
  <si>
    <t>2026-05-18CZK</t>
  </si>
  <si>
    <t>2026-05-18DJF</t>
  </si>
  <si>
    <t>2026-05-18DKK</t>
  </si>
  <si>
    <t>2026-05-18DOP</t>
  </si>
  <si>
    <t>2026-05-18DZD</t>
  </si>
  <si>
    <t>2026-05-18EGP</t>
  </si>
  <si>
    <t>2026-05-18ERN</t>
  </si>
  <si>
    <t>2026-05-18ETB</t>
  </si>
  <si>
    <t>2026-05-18FJD</t>
  </si>
  <si>
    <t>2026-05-18FKP</t>
  </si>
  <si>
    <t>2026-05-18FOK</t>
  </si>
  <si>
    <t>2026-05-18GBP</t>
  </si>
  <si>
    <t>2026-05-18GEL</t>
  </si>
  <si>
    <t>2026-05-18GGP</t>
  </si>
  <si>
    <t>2026-05-18GHS</t>
  </si>
  <si>
    <t>2026-05-18GIP</t>
  </si>
  <si>
    <t>2026-05-18GMD</t>
  </si>
  <si>
    <t>2026-05-18GNF</t>
  </si>
  <si>
    <t>2026-05-18GTQ</t>
  </si>
  <si>
    <t>2026-05-18GYD</t>
  </si>
  <si>
    <t>2026-05-18HKD</t>
  </si>
  <si>
    <t>2026-05-18HNL</t>
  </si>
  <si>
    <t>2026-05-18HRK</t>
  </si>
  <si>
    <t>2026-05-18HTG</t>
  </si>
  <si>
    <t>2026-05-18IDR</t>
  </si>
  <si>
    <t>2026-05-18ILS</t>
  </si>
  <si>
    <t>2026-05-18IMP</t>
  </si>
  <si>
    <t>2026-05-18INR</t>
  </si>
  <si>
    <t>2026-05-18IQD</t>
  </si>
  <si>
    <t>2026-05-18IRR</t>
  </si>
  <si>
    <t>2026-05-18ISK</t>
  </si>
  <si>
    <t>2026-05-18JEP</t>
  </si>
  <si>
    <t>2026-05-18JMD</t>
  </si>
  <si>
    <t>2026-05-18JOD</t>
  </si>
  <si>
    <t>2026-05-18JPY</t>
  </si>
  <si>
    <t>2026-05-18KES</t>
  </si>
  <si>
    <t>2026-05-18KGS</t>
  </si>
  <si>
    <t>2026-05-18KHR</t>
  </si>
  <si>
    <t>2026-05-18KID</t>
  </si>
  <si>
    <t>2026-05-18KMF</t>
  </si>
  <si>
    <t>2026-05-18KRW</t>
  </si>
  <si>
    <t>2026-05-18KWD</t>
  </si>
  <si>
    <t>2026-05-18KYD</t>
  </si>
  <si>
    <t>2026-05-18KZT</t>
  </si>
  <si>
    <t>2026-05-18LAK</t>
  </si>
  <si>
    <t>2026-05-18LBP</t>
  </si>
  <si>
    <t>2026-05-18LKR</t>
  </si>
  <si>
    <t>2026-05-18LRD</t>
  </si>
  <si>
    <t>2026-05-18LSL</t>
  </si>
  <si>
    <t>2026-05-18LYD</t>
  </si>
  <si>
    <t>2026-05-18MAD</t>
  </si>
  <si>
    <t>2026-05-18MDL</t>
  </si>
  <si>
    <t>2026-05-18MGA</t>
  </si>
  <si>
    <t>2026-05-18MKD</t>
  </si>
  <si>
    <t>2026-05-18MMK</t>
  </si>
  <si>
    <t>2026-05-18MNT</t>
  </si>
  <si>
    <t>2026-05-18MOP</t>
  </si>
  <si>
    <t>2026-05-18MRU</t>
  </si>
  <si>
    <t>2026-05-18MUR</t>
  </si>
  <si>
    <t>2026-05-18MVR</t>
  </si>
  <si>
    <t>2026-05-18MWK</t>
  </si>
  <si>
    <t>2026-05-18MXN</t>
  </si>
  <si>
    <t>2026-05-18MYR</t>
  </si>
  <si>
    <t>2026-05-18MZN</t>
  </si>
  <si>
    <t>2026-05-18NAD</t>
  </si>
  <si>
    <t>2026-05-18NGN</t>
  </si>
  <si>
    <t>2026-05-18NIO</t>
  </si>
  <si>
    <t>2026-05-18NOK</t>
  </si>
  <si>
    <t>2026-05-18NPR</t>
  </si>
  <si>
    <t>2026-05-18NZD</t>
  </si>
  <si>
    <t>2026-05-18OMR</t>
  </si>
  <si>
    <t>2026-05-18PAB</t>
  </si>
  <si>
    <t>2026-05-18PEN</t>
  </si>
  <si>
    <t>2026-05-18PGK</t>
  </si>
  <si>
    <t>2026-05-18PHP</t>
  </si>
  <si>
    <t>2026-05-18PKR</t>
  </si>
  <si>
    <t>2026-05-18PLN</t>
  </si>
  <si>
    <t>2026-05-18PYG</t>
  </si>
  <si>
    <t>2026-05-18QAR</t>
  </si>
  <si>
    <t>2026-05-18RON</t>
  </si>
  <si>
    <t>2026-05-18RSD</t>
  </si>
  <si>
    <t>2026-05-18RUB</t>
  </si>
  <si>
    <t>2026-05-18RWF</t>
  </si>
  <si>
    <t>2026-05-18SAR</t>
  </si>
  <si>
    <t>2026-05-18SBD</t>
  </si>
  <si>
    <t>2026-05-18SCR</t>
  </si>
  <si>
    <t>2026-05-18SDG</t>
  </si>
  <si>
    <t>2026-05-18SEK</t>
  </si>
  <si>
    <t>2026-05-18SGD</t>
  </si>
  <si>
    <t>2026-05-18SHP</t>
  </si>
  <si>
    <t>2026-05-18SLE</t>
  </si>
  <si>
    <t>2026-05-18SLL</t>
  </si>
  <si>
    <t>2026-05-18SOS</t>
  </si>
  <si>
    <t>2026-05-18SRD</t>
  </si>
  <si>
    <t>2026-05-18SSP</t>
  </si>
  <si>
    <t>2026-05-18STN</t>
  </si>
  <si>
    <t>2026-05-18SYP</t>
  </si>
  <si>
    <t>2026-05-18SZL</t>
  </si>
  <si>
    <t>2026-05-18THB</t>
  </si>
  <si>
    <t>2026-05-18TJS</t>
  </si>
  <si>
    <t>2026-05-18TMT</t>
  </si>
  <si>
    <t>2026-05-18TND</t>
  </si>
  <si>
    <t>2026-05-18TOP</t>
  </si>
  <si>
    <t>2026-05-18TRY</t>
  </si>
  <si>
    <t>2026-05-18TTD</t>
  </si>
  <si>
    <t>2026-05-18TVD</t>
  </si>
  <si>
    <t>2026-05-18TWD</t>
  </si>
  <si>
    <t>2026-05-18TZS</t>
  </si>
  <si>
    <t>2026-05-18UAH</t>
  </si>
  <si>
    <t>2026-05-18UGX</t>
  </si>
  <si>
    <t>2026-05-18USD</t>
  </si>
  <si>
    <t>2026-05-18UYU</t>
  </si>
  <si>
    <t>2026-05-18UZS</t>
  </si>
  <si>
    <t>2026-05-18VES</t>
  </si>
  <si>
    <t>2026-05-18VND</t>
  </si>
  <si>
    <t>2026-05-18VUV</t>
  </si>
  <si>
    <t>2026-05-18WST</t>
  </si>
  <si>
    <t>2026-05-18XAF</t>
  </si>
  <si>
    <t>2026-05-18XCD</t>
  </si>
  <si>
    <t>2026-05-18XCG</t>
  </si>
  <si>
    <t>2026-05-18XDR</t>
  </si>
  <si>
    <t>2026-05-18XOF</t>
  </si>
  <si>
    <t>2026-05-18XPF</t>
  </si>
  <si>
    <t>2026-05-18YER</t>
  </si>
  <si>
    <t>2026-05-18ZAR</t>
  </si>
  <si>
    <t>2026-05-18ZMW</t>
  </si>
  <si>
    <t>2026-05-18ZWG</t>
  </si>
  <si>
    <t>2026-05-18ZWL</t>
  </si>
  <si>
    <t>2026-05-19EUR</t>
  </si>
  <si>
    <t>2026-05-19AED</t>
  </si>
  <si>
    <t>2026-05-19AFN</t>
  </si>
  <si>
    <t>2026-05-19ALL</t>
  </si>
  <si>
    <t>2026-05-19AMD</t>
  </si>
  <si>
    <t>2026-05-19ANG</t>
  </si>
  <si>
    <t>2026-05-19AOA</t>
  </si>
  <si>
    <t>2026-05-19ARS</t>
  </si>
  <si>
    <t>2026-05-19AUD</t>
  </si>
  <si>
    <t>2026-05-19AWG</t>
  </si>
  <si>
    <t>2026-05-19AZN</t>
  </si>
  <si>
    <t>2026-05-19BAM</t>
  </si>
  <si>
    <t>2026-05-19BBD</t>
  </si>
  <si>
    <t>2026-05-19BDT</t>
  </si>
  <si>
    <t>2026-05-19BGN</t>
  </si>
  <si>
    <t>2026-05-19BHD</t>
  </si>
  <si>
    <t>2026-05-19BIF</t>
  </si>
  <si>
    <t>2026-05-19BMD</t>
  </si>
  <si>
    <t>2026-05-19BND</t>
  </si>
  <si>
    <t>2026-05-19BOB</t>
  </si>
  <si>
    <t>2026-05-19BRL</t>
  </si>
  <si>
    <t>2026-05-19BSD</t>
  </si>
  <si>
    <t>2026-05-19BTN</t>
  </si>
  <si>
    <t>2026-05-19BWP</t>
  </si>
  <si>
    <t>2026-05-19BYN</t>
  </si>
  <si>
    <t>2026-05-19BZD</t>
  </si>
  <si>
    <t>2026-05-19CAD</t>
  </si>
  <si>
    <t>2026-05-19CDF</t>
  </si>
  <si>
    <t>2026-05-19CHF</t>
  </si>
  <si>
    <t>2026-05-19CLF</t>
  </si>
  <si>
    <t>2026-05-19CLP</t>
  </si>
  <si>
    <t>2026-05-19CNH</t>
  </si>
  <si>
    <t>2026-05-19CNY</t>
  </si>
  <si>
    <t>2026-05-19COP</t>
  </si>
  <si>
    <t>2026-05-19CRC</t>
  </si>
  <si>
    <t>2026-05-19CUP</t>
  </si>
  <si>
    <t>2026-05-19CVE</t>
  </si>
  <si>
    <t>2026-05-19CZK</t>
  </si>
  <si>
    <t>2026-05-19DJF</t>
  </si>
  <si>
    <t>2026-05-19DKK</t>
  </si>
  <si>
    <t>2026-05-19DOP</t>
  </si>
  <si>
    <t>2026-05-19DZD</t>
  </si>
  <si>
    <t>2026-05-19EGP</t>
  </si>
  <si>
    <t>2026-05-19ERN</t>
  </si>
  <si>
    <t>2026-05-19ETB</t>
  </si>
  <si>
    <t>2026-05-19FJD</t>
  </si>
  <si>
    <t>2026-05-19FKP</t>
  </si>
  <si>
    <t>2026-05-19FOK</t>
  </si>
  <si>
    <t>2026-05-19GBP</t>
  </si>
  <si>
    <t>2026-05-19GEL</t>
  </si>
  <si>
    <t>2026-05-19GGP</t>
  </si>
  <si>
    <t>2026-05-19GHS</t>
  </si>
  <si>
    <t>2026-05-19GIP</t>
  </si>
  <si>
    <t>2026-05-19GMD</t>
  </si>
  <si>
    <t>2026-05-19GNF</t>
  </si>
  <si>
    <t>2026-05-19GTQ</t>
  </si>
  <si>
    <t>2026-05-19GYD</t>
  </si>
  <si>
    <t>2026-05-19HKD</t>
  </si>
  <si>
    <t>2026-05-19HNL</t>
  </si>
  <si>
    <t>2026-05-19HRK</t>
  </si>
  <si>
    <t>2026-05-19HTG</t>
  </si>
  <si>
    <t>2026-05-19IDR</t>
  </si>
  <si>
    <t>2026-05-19ILS</t>
  </si>
  <si>
    <t>2026-05-19IMP</t>
  </si>
  <si>
    <t>2026-05-19INR</t>
  </si>
  <si>
    <t>2026-05-19IQD</t>
  </si>
  <si>
    <t>2026-05-19IRR</t>
  </si>
  <si>
    <t>2026-05-19ISK</t>
  </si>
  <si>
    <t>2026-05-19JEP</t>
  </si>
  <si>
    <t>2026-05-19JMD</t>
  </si>
  <si>
    <t>2026-05-19JOD</t>
  </si>
  <si>
    <t>2026-05-19JPY</t>
  </si>
  <si>
    <t>2026-05-19KES</t>
  </si>
  <si>
    <t>2026-05-19KGS</t>
  </si>
  <si>
    <t>2026-05-19KHR</t>
  </si>
  <si>
    <t>2026-05-19KID</t>
  </si>
  <si>
    <t>2026-05-19KMF</t>
  </si>
  <si>
    <t>2026-05-19KRW</t>
  </si>
  <si>
    <t>2026-05-19KWD</t>
  </si>
  <si>
    <t>2026-05-19KYD</t>
  </si>
  <si>
    <t>2026-05-19KZT</t>
  </si>
  <si>
    <t>2026-05-19LAK</t>
  </si>
  <si>
    <t>2026-05-19LBP</t>
  </si>
  <si>
    <t>2026-05-19LKR</t>
  </si>
  <si>
    <t>2026-05-19LRD</t>
  </si>
  <si>
    <t>2026-05-19LSL</t>
  </si>
  <si>
    <t>2026-05-19LYD</t>
  </si>
  <si>
    <t>2026-05-19MAD</t>
  </si>
  <si>
    <t>2026-05-19MDL</t>
  </si>
  <si>
    <t>2026-05-19MGA</t>
  </si>
  <si>
    <t>2026-05-19MKD</t>
  </si>
  <si>
    <t>2026-05-19MMK</t>
  </si>
  <si>
    <t>2026-05-19MNT</t>
  </si>
  <si>
    <t>2026-05-19MOP</t>
  </si>
  <si>
    <t>2026-05-19MRU</t>
  </si>
  <si>
    <t>2026-05-19MUR</t>
  </si>
  <si>
    <t>2026-05-19MVR</t>
  </si>
  <si>
    <t>2026-05-19MWK</t>
  </si>
  <si>
    <t>2026-05-19MXN</t>
  </si>
  <si>
    <t>2026-05-19MYR</t>
  </si>
  <si>
    <t>2026-05-19MZN</t>
  </si>
  <si>
    <t>2026-05-19NAD</t>
  </si>
  <si>
    <t>2026-05-19NGN</t>
  </si>
  <si>
    <t>2026-05-19NIO</t>
  </si>
  <si>
    <t>2026-05-19NOK</t>
  </si>
  <si>
    <t>2026-05-19NPR</t>
  </si>
  <si>
    <t>2026-05-19NZD</t>
  </si>
  <si>
    <t>2026-05-19OMR</t>
  </si>
  <si>
    <t>2026-05-19PAB</t>
  </si>
  <si>
    <t>2026-05-19PEN</t>
  </si>
  <si>
    <t>2026-05-19PGK</t>
  </si>
  <si>
    <t>2026-05-19PHP</t>
  </si>
  <si>
    <t>2026-05-19PKR</t>
  </si>
  <si>
    <t>2026-05-19PLN</t>
  </si>
  <si>
    <t>2026-05-19PYG</t>
  </si>
  <si>
    <t>2026-05-19QAR</t>
  </si>
  <si>
    <t>2026-05-19RON</t>
  </si>
  <si>
    <t>2026-05-19RSD</t>
  </si>
  <si>
    <t>2026-05-19RUB</t>
  </si>
  <si>
    <t>2026-05-19RWF</t>
  </si>
  <si>
    <t>2026-05-19SAR</t>
  </si>
  <si>
    <t>2026-05-19SBD</t>
  </si>
  <si>
    <t>2026-05-19SCR</t>
  </si>
  <si>
    <t>2026-05-19SDG</t>
  </si>
  <si>
    <t>2026-05-19SEK</t>
  </si>
  <si>
    <t>2026-05-19SGD</t>
  </si>
  <si>
    <t>2026-05-19SHP</t>
  </si>
  <si>
    <t>2026-05-19SLE</t>
  </si>
  <si>
    <t>2026-05-19SLL</t>
  </si>
  <si>
    <t>2026-05-19SOS</t>
  </si>
  <si>
    <t>2026-05-19SRD</t>
  </si>
  <si>
    <t>2026-05-19SSP</t>
  </si>
  <si>
    <t>2026-05-19STN</t>
  </si>
  <si>
    <t>2026-05-19SYP</t>
  </si>
  <si>
    <t>2026-05-19SZL</t>
  </si>
  <si>
    <t>2026-05-19THB</t>
  </si>
  <si>
    <t>2026-05-19TJS</t>
  </si>
  <si>
    <t>2026-05-19TMT</t>
  </si>
  <si>
    <t>2026-05-19TND</t>
  </si>
  <si>
    <t>2026-05-19TOP</t>
  </si>
  <si>
    <t>2026-05-19TRY</t>
  </si>
  <si>
    <t>2026-05-19TTD</t>
  </si>
  <si>
    <t>2026-05-19TVD</t>
  </si>
  <si>
    <t>2026-05-19TWD</t>
  </si>
  <si>
    <t>2026-05-19TZS</t>
  </si>
  <si>
    <t>2026-05-19UAH</t>
  </si>
  <si>
    <t>2026-05-19UGX</t>
  </si>
  <si>
    <t>2026-05-19USD</t>
  </si>
  <si>
    <t>2026-05-19UYU</t>
  </si>
  <si>
    <t>2026-05-19UZS</t>
  </si>
  <si>
    <t>2026-05-19VES</t>
  </si>
  <si>
    <t>2026-05-19VND</t>
  </si>
  <si>
    <t>2026-05-19VUV</t>
  </si>
  <si>
    <t>2026-05-19WST</t>
  </si>
  <si>
    <t>2026-05-19XAF</t>
  </si>
  <si>
    <t>2026-05-19XCD</t>
  </si>
  <si>
    <t>2026-05-19XCG</t>
  </si>
  <si>
    <t>2026-05-19XDR</t>
  </si>
  <si>
    <t>2026-05-19XOF</t>
  </si>
  <si>
    <t>2026-05-19XPF</t>
  </si>
  <si>
    <t>2026-05-19YER</t>
  </si>
  <si>
    <t>2026-05-19ZAR</t>
  </si>
  <si>
    <t>2026-05-19ZMW</t>
  </si>
  <si>
    <t>2026-05-19ZWG</t>
  </si>
  <si>
    <t>2026-05-19ZWL</t>
  </si>
  <si>
    <t>2026-05-21EUR</t>
  </si>
  <si>
    <t>2026-05-21AED</t>
  </si>
  <si>
    <t>2026-05-21AFN</t>
  </si>
  <si>
    <t>2026-05-21ALL</t>
  </si>
  <si>
    <t>2026-05-21AMD</t>
  </si>
  <si>
    <t>2026-05-21ANG</t>
  </si>
  <si>
    <t>2026-05-21AOA</t>
  </si>
  <si>
    <t>2026-05-21ARS</t>
  </si>
  <si>
    <t>2026-05-21AUD</t>
  </si>
  <si>
    <t>2026-05-21AWG</t>
  </si>
  <si>
    <t>2026-05-21AZN</t>
  </si>
  <si>
    <t>2026-05-21BAM</t>
  </si>
  <si>
    <t>2026-05-21BBD</t>
  </si>
  <si>
    <t>2026-05-21BDT</t>
  </si>
  <si>
    <t>2026-05-21BGN</t>
  </si>
  <si>
    <t>2026-05-21BHD</t>
  </si>
  <si>
    <t>2026-05-21BIF</t>
  </si>
  <si>
    <t>2026-05-21BMD</t>
  </si>
  <si>
    <t>2026-05-21BND</t>
  </si>
  <si>
    <t>2026-05-21BOB</t>
  </si>
  <si>
    <t>2026-05-21BRL</t>
  </si>
  <si>
    <t>2026-05-21BSD</t>
  </si>
  <si>
    <t>2026-05-21BTN</t>
  </si>
  <si>
    <t>2026-05-21BWP</t>
  </si>
  <si>
    <t>2026-05-21BYN</t>
  </si>
  <si>
    <t>2026-05-21BZD</t>
  </si>
  <si>
    <t>2026-05-21CAD</t>
  </si>
  <si>
    <t>2026-05-21CDF</t>
  </si>
  <si>
    <t>2026-05-21CHF</t>
  </si>
  <si>
    <t>2026-05-21CLF</t>
  </si>
  <si>
    <t>2026-05-21CLP</t>
  </si>
  <si>
    <t>2026-05-21CNH</t>
  </si>
  <si>
    <t>2026-05-21CNY</t>
  </si>
  <si>
    <t>2026-05-21COP</t>
  </si>
  <si>
    <t>2026-05-21CRC</t>
  </si>
  <si>
    <t>2026-05-21CUP</t>
  </si>
  <si>
    <t>2026-05-21CVE</t>
  </si>
  <si>
    <t>2026-05-21CZK</t>
  </si>
  <si>
    <t>2026-05-21DJF</t>
  </si>
  <si>
    <t>2026-05-21DKK</t>
  </si>
  <si>
    <t>2026-05-21DOP</t>
  </si>
  <si>
    <t>2026-05-21DZD</t>
  </si>
  <si>
    <t>2026-05-21EGP</t>
  </si>
  <si>
    <t>2026-05-21ERN</t>
  </si>
  <si>
    <t>2026-05-21ETB</t>
  </si>
  <si>
    <t>2026-05-21FJD</t>
  </si>
  <si>
    <t>2026-05-21FKP</t>
  </si>
  <si>
    <t>2026-05-21FOK</t>
  </si>
  <si>
    <t>2026-05-21GBP</t>
  </si>
  <si>
    <t>2026-05-21GEL</t>
  </si>
  <si>
    <t>2026-05-21GGP</t>
  </si>
  <si>
    <t>2026-05-21GHS</t>
  </si>
  <si>
    <t>2026-05-21GIP</t>
  </si>
  <si>
    <t>2026-05-21GMD</t>
  </si>
  <si>
    <t>2026-05-21GNF</t>
  </si>
  <si>
    <t>2026-05-21GTQ</t>
  </si>
  <si>
    <t>2026-05-21GYD</t>
  </si>
  <si>
    <t>2026-05-21HKD</t>
  </si>
  <si>
    <t>2026-05-21HNL</t>
  </si>
  <si>
    <t>2026-05-21HRK</t>
  </si>
  <si>
    <t>2026-05-21HTG</t>
  </si>
  <si>
    <t>2026-05-21IDR</t>
  </si>
  <si>
    <t>2026-05-21ILS</t>
  </si>
  <si>
    <t>2026-05-21IMP</t>
  </si>
  <si>
    <t>2026-05-21INR</t>
  </si>
  <si>
    <t>2026-05-21IQD</t>
  </si>
  <si>
    <t>2026-05-21IRR</t>
  </si>
  <si>
    <t>2026-05-21ISK</t>
  </si>
  <si>
    <t>2026-05-21JEP</t>
  </si>
  <si>
    <t>2026-05-21JMD</t>
  </si>
  <si>
    <t>2026-05-21JOD</t>
  </si>
  <si>
    <t>2026-05-21JPY</t>
  </si>
  <si>
    <t>2026-05-21KES</t>
  </si>
  <si>
    <t>2026-05-21KGS</t>
  </si>
  <si>
    <t>2026-05-21KHR</t>
  </si>
  <si>
    <t>2026-05-21KID</t>
  </si>
  <si>
    <t>2026-05-21KMF</t>
  </si>
  <si>
    <t>2026-05-21KRW</t>
  </si>
  <si>
    <t>2026-05-21KWD</t>
  </si>
  <si>
    <t>2026-05-21KYD</t>
  </si>
  <si>
    <t>2026-05-21KZT</t>
  </si>
  <si>
    <t>2026-05-21LAK</t>
  </si>
  <si>
    <t>2026-05-21LBP</t>
  </si>
  <si>
    <t>2026-05-21LKR</t>
  </si>
  <si>
    <t>2026-05-21LRD</t>
  </si>
  <si>
    <t>2026-05-21LSL</t>
  </si>
  <si>
    <t>2026-05-21LYD</t>
  </si>
  <si>
    <t>2026-05-21MAD</t>
  </si>
  <si>
    <t>2026-05-21MDL</t>
  </si>
  <si>
    <t>2026-05-21MGA</t>
  </si>
  <si>
    <t>2026-05-21MKD</t>
  </si>
  <si>
    <t>2026-05-21MMK</t>
  </si>
  <si>
    <t>2026-05-21MNT</t>
  </si>
  <si>
    <t>2026-05-21MOP</t>
  </si>
  <si>
    <t>2026-05-21MRU</t>
  </si>
  <si>
    <t>2026-05-21MUR</t>
  </si>
  <si>
    <t>2026-05-21MVR</t>
  </si>
  <si>
    <t>2026-05-21MWK</t>
  </si>
  <si>
    <t>2026-05-21MXN</t>
  </si>
  <si>
    <t>2026-05-21MYR</t>
  </si>
  <si>
    <t>2026-05-21MZN</t>
  </si>
  <si>
    <t>2026-05-21NAD</t>
  </si>
  <si>
    <t>2026-05-21NGN</t>
  </si>
  <si>
    <t>2026-05-21NIO</t>
  </si>
  <si>
    <t>2026-05-21NOK</t>
  </si>
  <si>
    <t>2026-05-21NPR</t>
  </si>
  <si>
    <t>2026-05-21NZD</t>
  </si>
  <si>
    <t>2026-05-21OMR</t>
  </si>
  <si>
    <t>2026-05-21PAB</t>
  </si>
  <si>
    <t>2026-05-21PEN</t>
  </si>
  <si>
    <t>2026-05-21PGK</t>
  </si>
  <si>
    <t>2026-05-21PHP</t>
  </si>
  <si>
    <t>2026-05-21PKR</t>
  </si>
  <si>
    <t>2026-05-21PLN</t>
  </si>
  <si>
    <t>2026-05-21PYG</t>
  </si>
  <si>
    <t>2026-05-21QAR</t>
  </si>
  <si>
    <t>2026-05-21RON</t>
  </si>
  <si>
    <t>2026-05-21RSD</t>
  </si>
  <si>
    <t>2026-05-21RUB</t>
  </si>
  <si>
    <t>2026-05-21RWF</t>
  </si>
  <si>
    <t>2026-05-21SAR</t>
  </si>
  <si>
    <t>2026-05-21SBD</t>
  </si>
  <si>
    <t>2026-05-21SCR</t>
  </si>
  <si>
    <t>2026-05-21SDG</t>
  </si>
  <si>
    <t>2026-05-21SEK</t>
  </si>
  <si>
    <t>2026-05-21SGD</t>
  </si>
  <si>
    <t>2026-05-21SHP</t>
  </si>
  <si>
    <t>2026-05-21SLE</t>
  </si>
  <si>
    <t>2026-05-21SLL</t>
  </si>
  <si>
    <t>2026-05-21SOS</t>
  </si>
  <si>
    <t>2026-05-21SRD</t>
  </si>
  <si>
    <t>2026-05-21SSP</t>
  </si>
  <si>
    <t>2026-05-21STN</t>
  </si>
  <si>
    <t>2026-05-21SYP</t>
  </si>
  <si>
    <t>2026-05-21SZL</t>
  </si>
  <si>
    <t>2026-05-21THB</t>
  </si>
  <si>
    <t>2026-05-21TJS</t>
  </si>
  <si>
    <t>2026-05-21TMT</t>
  </si>
  <si>
    <t>2026-05-21TND</t>
  </si>
  <si>
    <t>2026-05-21TOP</t>
  </si>
  <si>
    <t>2026-05-21TRY</t>
  </si>
  <si>
    <t>2026-05-21TTD</t>
  </si>
  <si>
    <t>2026-05-21TVD</t>
  </si>
  <si>
    <t>2026-05-21TWD</t>
  </si>
  <si>
    <t>2026-05-21TZS</t>
  </si>
  <si>
    <t>2026-05-21UAH</t>
  </si>
  <si>
    <t>2026-05-21UGX</t>
  </si>
  <si>
    <t>2026-05-21USD</t>
  </si>
  <si>
    <t>2026-05-21UYU</t>
  </si>
  <si>
    <t>2026-05-21UZS</t>
  </si>
  <si>
    <t>2026-05-21VES</t>
  </si>
  <si>
    <t>2026-05-21VND</t>
  </si>
  <si>
    <t>2026-05-21VUV</t>
  </si>
  <si>
    <t>2026-05-21WST</t>
  </si>
  <si>
    <t>2026-05-21XAF</t>
  </si>
  <si>
    <t>2026-05-21XCD</t>
  </si>
  <si>
    <t>2026-05-21XCG</t>
  </si>
  <si>
    <t>2026-05-21XDR</t>
  </si>
  <si>
    <t>2026-05-21XOF</t>
  </si>
  <si>
    <t>2026-05-21XPF</t>
  </si>
  <si>
    <t>2026-05-21YER</t>
  </si>
  <si>
    <t>2026-05-21ZAR</t>
  </si>
  <si>
    <t>2026-05-21ZMW</t>
  </si>
  <si>
    <t>2026-05-21ZWG</t>
  </si>
  <si>
    <t>2026-05-21ZWL</t>
  </si>
  <si>
    <t>2026-05-23EUR</t>
  </si>
  <si>
    <t>2026-05-23AED</t>
  </si>
  <si>
    <t>2026-05-23AFN</t>
  </si>
  <si>
    <t>2026-05-23ALL</t>
  </si>
  <si>
    <t>2026-05-23AMD</t>
  </si>
  <si>
    <t>2026-05-23ANG</t>
  </si>
  <si>
    <t>2026-05-23AOA</t>
  </si>
  <si>
    <t>2026-05-23ARS</t>
  </si>
  <si>
    <t>2026-05-23AUD</t>
  </si>
  <si>
    <t>2026-05-23AWG</t>
  </si>
  <si>
    <t>2026-05-23AZN</t>
  </si>
  <si>
    <t>2026-05-23BAM</t>
  </si>
  <si>
    <t>2026-05-23BBD</t>
  </si>
  <si>
    <t>2026-05-23BDT</t>
  </si>
  <si>
    <t>2026-05-23BGN</t>
  </si>
  <si>
    <t>2026-05-23BHD</t>
  </si>
  <si>
    <t>2026-05-23BIF</t>
  </si>
  <si>
    <t>2026-05-23BMD</t>
  </si>
  <si>
    <t>2026-05-23BND</t>
  </si>
  <si>
    <t>2026-05-23BOB</t>
  </si>
  <si>
    <t>2026-05-23BRL</t>
  </si>
  <si>
    <t>2026-05-23BSD</t>
  </si>
  <si>
    <t>2026-05-23BTN</t>
  </si>
  <si>
    <t>2026-05-23BWP</t>
  </si>
  <si>
    <t>2026-05-23BYN</t>
  </si>
  <si>
    <t>2026-05-23BZD</t>
  </si>
  <si>
    <t>2026-05-23CAD</t>
  </si>
  <si>
    <t>2026-05-23CDF</t>
  </si>
  <si>
    <t>2026-05-23CHF</t>
  </si>
  <si>
    <t>2026-05-23CLF</t>
  </si>
  <si>
    <t>2026-05-23CLP</t>
  </si>
  <si>
    <t>2026-05-23CNH</t>
  </si>
  <si>
    <t>2026-05-23CNY</t>
  </si>
  <si>
    <t>2026-05-23COP</t>
  </si>
  <si>
    <t>2026-05-23CRC</t>
  </si>
  <si>
    <t>2026-05-23CUP</t>
  </si>
  <si>
    <t>2026-05-23CVE</t>
  </si>
  <si>
    <t>2026-05-23CZK</t>
  </si>
  <si>
    <t>2026-05-23DJF</t>
  </si>
  <si>
    <t>2026-05-23DKK</t>
  </si>
  <si>
    <t>2026-05-23DOP</t>
  </si>
  <si>
    <t>2026-05-23DZD</t>
  </si>
  <si>
    <t>2026-05-23EGP</t>
  </si>
  <si>
    <t>2026-05-23ERN</t>
  </si>
  <si>
    <t>2026-05-23ETB</t>
  </si>
  <si>
    <t>2026-05-23FJD</t>
  </si>
  <si>
    <t>2026-05-23FKP</t>
  </si>
  <si>
    <t>2026-05-23FOK</t>
  </si>
  <si>
    <t>2026-05-23GBP</t>
  </si>
  <si>
    <t>2026-05-23GEL</t>
  </si>
  <si>
    <t>2026-05-23GGP</t>
  </si>
  <si>
    <t>2026-05-23GHS</t>
  </si>
  <si>
    <t>2026-05-23GIP</t>
  </si>
  <si>
    <t>2026-05-23GMD</t>
  </si>
  <si>
    <t>2026-05-23GNF</t>
  </si>
  <si>
    <t>2026-05-23GTQ</t>
  </si>
  <si>
    <t>2026-05-23GYD</t>
  </si>
  <si>
    <t>2026-05-23HKD</t>
  </si>
  <si>
    <t>2026-05-23HNL</t>
  </si>
  <si>
    <t>2026-05-23HRK</t>
  </si>
  <si>
    <t>2026-05-23HTG</t>
  </si>
  <si>
    <t>2026-05-23IDR</t>
  </si>
  <si>
    <t>2026-05-23ILS</t>
  </si>
  <si>
    <t>2026-05-23IMP</t>
  </si>
  <si>
    <t>2026-05-23INR</t>
  </si>
  <si>
    <t>2026-05-23IQD</t>
  </si>
  <si>
    <t>2026-05-23IRR</t>
  </si>
  <si>
    <t>2026-05-23ISK</t>
  </si>
  <si>
    <t>2026-05-23JEP</t>
  </si>
  <si>
    <t>2026-05-23JMD</t>
  </si>
  <si>
    <t>2026-05-23JOD</t>
  </si>
  <si>
    <t>2026-05-23JPY</t>
  </si>
  <si>
    <t>2026-05-23KES</t>
  </si>
  <si>
    <t>2026-05-23KGS</t>
  </si>
  <si>
    <t>2026-05-23KHR</t>
  </si>
  <si>
    <t>2026-05-23KID</t>
  </si>
  <si>
    <t>2026-05-23KMF</t>
  </si>
  <si>
    <t>2026-05-23KRW</t>
  </si>
  <si>
    <t>2026-05-23KWD</t>
  </si>
  <si>
    <t>2026-05-23KYD</t>
  </si>
  <si>
    <t>2026-05-23KZT</t>
  </si>
  <si>
    <t>2026-05-23LAK</t>
  </si>
  <si>
    <t>2026-05-23LBP</t>
  </si>
  <si>
    <t>2026-05-23LKR</t>
  </si>
  <si>
    <t>2026-05-23LRD</t>
  </si>
  <si>
    <t>2026-05-23LSL</t>
  </si>
  <si>
    <t>2026-05-23LYD</t>
  </si>
  <si>
    <t>2026-05-23MAD</t>
  </si>
  <si>
    <t>2026-05-23MDL</t>
  </si>
  <si>
    <t>2026-05-23MGA</t>
  </si>
  <si>
    <t>2026-05-23MKD</t>
  </si>
  <si>
    <t>2026-05-23MMK</t>
  </si>
  <si>
    <t>2026-05-23MNT</t>
  </si>
  <si>
    <t>2026-05-23MOP</t>
  </si>
  <si>
    <t>2026-05-23MRU</t>
  </si>
  <si>
    <t>2026-05-23MUR</t>
  </si>
  <si>
    <t>2026-05-23MVR</t>
  </si>
  <si>
    <t>2026-05-23MWK</t>
  </si>
  <si>
    <t>2026-05-23MXN</t>
  </si>
  <si>
    <t>2026-05-23MYR</t>
  </si>
  <si>
    <t>2026-05-23MZN</t>
  </si>
  <si>
    <t>2026-05-23NAD</t>
  </si>
  <si>
    <t>2026-05-23NGN</t>
  </si>
  <si>
    <t>2026-05-23NIO</t>
  </si>
  <si>
    <t>2026-05-23NOK</t>
  </si>
  <si>
    <t>2026-05-23NPR</t>
  </si>
  <si>
    <t>2026-05-23NZD</t>
  </si>
  <si>
    <t>2026-05-23OMR</t>
  </si>
  <si>
    <t>2026-05-23PAB</t>
  </si>
  <si>
    <t>2026-05-23PEN</t>
  </si>
  <si>
    <t>2026-05-23PGK</t>
  </si>
  <si>
    <t>2026-05-23PHP</t>
  </si>
  <si>
    <t>2026-05-23PKR</t>
  </si>
  <si>
    <t>2026-05-23PLN</t>
  </si>
  <si>
    <t>2026-05-23PYG</t>
  </si>
  <si>
    <t>2026-05-23QAR</t>
  </si>
  <si>
    <t>2026-05-23RON</t>
  </si>
  <si>
    <t>2026-05-23RSD</t>
  </si>
  <si>
    <t>2026-05-23RUB</t>
  </si>
  <si>
    <t>2026-05-23RWF</t>
  </si>
  <si>
    <t>2026-05-23SAR</t>
  </si>
  <si>
    <t>2026-05-23SBD</t>
  </si>
  <si>
    <t>2026-05-23SCR</t>
  </si>
  <si>
    <t>2026-05-23SDG</t>
  </si>
  <si>
    <t>2026-05-23SEK</t>
  </si>
  <si>
    <t>2026-05-23SGD</t>
  </si>
  <si>
    <t>2026-05-23SHP</t>
  </si>
  <si>
    <t>2026-05-23SLE</t>
  </si>
  <si>
    <t>2026-05-23SLL</t>
  </si>
  <si>
    <t>2026-05-23SOS</t>
  </si>
  <si>
    <t>2026-05-23SRD</t>
  </si>
  <si>
    <t>2026-05-23SSP</t>
  </si>
  <si>
    <t>2026-05-23STN</t>
  </si>
  <si>
    <t>2026-05-23SYP</t>
  </si>
  <si>
    <t>2026-05-23SZL</t>
  </si>
  <si>
    <t>2026-05-23THB</t>
  </si>
  <si>
    <t>2026-05-23TJS</t>
  </si>
  <si>
    <t>2026-05-23TMT</t>
  </si>
  <si>
    <t>2026-05-23TND</t>
  </si>
  <si>
    <t>2026-05-23TOP</t>
  </si>
  <si>
    <t>2026-05-23TRY</t>
  </si>
  <si>
    <t>2026-05-23TTD</t>
  </si>
  <si>
    <t>2026-05-23TVD</t>
  </si>
  <si>
    <t>2026-05-23TWD</t>
  </si>
  <si>
    <t>2026-05-23TZS</t>
  </si>
  <si>
    <t>2026-05-23UAH</t>
  </si>
  <si>
    <t>2026-05-23UGX</t>
  </si>
  <si>
    <t>2026-05-23USD</t>
  </si>
  <si>
    <t>2026-05-23UYU</t>
  </si>
  <si>
    <t>2026-05-23UZS</t>
  </si>
  <si>
    <t>2026-05-23VES</t>
  </si>
  <si>
    <t>2026-05-23VND</t>
  </si>
  <si>
    <t>2026-05-23VUV</t>
  </si>
  <si>
    <t>2026-05-23WST</t>
  </si>
  <si>
    <t>2026-05-23XAF</t>
  </si>
  <si>
    <t>2026-05-23XCD</t>
  </si>
  <si>
    <t>2026-05-23XCG</t>
  </si>
  <si>
    <t>2026-05-23XDR</t>
  </si>
  <si>
    <t>2026-05-23XOF</t>
  </si>
  <si>
    <t>2026-05-23XPF</t>
  </si>
  <si>
    <t>2026-05-23YER</t>
  </si>
  <si>
    <t>2026-05-23ZAR</t>
  </si>
  <si>
    <t>2026-05-23ZMW</t>
  </si>
  <si>
    <t>2026-05-23ZWG</t>
  </si>
  <si>
    <t>2026-05-23ZWL</t>
  </si>
  <si>
    <t>2026-05-27EUR</t>
  </si>
  <si>
    <t>2026-05-27AED</t>
  </si>
  <si>
    <t>2026-05-27AFN</t>
  </si>
  <si>
    <t>2026-05-27ALL</t>
  </si>
  <si>
    <t>2026-05-27AMD</t>
  </si>
  <si>
    <t>2026-05-27ANG</t>
  </si>
  <si>
    <t>2026-05-27AOA</t>
  </si>
  <si>
    <t>2026-05-27ARS</t>
  </si>
  <si>
    <t>2026-05-27AUD</t>
  </si>
  <si>
    <t>2026-05-27AWG</t>
  </si>
  <si>
    <t>2026-05-27AZN</t>
  </si>
  <si>
    <t>2026-05-27BAM</t>
  </si>
  <si>
    <t>2026-05-27BBD</t>
  </si>
  <si>
    <t>2026-05-27BDT</t>
  </si>
  <si>
    <t>2026-05-27BGN</t>
  </si>
  <si>
    <t>2026-05-27BHD</t>
  </si>
  <si>
    <t>2026-05-27BIF</t>
  </si>
  <si>
    <t>2026-05-27BMD</t>
  </si>
  <si>
    <t>2026-05-27BND</t>
  </si>
  <si>
    <t>2026-05-27BOB</t>
  </si>
  <si>
    <t>2026-05-27BRL</t>
  </si>
  <si>
    <t>2026-05-27BSD</t>
  </si>
  <si>
    <t>2026-05-27BTN</t>
  </si>
  <si>
    <t>2026-05-27BWP</t>
  </si>
  <si>
    <t>2026-05-27BYN</t>
  </si>
  <si>
    <t>2026-05-27BZD</t>
  </si>
  <si>
    <t>2026-05-27CAD</t>
  </si>
  <si>
    <t>2026-05-27CDF</t>
  </si>
  <si>
    <t>2026-05-27CHF</t>
  </si>
  <si>
    <t>2026-05-27CLF</t>
  </si>
  <si>
    <t>2026-05-27CLP</t>
  </si>
  <si>
    <t>2026-05-27CNH</t>
  </si>
  <si>
    <t>2026-05-27CNY</t>
  </si>
  <si>
    <t>2026-05-27COP</t>
  </si>
  <si>
    <t>2026-05-27CRC</t>
  </si>
  <si>
    <t>2026-05-27CUP</t>
  </si>
  <si>
    <t>2026-05-27CVE</t>
  </si>
  <si>
    <t>2026-05-27CZK</t>
  </si>
  <si>
    <t>2026-05-27DJF</t>
  </si>
  <si>
    <t>2026-05-27DKK</t>
  </si>
  <si>
    <t>2026-05-27DOP</t>
  </si>
  <si>
    <t>2026-05-27DZD</t>
  </si>
  <si>
    <t>2026-05-27EGP</t>
  </si>
  <si>
    <t>2026-05-27ERN</t>
  </si>
  <si>
    <t>2026-05-27ETB</t>
  </si>
  <si>
    <t>2026-05-27FJD</t>
  </si>
  <si>
    <t>2026-05-27FKP</t>
  </si>
  <si>
    <t>2026-05-27FOK</t>
  </si>
  <si>
    <t>2026-05-27GBP</t>
  </si>
  <si>
    <t>2026-05-27GEL</t>
  </si>
  <si>
    <t>2026-05-27GGP</t>
  </si>
  <si>
    <t>2026-05-27GHS</t>
  </si>
  <si>
    <t>2026-05-27GIP</t>
  </si>
  <si>
    <t>2026-05-27GMD</t>
  </si>
  <si>
    <t>2026-05-27GNF</t>
  </si>
  <si>
    <t>2026-05-27GTQ</t>
  </si>
  <si>
    <t>2026-05-27GYD</t>
  </si>
  <si>
    <t>2026-05-27HKD</t>
  </si>
  <si>
    <t>2026-05-27HNL</t>
  </si>
  <si>
    <t>2026-05-27HRK</t>
  </si>
  <si>
    <t>2026-05-27HTG</t>
  </si>
  <si>
    <t>2026-05-27IDR</t>
  </si>
  <si>
    <t>2026-05-27ILS</t>
  </si>
  <si>
    <t>2026-05-27IMP</t>
  </si>
  <si>
    <t>2026-05-27INR</t>
  </si>
  <si>
    <t>2026-05-27IQD</t>
  </si>
  <si>
    <t>2026-05-27IRR</t>
  </si>
  <si>
    <t>2026-05-27ISK</t>
  </si>
  <si>
    <t>2026-05-27JEP</t>
  </si>
  <si>
    <t>2026-05-27JMD</t>
  </si>
  <si>
    <t>2026-05-27JOD</t>
  </si>
  <si>
    <t>2026-05-27JPY</t>
  </si>
  <si>
    <t>2026-05-27KES</t>
  </si>
  <si>
    <t>2026-05-27KGS</t>
  </si>
  <si>
    <t>2026-05-27KHR</t>
  </si>
  <si>
    <t>2026-05-27KID</t>
  </si>
  <si>
    <t>2026-05-27KMF</t>
  </si>
  <si>
    <t>2026-05-27KRW</t>
  </si>
  <si>
    <t>2026-05-27KWD</t>
  </si>
  <si>
    <t>2026-05-27KYD</t>
  </si>
  <si>
    <t>2026-05-27KZT</t>
  </si>
  <si>
    <t>2026-05-27LAK</t>
  </si>
  <si>
    <t>2026-05-27LBP</t>
  </si>
  <si>
    <t>2026-05-27LKR</t>
  </si>
  <si>
    <t>2026-05-27LRD</t>
  </si>
  <si>
    <t>2026-05-27LSL</t>
  </si>
  <si>
    <t>2026-05-27LYD</t>
  </si>
  <si>
    <t>2026-05-27MAD</t>
  </si>
  <si>
    <t>2026-05-27MDL</t>
  </si>
  <si>
    <t>2026-05-27MGA</t>
  </si>
  <si>
    <t>2026-05-27MKD</t>
  </si>
  <si>
    <t>2026-05-27MMK</t>
  </si>
  <si>
    <t>2026-05-27MNT</t>
  </si>
  <si>
    <t>2026-05-27MOP</t>
  </si>
  <si>
    <t>2026-05-27MRU</t>
  </si>
  <si>
    <t>2026-05-27MUR</t>
  </si>
  <si>
    <t>2026-05-27MVR</t>
  </si>
  <si>
    <t>2026-05-27MWK</t>
  </si>
  <si>
    <t>2026-05-27MXN</t>
  </si>
  <si>
    <t>2026-05-27MYR</t>
  </si>
  <si>
    <t>2026-05-27MZN</t>
  </si>
  <si>
    <t>2026-05-27NAD</t>
  </si>
  <si>
    <t>2026-05-27NGN</t>
  </si>
  <si>
    <t>2026-05-27NIO</t>
  </si>
  <si>
    <t>2026-05-27NOK</t>
  </si>
  <si>
    <t>2026-05-27NPR</t>
  </si>
  <si>
    <t>2026-05-27NZD</t>
  </si>
  <si>
    <t>2026-05-27OMR</t>
  </si>
  <si>
    <t>2026-05-27PAB</t>
  </si>
  <si>
    <t>2026-05-27PEN</t>
  </si>
  <si>
    <t>2026-05-27PGK</t>
  </si>
  <si>
    <t>2026-05-27PHP</t>
  </si>
  <si>
    <t>2026-05-27PKR</t>
  </si>
  <si>
    <t>2026-05-27PLN</t>
  </si>
  <si>
    <t>2026-05-27PYG</t>
  </si>
  <si>
    <t>2026-05-27QAR</t>
  </si>
  <si>
    <t>2026-05-27RON</t>
  </si>
  <si>
    <t>2026-05-27RSD</t>
  </si>
  <si>
    <t>2026-05-27RUB</t>
  </si>
  <si>
    <t>2026-05-27RWF</t>
  </si>
  <si>
    <t>2026-05-27SAR</t>
  </si>
  <si>
    <t>2026-05-27SBD</t>
  </si>
  <si>
    <t>2026-05-27SCR</t>
  </si>
  <si>
    <t>2026-05-27SDG</t>
  </si>
  <si>
    <t>2026-05-27SEK</t>
  </si>
  <si>
    <t>2026-05-27SGD</t>
  </si>
  <si>
    <t>2026-05-27SHP</t>
  </si>
  <si>
    <t>2026-05-27SLE</t>
  </si>
  <si>
    <t>2026-05-27SLL</t>
  </si>
  <si>
    <t>2026-05-27SOS</t>
  </si>
  <si>
    <t>2026-05-27SRD</t>
  </si>
  <si>
    <t>2026-05-27SSP</t>
  </si>
  <si>
    <t>2026-05-27STN</t>
  </si>
  <si>
    <t>2026-05-27SYP</t>
  </si>
  <si>
    <t>2026-05-27SZL</t>
  </si>
  <si>
    <t>2026-05-27THB</t>
  </si>
  <si>
    <t>2026-05-27TJS</t>
  </si>
  <si>
    <t>2026-05-27TMT</t>
  </si>
  <si>
    <t>2026-05-27TND</t>
  </si>
  <si>
    <t>2026-05-27TOP</t>
  </si>
  <si>
    <t>2026-05-27TRY</t>
  </si>
  <si>
    <t>2026-05-27TTD</t>
  </si>
  <si>
    <t>2026-05-27TVD</t>
  </si>
  <si>
    <t>2026-05-27TWD</t>
  </si>
  <si>
    <t>2026-05-27TZS</t>
  </si>
  <si>
    <t>2026-05-27UAH</t>
  </si>
  <si>
    <t>2026-05-27UGX</t>
  </si>
  <si>
    <t>2026-05-27USD</t>
  </si>
  <si>
    <t>2026-05-27UYU</t>
  </si>
  <si>
    <t>2026-05-27UZS</t>
  </si>
  <si>
    <t>2026-05-27VES</t>
  </si>
  <si>
    <t>2026-05-27VND</t>
  </si>
  <si>
    <t>2026-05-27VUV</t>
  </si>
  <si>
    <t>2026-05-27WST</t>
  </si>
  <si>
    <t>2026-05-27XAF</t>
  </si>
  <si>
    <t>2026-05-27XCD</t>
  </si>
  <si>
    <t>2026-05-27XCG</t>
  </si>
  <si>
    <t>2026-05-27XDR</t>
  </si>
  <si>
    <t>2026-05-27XOF</t>
  </si>
  <si>
    <t>2026-05-27XPF</t>
  </si>
  <si>
    <t>2026-05-27YER</t>
  </si>
  <si>
    <t>2026-05-27ZAR</t>
  </si>
  <si>
    <t>2026-05-27ZMW</t>
  </si>
  <si>
    <t>2026-05-27ZWG</t>
  </si>
  <si>
    <t>2026-05-27ZWL</t>
  </si>
  <si>
    <t>2026-05-30EUR</t>
  </si>
  <si>
    <t>2026-05-30AED</t>
  </si>
  <si>
    <t>2026-05-30AFN</t>
  </si>
  <si>
    <t>2026-05-30ALL</t>
  </si>
  <si>
    <t>2026-05-30AMD</t>
  </si>
  <si>
    <t>2026-05-30ANG</t>
  </si>
  <si>
    <t>2026-05-30AOA</t>
  </si>
  <si>
    <t>2026-05-30ARS</t>
  </si>
  <si>
    <t>2026-05-30AUD</t>
  </si>
  <si>
    <t>2026-05-30AWG</t>
  </si>
  <si>
    <t>2026-05-30AZN</t>
  </si>
  <si>
    <t>2026-05-30BAM</t>
  </si>
  <si>
    <t>2026-05-30BBD</t>
  </si>
  <si>
    <t>2026-05-30BDT</t>
  </si>
  <si>
    <t>2026-05-30BGN</t>
  </si>
  <si>
    <t>2026-05-30BHD</t>
  </si>
  <si>
    <t>2026-05-30BIF</t>
  </si>
  <si>
    <t>2026-05-30BMD</t>
  </si>
  <si>
    <t>2026-05-30BND</t>
  </si>
  <si>
    <t>2026-05-30BOB</t>
  </si>
  <si>
    <t>2026-05-30BRL</t>
  </si>
  <si>
    <t>2026-05-30BSD</t>
  </si>
  <si>
    <t>2026-05-30BTN</t>
  </si>
  <si>
    <t>2026-05-30BWP</t>
  </si>
  <si>
    <t>2026-05-30BYN</t>
  </si>
  <si>
    <t>2026-05-30BZD</t>
  </si>
  <si>
    <t>2026-05-30CAD</t>
  </si>
  <si>
    <t>2026-05-30CDF</t>
  </si>
  <si>
    <t>2026-05-30CHF</t>
  </si>
  <si>
    <t>2026-05-30CLF</t>
  </si>
  <si>
    <t>2026-05-30CLP</t>
  </si>
  <si>
    <t>2026-05-30CNH</t>
  </si>
  <si>
    <t>2026-05-30CNY</t>
  </si>
  <si>
    <t>2026-05-30COP</t>
  </si>
  <si>
    <t>2026-05-30CRC</t>
  </si>
  <si>
    <t>2026-05-30CUP</t>
  </si>
  <si>
    <t>2026-05-30CVE</t>
  </si>
  <si>
    <t>2026-05-30CZK</t>
  </si>
  <si>
    <t>2026-05-30DJF</t>
  </si>
  <si>
    <t>2026-05-30DKK</t>
  </si>
  <si>
    <t>2026-05-30DOP</t>
  </si>
  <si>
    <t>2026-05-30DZD</t>
  </si>
  <si>
    <t>2026-05-30EGP</t>
  </si>
  <si>
    <t>2026-05-30ERN</t>
  </si>
  <si>
    <t>2026-05-30ETB</t>
  </si>
  <si>
    <t>2026-05-30FJD</t>
  </si>
  <si>
    <t>2026-05-30FKP</t>
  </si>
  <si>
    <t>2026-05-30FOK</t>
  </si>
  <si>
    <t>2026-05-30GBP</t>
  </si>
  <si>
    <t>2026-05-30GEL</t>
  </si>
  <si>
    <t>2026-05-30GGP</t>
  </si>
  <si>
    <t>2026-05-30GHS</t>
  </si>
  <si>
    <t>2026-05-30GIP</t>
  </si>
  <si>
    <t>2026-05-30GMD</t>
  </si>
  <si>
    <t>2026-05-30GNF</t>
  </si>
  <si>
    <t>2026-05-30GTQ</t>
  </si>
  <si>
    <t>2026-05-30GYD</t>
  </si>
  <si>
    <t>2026-05-30HKD</t>
  </si>
  <si>
    <t>2026-05-30HNL</t>
  </si>
  <si>
    <t>2026-05-30HRK</t>
  </si>
  <si>
    <t>2026-05-30HTG</t>
  </si>
  <si>
    <t>2026-05-30IDR</t>
  </si>
  <si>
    <t>2026-05-30ILS</t>
  </si>
  <si>
    <t>2026-05-30IMP</t>
  </si>
  <si>
    <t>2026-05-30INR</t>
  </si>
  <si>
    <t>2026-05-30IQD</t>
  </si>
  <si>
    <t>2026-05-30IRR</t>
  </si>
  <si>
    <t>2026-05-30ISK</t>
  </si>
  <si>
    <t>2026-05-30JEP</t>
  </si>
  <si>
    <t>2026-05-30JMD</t>
  </si>
  <si>
    <t>2026-05-30JOD</t>
  </si>
  <si>
    <t>2026-05-30JPY</t>
  </si>
  <si>
    <t>2026-05-30KES</t>
  </si>
  <si>
    <t>2026-05-30KGS</t>
  </si>
  <si>
    <t>2026-05-30KHR</t>
  </si>
  <si>
    <t>2026-05-30KID</t>
  </si>
  <si>
    <t>2026-05-30KMF</t>
  </si>
  <si>
    <t>2026-05-30KRW</t>
  </si>
  <si>
    <t>2026-05-30KWD</t>
  </si>
  <si>
    <t>2026-05-30KYD</t>
  </si>
  <si>
    <t>2026-05-30KZT</t>
  </si>
  <si>
    <t>2026-05-30LAK</t>
  </si>
  <si>
    <t>2026-05-30LBP</t>
  </si>
  <si>
    <t>2026-05-30LKR</t>
  </si>
  <si>
    <t>2026-05-30LRD</t>
  </si>
  <si>
    <t>2026-05-30LSL</t>
  </si>
  <si>
    <t>2026-05-30LYD</t>
  </si>
  <si>
    <t>2026-05-30MAD</t>
  </si>
  <si>
    <t>2026-05-30MDL</t>
  </si>
  <si>
    <t>2026-05-30MGA</t>
  </si>
  <si>
    <t>2026-05-30MKD</t>
  </si>
  <si>
    <t>2026-05-30MMK</t>
  </si>
  <si>
    <t>2026-05-30MNT</t>
  </si>
  <si>
    <t>2026-05-30MOP</t>
  </si>
  <si>
    <t>2026-05-30MRU</t>
  </si>
  <si>
    <t>2026-05-30MUR</t>
  </si>
  <si>
    <t>2026-05-30MVR</t>
  </si>
  <si>
    <t>2026-05-30MWK</t>
  </si>
  <si>
    <t>2026-05-30MXN</t>
  </si>
  <si>
    <t>2026-05-30MYR</t>
  </si>
  <si>
    <t>2026-05-30MZN</t>
  </si>
  <si>
    <t>2026-05-30NAD</t>
  </si>
  <si>
    <t>2026-05-30NGN</t>
  </si>
  <si>
    <t>2026-05-30NIO</t>
  </si>
  <si>
    <t>2026-05-30NOK</t>
  </si>
  <si>
    <t>2026-05-30NPR</t>
  </si>
  <si>
    <t>2026-05-30NZD</t>
  </si>
  <si>
    <t>2026-05-30OMR</t>
  </si>
  <si>
    <t>2026-05-30PAB</t>
  </si>
  <si>
    <t>2026-05-30PEN</t>
  </si>
  <si>
    <t>2026-05-30PGK</t>
  </si>
  <si>
    <t>2026-05-30PHP</t>
  </si>
  <si>
    <t>2026-05-30PKR</t>
  </si>
  <si>
    <t>2026-05-30PLN</t>
  </si>
  <si>
    <t>2026-05-30PYG</t>
  </si>
  <si>
    <t>2026-05-30QAR</t>
  </si>
  <si>
    <t>2026-05-30RON</t>
  </si>
  <si>
    <t>2026-05-30RSD</t>
  </si>
  <si>
    <t>2026-05-30RUB</t>
  </si>
  <si>
    <t>2026-05-30RWF</t>
  </si>
  <si>
    <t>2026-05-30SAR</t>
  </si>
  <si>
    <t>2026-05-30SBD</t>
  </si>
  <si>
    <t>2026-05-30SCR</t>
  </si>
  <si>
    <t>2026-05-30SDG</t>
  </si>
  <si>
    <t>2026-05-30SEK</t>
  </si>
  <si>
    <t>2026-05-30SGD</t>
  </si>
  <si>
    <t>2026-05-30SHP</t>
  </si>
  <si>
    <t>2026-05-30SLE</t>
  </si>
  <si>
    <t>2026-05-30SLL</t>
  </si>
  <si>
    <t>2026-05-30SOS</t>
  </si>
  <si>
    <t>2026-05-30SRD</t>
  </si>
  <si>
    <t>2026-05-30SSP</t>
  </si>
  <si>
    <t>2026-05-30STN</t>
  </si>
  <si>
    <t>2026-05-30SYP</t>
  </si>
  <si>
    <t>2026-05-30SZL</t>
  </si>
  <si>
    <t>2026-05-30THB</t>
  </si>
  <si>
    <t>2026-05-30TJS</t>
  </si>
  <si>
    <t>2026-05-30TMT</t>
  </si>
  <si>
    <t>2026-05-30TND</t>
  </si>
  <si>
    <t>2026-05-30TOP</t>
  </si>
  <si>
    <t>2026-05-30TRY</t>
  </si>
  <si>
    <t>2026-05-30TTD</t>
  </si>
  <si>
    <t>2026-05-30TVD</t>
  </si>
  <si>
    <t>2026-05-30TWD</t>
  </si>
  <si>
    <t>2026-05-30TZS</t>
  </si>
  <si>
    <t>2026-05-30UAH</t>
  </si>
  <si>
    <t>2026-05-30UGX</t>
  </si>
  <si>
    <t>2026-05-30USD</t>
  </si>
  <si>
    <t>2026-05-30UYU</t>
  </si>
  <si>
    <t>2026-05-30UZS</t>
  </si>
  <si>
    <t>2026-05-30VES</t>
  </si>
  <si>
    <t>2026-05-30VND</t>
  </si>
  <si>
    <t>2026-05-30VUV</t>
  </si>
  <si>
    <t>2026-05-30WST</t>
  </si>
  <si>
    <t>2026-05-30XAF</t>
  </si>
  <si>
    <t>2026-05-30XCD</t>
  </si>
  <si>
    <t>2026-05-30XCG</t>
  </si>
  <si>
    <t>2026-05-30XDR</t>
  </si>
  <si>
    <t>2026-05-30XOF</t>
  </si>
  <si>
    <t>2026-05-30XPF</t>
  </si>
  <si>
    <t>2026-05-30YER</t>
  </si>
  <si>
    <t>2026-05-30ZAR</t>
  </si>
  <si>
    <t>2026-05-30ZMW</t>
  </si>
  <si>
    <t>2026-05-30ZWG</t>
  </si>
  <si>
    <t>2026-05-30ZWL</t>
  </si>
  <si>
    <t>2026-06-01EUR</t>
  </si>
  <si>
    <t>2026-06-01AED</t>
  </si>
  <si>
    <t>2026-06-01AFN</t>
  </si>
  <si>
    <t>2026-06-01ALL</t>
  </si>
  <si>
    <t>2026-06-01AMD</t>
  </si>
  <si>
    <t>2026-06-01ANG</t>
  </si>
  <si>
    <t>2026-06-01AOA</t>
  </si>
  <si>
    <t>2026-06-01ARS</t>
  </si>
  <si>
    <t>2026-06-01AUD</t>
  </si>
  <si>
    <t>2026-06-01AWG</t>
  </si>
  <si>
    <t>2026-06-01AZN</t>
  </si>
  <si>
    <t>2026-06-01BAM</t>
  </si>
  <si>
    <t>2026-06-01BBD</t>
  </si>
  <si>
    <t>2026-06-01BDT</t>
  </si>
  <si>
    <t>2026-06-01BGN</t>
  </si>
  <si>
    <t>2026-06-01BHD</t>
  </si>
  <si>
    <t>2026-06-01BIF</t>
  </si>
  <si>
    <t>2026-06-01BMD</t>
  </si>
  <si>
    <t>2026-06-01BND</t>
  </si>
  <si>
    <t>2026-06-01BOB</t>
  </si>
  <si>
    <t>2026-06-01BRL</t>
  </si>
  <si>
    <t>2026-06-01BSD</t>
  </si>
  <si>
    <t>2026-06-01BTN</t>
  </si>
  <si>
    <t>2026-06-01BWP</t>
  </si>
  <si>
    <t>2026-06-01BYN</t>
  </si>
  <si>
    <t>2026-06-01BZD</t>
  </si>
  <si>
    <t>2026-06-01CAD</t>
  </si>
  <si>
    <t>2026-06-01CDF</t>
  </si>
  <si>
    <t>2026-06-01CHF</t>
  </si>
  <si>
    <t>2026-06-01CLF</t>
  </si>
  <si>
    <t>2026-06-01CLP</t>
  </si>
  <si>
    <t>2026-06-01CNH</t>
  </si>
  <si>
    <t>2026-06-01CNY</t>
  </si>
  <si>
    <t>2026-06-01COP</t>
  </si>
  <si>
    <t>2026-06-01CRC</t>
  </si>
  <si>
    <t>2026-06-01CUP</t>
  </si>
  <si>
    <t>2026-06-01CVE</t>
  </si>
  <si>
    <t>2026-06-01CZK</t>
  </si>
  <si>
    <t>2026-06-01DJF</t>
  </si>
  <si>
    <t>2026-06-01DKK</t>
  </si>
  <si>
    <t>2026-06-01DOP</t>
  </si>
  <si>
    <t>2026-06-01DZD</t>
  </si>
  <si>
    <t>2026-06-01EGP</t>
  </si>
  <si>
    <t>2026-06-01ERN</t>
  </si>
  <si>
    <t>2026-06-01ETB</t>
  </si>
  <si>
    <t>2026-06-01FJD</t>
  </si>
  <si>
    <t>2026-06-01FKP</t>
  </si>
  <si>
    <t>2026-06-01FOK</t>
  </si>
  <si>
    <t>2026-06-01GBP</t>
  </si>
  <si>
    <t>2026-06-01GEL</t>
  </si>
  <si>
    <t>2026-06-01GGP</t>
  </si>
  <si>
    <t>2026-06-01GHS</t>
  </si>
  <si>
    <t>2026-06-01GIP</t>
  </si>
  <si>
    <t>2026-06-01GMD</t>
  </si>
  <si>
    <t>2026-06-01GNF</t>
  </si>
  <si>
    <t>2026-06-01GTQ</t>
  </si>
  <si>
    <t>2026-06-01GYD</t>
  </si>
  <si>
    <t>2026-06-01HKD</t>
  </si>
  <si>
    <t>2026-06-01HNL</t>
  </si>
  <si>
    <t>2026-06-01HRK</t>
  </si>
  <si>
    <t>2026-06-01HTG</t>
  </si>
  <si>
    <t>2026-06-01IDR</t>
  </si>
  <si>
    <t>2026-06-01ILS</t>
  </si>
  <si>
    <t>2026-06-01IMP</t>
  </si>
  <si>
    <t>2026-06-01INR</t>
  </si>
  <si>
    <t>2026-06-01IQD</t>
  </si>
  <si>
    <t>2026-06-01IRR</t>
  </si>
  <si>
    <t>2026-06-01ISK</t>
  </si>
  <si>
    <t>2026-06-01JEP</t>
  </si>
  <si>
    <t>2026-06-01JMD</t>
  </si>
  <si>
    <t>2026-06-01JOD</t>
  </si>
  <si>
    <t>2026-06-01JPY</t>
  </si>
  <si>
    <t>2026-06-01KES</t>
  </si>
  <si>
    <t>2026-06-01KGS</t>
  </si>
  <si>
    <t>2026-06-01KHR</t>
  </si>
  <si>
    <t>2026-06-01KID</t>
  </si>
  <si>
    <t>2026-06-01KMF</t>
  </si>
  <si>
    <t>2026-06-01KRW</t>
  </si>
  <si>
    <t>2026-06-01KWD</t>
  </si>
  <si>
    <t>2026-06-01KYD</t>
  </si>
  <si>
    <t>2026-06-01KZT</t>
  </si>
  <si>
    <t>2026-06-01LAK</t>
  </si>
  <si>
    <t>2026-06-01LBP</t>
  </si>
  <si>
    <t>2026-06-01LKR</t>
  </si>
  <si>
    <t>2026-06-01LRD</t>
  </si>
  <si>
    <t>2026-06-01LSL</t>
  </si>
  <si>
    <t>2026-06-01LYD</t>
  </si>
  <si>
    <t>2026-06-01MAD</t>
  </si>
  <si>
    <t>2026-06-01MDL</t>
  </si>
  <si>
    <t>2026-06-01MGA</t>
  </si>
  <si>
    <t>2026-06-01MKD</t>
  </si>
  <si>
    <t>2026-06-01MMK</t>
  </si>
  <si>
    <t>2026-06-01MNT</t>
  </si>
  <si>
    <t>2026-06-01MOP</t>
  </si>
  <si>
    <t>2026-06-01MRU</t>
  </si>
  <si>
    <t>2026-06-01MUR</t>
  </si>
  <si>
    <t>2026-06-01MVR</t>
  </si>
  <si>
    <t>2026-06-01MWK</t>
  </si>
  <si>
    <t>2026-06-01MXN</t>
  </si>
  <si>
    <t>2026-06-01MYR</t>
  </si>
  <si>
    <t>2026-06-01MZN</t>
  </si>
  <si>
    <t>2026-06-01NAD</t>
  </si>
  <si>
    <t>2026-06-01NGN</t>
  </si>
  <si>
    <t>2026-06-01NIO</t>
  </si>
  <si>
    <t>2026-06-01NOK</t>
  </si>
  <si>
    <t>2026-06-01NPR</t>
  </si>
  <si>
    <t>2026-06-01NZD</t>
  </si>
  <si>
    <t>2026-06-01OMR</t>
  </si>
  <si>
    <t>2026-06-01PAB</t>
  </si>
  <si>
    <t>2026-06-01PEN</t>
  </si>
  <si>
    <t>2026-06-01PGK</t>
  </si>
  <si>
    <t>2026-06-01PHP</t>
  </si>
  <si>
    <t>2026-06-01PKR</t>
  </si>
  <si>
    <t>2026-06-01PLN</t>
  </si>
  <si>
    <t>2026-06-01PYG</t>
  </si>
  <si>
    <t>2026-06-01QAR</t>
  </si>
  <si>
    <t>2026-06-01RON</t>
  </si>
  <si>
    <t>2026-06-01RSD</t>
  </si>
  <si>
    <t>2026-06-01RUB</t>
  </si>
  <si>
    <t>2026-06-01RWF</t>
  </si>
  <si>
    <t>2026-06-01SAR</t>
  </si>
  <si>
    <t>2026-06-01SBD</t>
  </si>
  <si>
    <t>2026-06-01SCR</t>
  </si>
  <si>
    <t>2026-06-01SDG</t>
  </si>
  <si>
    <t>2026-06-01SEK</t>
  </si>
  <si>
    <t>2026-06-01SGD</t>
  </si>
  <si>
    <t>2026-06-01SHP</t>
  </si>
  <si>
    <t>2026-06-01SLE</t>
  </si>
  <si>
    <t>2026-06-01SLL</t>
  </si>
  <si>
    <t>2026-06-01SOS</t>
  </si>
  <si>
    <t>2026-06-01SRD</t>
  </si>
  <si>
    <t>2026-06-01SSP</t>
  </si>
  <si>
    <t>2026-06-01STN</t>
  </si>
  <si>
    <t>2026-06-01SYP</t>
  </si>
  <si>
    <t>2026-06-01SZL</t>
  </si>
  <si>
    <t>2026-06-01THB</t>
  </si>
  <si>
    <t>2026-06-01TJS</t>
  </si>
  <si>
    <t>2026-06-01TMT</t>
  </si>
  <si>
    <t>2026-06-01TND</t>
  </si>
  <si>
    <t>2026-06-01TOP</t>
  </si>
  <si>
    <t>2026-06-01TRY</t>
  </si>
  <si>
    <t>2026-06-01TTD</t>
  </si>
  <si>
    <t>2026-06-01TVD</t>
  </si>
  <si>
    <t>2026-06-01TWD</t>
  </si>
  <si>
    <t>2026-06-01TZS</t>
  </si>
  <si>
    <t>2026-06-01UAH</t>
  </si>
  <si>
    <t>2026-06-01UGX</t>
  </si>
  <si>
    <t>2026-06-01USD</t>
  </si>
  <si>
    <t>2026-06-01UYU</t>
  </si>
  <si>
    <t>2026-06-01UZS</t>
  </si>
  <si>
    <t>2026-06-01VES</t>
  </si>
  <si>
    <t>2026-06-01VND</t>
  </si>
  <si>
    <t>2026-06-01VUV</t>
  </si>
  <si>
    <t>2026-06-01WST</t>
  </si>
  <si>
    <t>2026-06-01XAF</t>
  </si>
  <si>
    <t>2026-06-01XCD</t>
  </si>
  <si>
    <t>2026-06-01XCG</t>
  </si>
  <si>
    <t>2026-06-01XDR</t>
  </si>
  <si>
    <t>2026-06-01XOF</t>
  </si>
  <si>
    <t>2026-06-01XPF</t>
  </si>
  <si>
    <t>2026-06-01YER</t>
  </si>
  <si>
    <t>2026-06-01ZAR</t>
  </si>
  <si>
    <t>2026-06-01ZMW</t>
  </si>
  <si>
    <t>2026-06-01ZWG</t>
  </si>
  <si>
    <t>2026-06-01ZWL</t>
  </si>
  <si>
    <t>2026-06-03EUR</t>
  </si>
  <si>
    <t>2026-06-03AED</t>
  </si>
  <si>
    <t>2026-06-03AFN</t>
  </si>
  <si>
    <t>2026-06-03ALL</t>
  </si>
  <si>
    <t>2026-06-03AMD</t>
  </si>
  <si>
    <t>2026-06-03ANG</t>
  </si>
  <si>
    <t>2026-06-03AOA</t>
  </si>
  <si>
    <t>2026-06-03ARS</t>
  </si>
  <si>
    <t>2026-06-03AUD</t>
  </si>
  <si>
    <t>2026-06-03AWG</t>
  </si>
  <si>
    <t>2026-06-03AZN</t>
  </si>
  <si>
    <t>2026-06-03BAM</t>
  </si>
  <si>
    <t>2026-06-03BBD</t>
  </si>
  <si>
    <t>2026-06-03BDT</t>
  </si>
  <si>
    <t>2026-06-03BGN</t>
  </si>
  <si>
    <t>2026-06-03BHD</t>
  </si>
  <si>
    <t>2026-06-03BIF</t>
  </si>
  <si>
    <t>2026-06-03BMD</t>
  </si>
  <si>
    <t>2026-06-03BND</t>
  </si>
  <si>
    <t>2026-06-03BOB</t>
  </si>
  <si>
    <t>2026-06-03BRL</t>
  </si>
  <si>
    <t>2026-06-03BSD</t>
  </si>
  <si>
    <t>2026-06-03BTN</t>
  </si>
  <si>
    <t>2026-06-03BWP</t>
  </si>
  <si>
    <t>2026-06-03BYN</t>
  </si>
  <si>
    <t>2026-06-03BZD</t>
  </si>
  <si>
    <t>2026-06-03CAD</t>
  </si>
  <si>
    <t>2026-06-03CDF</t>
  </si>
  <si>
    <t>2026-06-03CHF</t>
  </si>
  <si>
    <t>2026-06-03CLF</t>
  </si>
  <si>
    <t>2026-06-03CLP</t>
  </si>
  <si>
    <t>2026-06-03CNH</t>
  </si>
  <si>
    <t>2026-06-03CNY</t>
  </si>
  <si>
    <t>2026-06-03COP</t>
  </si>
  <si>
    <t>2026-06-03CRC</t>
  </si>
  <si>
    <t>2026-06-03CUP</t>
  </si>
  <si>
    <t>2026-06-03CVE</t>
  </si>
  <si>
    <t>2026-06-03CZK</t>
  </si>
  <si>
    <t>2026-06-03DJF</t>
  </si>
  <si>
    <t>2026-06-03DKK</t>
  </si>
  <si>
    <t>2026-06-03DOP</t>
  </si>
  <si>
    <t>2026-06-03DZD</t>
  </si>
  <si>
    <t>2026-06-03EGP</t>
  </si>
  <si>
    <t>2026-06-03ERN</t>
  </si>
  <si>
    <t>2026-06-03ETB</t>
  </si>
  <si>
    <t>2026-06-03FJD</t>
  </si>
  <si>
    <t>2026-06-03FKP</t>
  </si>
  <si>
    <t>2026-06-03FOK</t>
  </si>
  <si>
    <t>2026-06-03GBP</t>
  </si>
  <si>
    <t>2026-06-03GEL</t>
  </si>
  <si>
    <t>2026-06-03GGP</t>
  </si>
  <si>
    <t>2026-06-03GHS</t>
  </si>
  <si>
    <t>2026-06-03GIP</t>
  </si>
  <si>
    <t>2026-06-03GMD</t>
  </si>
  <si>
    <t>2026-06-03GNF</t>
  </si>
  <si>
    <t>2026-06-03GTQ</t>
  </si>
  <si>
    <t>2026-06-03GYD</t>
  </si>
  <si>
    <t>2026-06-03HKD</t>
  </si>
  <si>
    <t>2026-06-03HNL</t>
  </si>
  <si>
    <t>2026-06-03HRK</t>
  </si>
  <si>
    <t>2026-06-03HTG</t>
  </si>
  <si>
    <t>2026-06-03IDR</t>
  </si>
  <si>
    <t>2026-06-03ILS</t>
  </si>
  <si>
    <t>2026-06-03IMP</t>
  </si>
  <si>
    <t>2026-06-03INR</t>
  </si>
  <si>
    <t>2026-06-03IQD</t>
  </si>
  <si>
    <t>2026-06-03IRR</t>
  </si>
  <si>
    <t>2026-06-03ISK</t>
  </si>
  <si>
    <t>2026-06-03JEP</t>
  </si>
  <si>
    <t>2026-06-03JMD</t>
  </si>
  <si>
    <t>2026-06-03JOD</t>
  </si>
  <si>
    <t>2026-06-03JPY</t>
  </si>
  <si>
    <t>2026-06-03KES</t>
  </si>
  <si>
    <t>2026-06-03KGS</t>
  </si>
  <si>
    <t>2026-06-03KHR</t>
  </si>
  <si>
    <t>2026-06-03KID</t>
  </si>
  <si>
    <t>2026-06-03KMF</t>
  </si>
  <si>
    <t>2026-06-03KRW</t>
  </si>
  <si>
    <t>2026-06-03KWD</t>
  </si>
  <si>
    <t>2026-06-03KYD</t>
  </si>
  <si>
    <t>2026-06-03KZT</t>
  </si>
  <si>
    <t>2026-06-03LAK</t>
  </si>
  <si>
    <t>2026-06-03LBP</t>
  </si>
  <si>
    <t>2026-06-03LKR</t>
  </si>
  <si>
    <t>2026-06-03LRD</t>
  </si>
  <si>
    <t>2026-06-03LSL</t>
  </si>
  <si>
    <t>2026-06-03LYD</t>
  </si>
  <si>
    <t>2026-06-03MAD</t>
  </si>
  <si>
    <t>2026-06-03MDL</t>
  </si>
  <si>
    <t>2026-06-03MGA</t>
  </si>
  <si>
    <t>2026-06-03MKD</t>
  </si>
  <si>
    <t>2026-06-03MMK</t>
  </si>
  <si>
    <t>2026-06-03MNT</t>
  </si>
  <si>
    <t>2026-06-03MOP</t>
  </si>
  <si>
    <t>2026-06-03MRU</t>
  </si>
  <si>
    <t>2026-06-03MUR</t>
  </si>
  <si>
    <t>2026-06-03MVR</t>
  </si>
  <si>
    <t>2026-06-03MWK</t>
  </si>
  <si>
    <t>2026-06-03MXN</t>
  </si>
  <si>
    <t>2026-06-03MYR</t>
  </si>
  <si>
    <t>2026-06-03MZN</t>
  </si>
  <si>
    <t>2026-06-03NAD</t>
  </si>
  <si>
    <t>2026-06-03NGN</t>
  </si>
  <si>
    <t>2026-06-03NIO</t>
  </si>
  <si>
    <t>2026-06-03NOK</t>
  </si>
  <si>
    <t>2026-06-03NPR</t>
  </si>
  <si>
    <t>2026-06-03NZD</t>
  </si>
  <si>
    <t>2026-06-03OMR</t>
  </si>
  <si>
    <t>2026-06-03PAB</t>
  </si>
  <si>
    <t>2026-06-03PEN</t>
  </si>
  <si>
    <t>2026-06-03PGK</t>
  </si>
  <si>
    <t>2026-06-03PHP</t>
  </si>
  <si>
    <t>2026-06-03PKR</t>
  </si>
  <si>
    <t>2026-06-03PLN</t>
  </si>
  <si>
    <t>2026-06-03PYG</t>
  </si>
  <si>
    <t>2026-06-03QAR</t>
  </si>
  <si>
    <t>2026-06-03RON</t>
  </si>
  <si>
    <t>2026-06-03RSD</t>
  </si>
  <si>
    <t>2026-06-03RUB</t>
  </si>
  <si>
    <t>2026-06-03RWF</t>
  </si>
  <si>
    <t>2026-06-03SAR</t>
  </si>
  <si>
    <t>2026-06-03SBD</t>
  </si>
  <si>
    <t>2026-06-03SCR</t>
  </si>
  <si>
    <t>2026-06-03SDG</t>
  </si>
  <si>
    <t>2026-06-03SEK</t>
  </si>
  <si>
    <t>2026-06-03SGD</t>
  </si>
  <si>
    <t>2026-06-03SHP</t>
  </si>
  <si>
    <t>2026-06-03SLE</t>
  </si>
  <si>
    <t>2026-06-03SLL</t>
  </si>
  <si>
    <t>2026-06-03SOS</t>
  </si>
  <si>
    <t>2026-06-03SRD</t>
  </si>
  <si>
    <t>2026-06-03SSP</t>
  </si>
  <si>
    <t>2026-06-03STN</t>
  </si>
  <si>
    <t>2026-06-03SYP</t>
  </si>
  <si>
    <t>2026-06-03SZL</t>
  </si>
  <si>
    <t>2026-06-03THB</t>
  </si>
  <si>
    <t>2026-06-03TJS</t>
  </si>
  <si>
    <t>2026-06-03TMT</t>
  </si>
  <si>
    <t>2026-06-03TND</t>
  </si>
  <si>
    <t>2026-06-03TOP</t>
  </si>
  <si>
    <t>2026-06-03TRY</t>
  </si>
  <si>
    <t>2026-06-03TTD</t>
  </si>
  <si>
    <t>2026-06-03TVD</t>
  </si>
  <si>
    <t>2026-06-03TWD</t>
  </si>
  <si>
    <t>2026-06-03TZS</t>
  </si>
  <si>
    <t>2026-06-03UAH</t>
  </si>
  <si>
    <t>2026-06-03UGX</t>
  </si>
  <si>
    <t>2026-06-03USD</t>
  </si>
  <si>
    <t>2026-06-03UYU</t>
  </si>
  <si>
    <t>2026-06-03UZS</t>
  </si>
  <si>
    <t>2026-06-03VES</t>
  </si>
  <si>
    <t>2026-06-03VND</t>
  </si>
  <si>
    <t>2026-06-03VUV</t>
  </si>
  <si>
    <t>2026-06-03WST</t>
  </si>
  <si>
    <t>2026-06-03XAF</t>
  </si>
  <si>
    <t>2026-06-03XCD</t>
  </si>
  <si>
    <t>2026-06-03XCG</t>
  </si>
  <si>
    <t>2026-06-03XDR</t>
  </si>
  <si>
    <t>2026-06-03XOF</t>
  </si>
  <si>
    <t>2026-06-03XPF</t>
  </si>
  <si>
    <t>2026-06-03YER</t>
  </si>
  <si>
    <t>2026-06-03ZAR</t>
  </si>
  <si>
    <t>2026-06-03ZMW</t>
  </si>
  <si>
    <t>2026-06-03ZWG</t>
  </si>
  <si>
    <t>2026-06-03ZWL</t>
  </si>
  <si>
    <t>2026-06-04EUR</t>
  </si>
  <si>
    <t>2026-06-04AED</t>
  </si>
  <si>
    <t>2026-06-04AFN</t>
  </si>
  <si>
    <t>2026-06-04ALL</t>
  </si>
  <si>
    <t>2026-06-04AMD</t>
  </si>
  <si>
    <t>2026-06-04ANG</t>
  </si>
  <si>
    <t>2026-06-04AOA</t>
  </si>
  <si>
    <t>2026-06-04ARS</t>
  </si>
  <si>
    <t>2026-06-04AUD</t>
  </si>
  <si>
    <t>2026-06-04AWG</t>
  </si>
  <si>
    <t>2026-06-04AZN</t>
  </si>
  <si>
    <t>2026-06-04BAM</t>
  </si>
  <si>
    <t>2026-06-04BBD</t>
  </si>
  <si>
    <t>2026-06-04BDT</t>
  </si>
  <si>
    <t>2026-06-04BGN</t>
  </si>
  <si>
    <t>2026-06-04BHD</t>
  </si>
  <si>
    <t>2026-06-04BIF</t>
  </si>
  <si>
    <t>2026-06-04BMD</t>
  </si>
  <si>
    <t>2026-06-04BND</t>
  </si>
  <si>
    <t>2026-06-04BOB</t>
  </si>
  <si>
    <t>2026-06-04BRL</t>
  </si>
  <si>
    <t>2026-06-04BSD</t>
  </si>
  <si>
    <t>2026-06-04BTN</t>
  </si>
  <si>
    <t>2026-06-04BWP</t>
  </si>
  <si>
    <t>2026-06-04BYN</t>
  </si>
  <si>
    <t>2026-06-04BZD</t>
  </si>
  <si>
    <t>2026-06-04CAD</t>
  </si>
  <si>
    <t>2026-06-04CDF</t>
  </si>
  <si>
    <t>2026-06-04CHF</t>
  </si>
  <si>
    <t>2026-06-04CLF</t>
  </si>
  <si>
    <t>2026-06-04CLP</t>
  </si>
  <si>
    <t>2026-06-04CNH</t>
  </si>
  <si>
    <t>2026-06-04CNY</t>
  </si>
  <si>
    <t>2026-06-04COP</t>
  </si>
  <si>
    <t>2026-06-04CRC</t>
  </si>
  <si>
    <t>2026-06-04CUP</t>
  </si>
  <si>
    <t>2026-06-04CVE</t>
  </si>
  <si>
    <t>2026-06-04CZK</t>
  </si>
  <si>
    <t>2026-06-04DJF</t>
  </si>
  <si>
    <t>2026-06-04DKK</t>
  </si>
  <si>
    <t>2026-06-04DOP</t>
  </si>
  <si>
    <t>2026-06-04DZD</t>
  </si>
  <si>
    <t>2026-06-04EGP</t>
  </si>
  <si>
    <t>2026-06-04ERN</t>
  </si>
  <si>
    <t>2026-06-04ETB</t>
  </si>
  <si>
    <t>2026-06-04FJD</t>
  </si>
  <si>
    <t>2026-06-04FKP</t>
  </si>
  <si>
    <t>2026-06-04FOK</t>
  </si>
  <si>
    <t>2026-06-04GBP</t>
  </si>
  <si>
    <t>2026-06-04GEL</t>
  </si>
  <si>
    <t>2026-06-04GGP</t>
  </si>
  <si>
    <t>2026-06-04GHS</t>
  </si>
  <si>
    <t>2026-06-04GIP</t>
  </si>
  <si>
    <t>2026-06-04GMD</t>
  </si>
  <si>
    <t>2026-06-04GNF</t>
  </si>
  <si>
    <t>2026-06-04GTQ</t>
  </si>
  <si>
    <t>2026-06-04GYD</t>
  </si>
  <si>
    <t>2026-06-04HKD</t>
  </si>
  <si>
    <t>2026-06-04HNL</t>
  </si>
  <si>
    <t>2026-06-04HRK</t>
  </si>
  <si>
    <t>2026-06-04HTG</t>
  </si>
  <si>
    <t>2026-06-04IDR</t>
  </si>
  <si>
    <t>2026-06-04ILS</t>
  </si>
  <si>
    <t>2026-06-04IMP</t>
  </si>
  <si>
    <t>2026-06-04INR</t>
  </si>
  <si>
    <t>2026-06-04IQD</t>
  </si>
  <si>
    <t>2026-06-04IRR</t>
  </si>
  <si>
    <t>2026-06-04ISK</t>
  </si>
  <si>
    <t>2026-06-04JEP</t>
  </si>
  <si>
    <t>2026-06-04JMD</t>
  </si>
  <si>
    <t>2026-06-04JOD</t>
  </si>
  <si>
    <t>2026-06-04JPY</t>
  </si>
  <si>
    <t>2026-06-04KES</t>
  </si>
  <si>
    <t>2026-06-04KGS</t>
  </si>
  <si>
    <t>2026-06-04KHR</t>
  </si>
  <si>
    <t>2026-06-04KID</t>
  </si>
  <si>
    <t>2026-06-04KMF</t>
  </si>
  <si>
    <t>2026-06-04KRW</t>
  </si>
  <si>
    <t>2026-06-04KWD</t>
  </si>
  <si>
    <t>2026-06-04KYD</t>
  </si>
  <si>
    <t>2026-06-04KZT</t>
  </si>
  <si>
    <t>2026-06-04LAK</t>
  </si>
  <si>
    <t>2026-06-04LBP</t>
  </si>
  <si>
    <t>2026-06-04LKR</t>
  </si>
  <si>
    <t>2026-06-04LRD</t>
  </si>
  <si>
    <t>2026-06-04LSL</t>
  </si>
  <si>
    <t>2026-06-04LYD</t>
  </si>
  <si>
    <t>2026-06-04MAD</t>
  </si>
  <si>
    <t>2026-06-04MDL</t>
  </si>
  <si>
    <t>2026-06-04MGA</t>
  </si>
  <si>
    <t>2026-06-04MKD</t>
  </si>
  <si>
    <t>2026-06-04MMK</t>
  </si>
  <si>
    <t>2026-06-04MNT</t>
  </si>
  <si>
    <t>2026-06-04MOP</t>
  </si>
  <si>
    <t>2026-06-04MRU</t>
  </si>
  <si>
    <t>2026-06-04MUR</t>
  </si>
  <si>
    <t>2026-06-04MVR</t>
  </si>
  <si>
    <t>2026-06-04MWK</t>
  </si>
  <si>
    <t>2026-06-04MXN</t>
  </si>
  <si>
    <t>2026-06-04MYR</t>
  </si>
  <si>
    <t>2026-06-04MZN</t>
  </si>
  <si>
    <t>2026-06-04NAD</t>
  </si>
  <si>
    <t>2026-06-04NGN</t>
  </si>
  <si>
    <t>2026-06-04NIO</t>
  </si>
  <si>
    <t>2026-06-04NOK</t>
  </si>
  <si>
    <t>2026-06-04NPR</t>
  </si>
  <si>
    <t>2026-06-04NZD</t>
  </si>
  <si>
    <t>2026-06-04OMR</t>
  </si>
  <si>
    <t>2026-06-04PAB</t>
  </si>
  <si>
    <t>2026-06-04PEN</t>
  </si>
  <si>
    <t>2026-06-04PGK</t>
  </si>
  <si>
    <t>2026-06-04PHP</t>
  </si>
  <si>
    <t>2026-06-04PKR</t>
  </si>
  <si>
    <t>2026-06-04PLN</t>
  </si>
  <si>
    <t>2026-06-04PYG</t>
  </si>
  <si>
    <t>2026-06-04QAR</t>
  </si>
  <si>
    <t>2026-06-04RON</t>
  </si>
  <si>
    <t>2026-06-04RSD</t>
  </si>
  <si>
    <t>2026-06-04RUB</t>
  </si>
  <si>
    <t>2026-06-04RWF</t>
  </si>
  <si>
    <t>2026-06-04SAR</t>
  </si>
  <si>
    <t>2026-06-04SBD</t>
  </si>
  <si>
    <t>2026-06-04SCR</t>
  </si>
  <si>
    <t>2026-06-04SDG</t>
  </si>
  <si>
    <t>2026-06-04SEK</t>
  </si>
  <si>
    <t>2026-06-04SGD</t>
  </si>
  <si>
    <t>2026-06-04SHP</t>
  </si>
  <si>
    <t>2026-06-04SLE</t>
  </si>
  <si>
    <t>2026-06-04SLL</t>
  </si>
  <si>
    <t>2026-06-04SOS</t>
  </si>
  <si>
    <t>2026-06-04SRD</t>
  </si>
  <si>
    <t>2026-06-04SSP</t>
  </si>
  <si>
    <t>2026-06-04STN</t>
  </si>
  <si>
    <t>2026-06-04SYP</t>
  </si>
  <si>
    <t>2026-06-04SZL</t>
  </si>
  <si>
    <t>2026-06-04THB</t>
  </si>
  <si>
    <t>2026-06-04TJS</t>
  </si>
  <si>
    <t>2026-06-04TMT</t>
  </si>
  <si>
    <t>2026-06-04TND</t>
  </si>
  <si>
    <t>2026-06-04TOP</t>
  </si>
  <si>
    <t>2026-06-04TRY</t>
  </si>
  <si>
    <t>2026-06-04TTD</t>
  </si>
  <si>
    <t>2026-06-04TVD</t>
  </si>
  <si>
    <t>2026-06-04TWD</t>
  </si>
  <si>
    <t>2026-06-04TZS</t>
  </si>
  <si>
    <t>2026-06-04UAH</t>
  </si>
  <si>
    <t>2026-06-04UGX</t>
  </si>
  <si>
    <t>2026-06-04USD</t>
  </si>
  <si>
    <t>2026-06-04UYU</t>
  </si>
  <si>
    <t>2026-06-04UZS</t>
  </si>
  <si>
    <t>2026-06-04VES</t>
  </si>
  <si>
    <t>2026-06-04VND</t>
  </si>
  <si>
    <t>2026-06-04VUV</t>
  </si>
  <si>
    <t>2026-06-04WST</t>
  </si>
  <si>
    <t>2026-06-04XAF</t>
  </si>
  <si>
    <t>2026-06-04XCD</t>
  </si>
  <si>
    <t>2026-06-04XCG</t>
  </si>
  <si>
    <t>2026-06-04XDR</t>
  </si>
  <si>
    <t>2026-06-04XOF</t>
  </si>
  <si>
    <t>2026-06-04XPF</t>
  </si>
  <si>
    <t>2026-06-04YER</t>
  </si>
  <si>
    <t>2026-06-04ZAR</t>
  </si>
  <si>
    <t>2026-06-04ZMW</t>
  </si>
  <si>
    <t>2026-06-04ZWG</t>
  </si>
  <si>
    <t>2026-06-04ZWL</t>
  </si>
  <si>
    <t>2026-06-06EUR</t>
  </si>
  <si>
    <t>2026-06-06AED</t>
  </si>
  <si>
    <t>2026-06-06AFN</t>
  </si>
  <si>
    <t>2026-06-06ALL</t>
  </si>
  <si>
    <t>2026-06-06AMD</t>
  </si>
  <si>
    <t>2026-06-06ANG</t>
  </si>
  <si>
    <t>2026-06-06AOA</t>
  </si>
  <si>
    <t>2026-06-06ARS</t>
  </si>
  <si>
    <t>2026-06-06AUD</t>
  </si>
  <si>
    <t>2026-06-06AWG</t>
  </si>
  <si>
    <t>2026-06-06AZN</t>
  </si>
  <si>
    <t>2026-06-06BAM</t>
  </si>
  <si>
    <t>2026-06-06BBD</t>
  </si>
  <si>
    <t>2026-06-06BDT</t>
  </si>
  <si>
    <t>2026-06-06BGN</t>
  </si>
  <si>
    <t>2026-06-06BHD</t>
  </si>
  <si>
    <t>2026-06-06BIF</t>
  </si>
  <si>
    <t>2026-06-06BMD</t>
  </si>
  <si>
    <t>2026-06-06BND</t>
  </si>
  <si>
    <t>2026-06-06BOB</t>
  </si>
  <si>
    <t>2026-06-06BRL</t>
  </si>
  <si>
    <t>2026-06-06BSD</t>
  </si>
  <si>
    <t>2026-06-06BTN</t>
  </si>
  <si>
    <t>2026-06-06BWP</t>
  </si>
  <si>
    <t>2026-06-06BYN</t>
  </si>
  <si>
    <t>2026-06-06BZD</t>
  </si>
  <si>
    <t>2026-06-06CAD</t>
  </si>
  <si>
    <t>2026-06-06CDF</t>
  </si>
  <si>
    <t>2026-06-06CHF</t>
  </si>
  <si>
    <t>2026-06-06CLF</t>
  </si>
  <si>
    <t>2026-06-06CLP</t>
  </si>
  <si>
    <t>2026-06-06CNH</t>
  </si>
  <si>
    <t>2026-06-06CNY</t>
  </si>
  <si>
    <t>2026-06-06COP</t>
  </si>
  <si>
    <t>2026-06-06CRC</t>
  </si>
  <si>
    <t>2026-06-06CUP</t>
  </si>
  <si>
    <t>2026-06-06CVE</t>
  </si>
  <si>
    <t>2026-06-06CZK</t>
  </si>
  <si>
    <t>2026-06-06DJF</t>
  </si>
  <si>
    <t>2026-06-06DKK</t>
  </si>
  <si>
    <t>2026-06-06DOP</t>
  </si>
  <si>
    <t>2026-06-06DZD</t>
  </si>
  <si>
    <t>2026-06-06EGP</t>
  </si>
  <si>
    <t>2026-06-06ERN</t>
  </si>
  <si>
    <t>2026-06-06ETB</t>
  </si>
  <si>
    <t>2026-06-06FJD</t>
  </si>
  <si>
    <t>2026-06-06FKP</t>
  </si>
  <si>
    <t>2026-06-06FOK</t>
  </si>
  <si>
    <t>2026-06-06GBP</t>
  </si>
  <si>
    <t>2026-06-06GEL</t>
  </si>
  <si>
    <t>2026-06-06GGP</t>
  </si>
  <si>
    <t>2026-06-06GHS</t>
  </si>
  <si>
    <t>2026-06-06GIP</t>
  </si>
  <si>
    <t>2026-06-06GMD</t>
  </si>
  <si>
    <t>2026-06-06GNF</t>
  </si>
  <si>
    <t>2026-06-06GTQ</t>
  </si>
  <si>
    <t>2026-06-06GYD</t>
  </si>
  <si>
    <t>2026-06-06HKD</t>
  </si>
  <si>
    <t>2026-06-06HNL</t>
  </si>
  <si>
    <t>2026-06-06HRK</t>
  </si>
  <si>
    <t>2026-06-06HTG</t>
  </si>
  <si>
    <t>2026-06-06IDR</t>
  </si>
  <si>
    <t>2026-06-06ILS</t>
  </si>
  <si>
    <t>2026-06-06IMP</t>
  </si>
  <si>
    <t>2026-06-06INR</t>
  </si>
  <si>
    <t>2026-06-06IQD</t>
  </si>
  <si>
    <t>2026-06-06IRR</t>
  </si>
  <si>
    <t>2026-06-06ISK</t>
  </si>
  <si>
    <t>2026-06-06JEP</t>
  </si>
  <si>
    <t>2026-06-06JMD</t>
  </si>
  <si>
    <t>2026-06-06JOD</t>
  </si>
  <si>
    <t>2026-06-06JPY</t>
  </si>
  <si>
    <t>2026-06-06KES</t>
  </si>
  <si>
    <t>2026-06-06KGS</t>
  </si>
  <si>
    <t>2026-06-06KHR</t>
  </si>
  <si>
    <t>2026-06-06KID</t>
  </si>
  <si>
    <t>2026-06-06KMF</t>
  </si>
  <si>
    <t>2026-06-06KRW</t>
  </si>
  <si>
    <t>2026-06-06KWD</t>
  </si>
  <si>
    <t>2026-06-06KYD</t>
  </si>
  <si>
    <t>2026-06-06KZT</t>
  </si>
  <si>
    <t>2026-06-06LAK</t>
  </si>
  <si>
    <t>2026-06-06LBP</t>
  </si>
  <si>
    <t>2026-06-06LKR</t>
  </si>
  <si>
    <t>2026-06-06LRD</t>
  </si>
  <si>
    <t>2026-06-06LSL</t>
  </si>
  <si>
    <t>2026-06-06LYD</t>
  </si>
  <si>
    <t>2026-06-06MAD</t>
  </si>
  <si>
    <t>2026-06-06MDL</t>
  </si>
  <si>
    <t>2026-06-06MGA</t>
  </si>
  <si>
    <t>2026-06-06MKD</t>
  </si>
  <si>
    <t>2026-06-06MMK</t>
  </si>
  <si>
    <t>2026-06-06MNT</t>
  </si>
  <si>
    <t>2026-06-06MOP</t>
  </si>
  <si>
    <t>2026-06-06MRU</t>
  </si>
  <si>
    <t>2026-06-06MUR</t>
  </si>
  <si>
    <t>2026-06-06MVR</t>
  </si>
  <si>
    <t>2026-06-06MWK</t>
  </si>
  <si>
    <t>2026-06-06MXN</t>
  </si>
  <si>
    <t>2026-06-06MYR</t>
  </si>
  <si>
    <t>2026-06-06MZN</t>
  </si>
  <si>
    <t>2026-06-06NAD</t>
  </si>
  <si>
    <t>2026-06-06NGN</t>
  </si>
  <si>
    <t>2026-06-06NIO</t>
  </si>
  <si>
    <t>2026-06-06NOK</t>
  </si>
  <si>
    <t>2026-06-06NPR</t>
  </si>
  <si>
    <t>2026-06-06NZD</t>
  </si>
  <si>
    <t>2026-06-06OMR</t>
  </si>
  <si>
    <t>2026-06-06PAB</t>
  </si>
  <si>
    <t>2026-06-06PEN</t>
  </si>
  <si>
    <t>2026-06-06PGK</t>
  </si>
  <si>
    <t>2026-06-06PHP</t>
  </si>
  <si>
    <t>2026-06-06PKR</t>
  </si>
  <si>
    <t>2026-06-06PLN</t>
  </si>
  <si>
    <t>2026-06-06PYG</t>
  </si>
  <si>
    <t>2026-06-06QAR</t>
  </si>
  <si>
    <t>2026-06-06RON</t>
  </si>
  <si>
    <t>2026-06-06RSD</t>
  </si>
  <si>
    <t>2026-06-06RUB</t>
  </si>
  <si>
    <t>2026-06-06RWF</t>
  </si>
  <si>
    <t>2026-06-06SAR</t>
  </si>
  <si>
    <t>2026-06-06SBD</t>
  </si>
  <si>
    <t>2026-06-06SCR</t>
  </si>
  <si>
    <t>2026-06-06SDG</t>
  </si>
  <si>
    <t>2026-06-06SEK</t>
  </si>
  <si>
    <t>2026-06-06SGD</t>
  </si>
  <si>
    <t>2026-06-06SHP</t>
  </si>
  <si>
    <t>2026-06-06SLE</t>
  </si>
  <si>
    <t>2026-06-06SLL</t>
  </si>
  <si>
    <t>2026-06-06SOS</t>
  </si>
  <si>
    <t>2026-06-06SRD</t>
  </si>
  <si>
    <t>2026-06-06SSP</t>
  </si>
  <si>
    <t>2026-06-06STN</t>
  </si>
  <si>
    <t>2026-06-06SYP</t>
  </si>
  <si>
    <t>2026-06-06SZL</t>
  </si>
  <si>
    <t>2026-06-06THB</t>
  </si>
  <si>
    <t>2026-06-06TJS</t>
  </si>
  <si>
    <t>2026-06-06TMT</t>
  </si>
  <si>
    <t>2026-06-06TND</t>
  </si>
  <si>
    <t>2026-06-06TOP</t>
  </si>
  <si>
    <t>2026-06-06TRY</t>
  </si>
  <si>
    <t>2026-06-06TTD</t>
  </si>
  <si>
    <t>2026-06-06TVD</t>
  </si>
  <si>
    <t>2026-06-06TWD</t>
  </si>
  <si>
    <t>2026-06-06TZS</t>
  </si>
  <si>
    <t>2026-06-06UAH</t>
  </si>
  <si>
    <t>2026-06-06UGX</t>
  </si>
  <si>
    <t>2026-06-06USD</t>
  </si>
  <si>
    <t>2026-06-06UYU</t>
  </si>
  <si>
    <t>2026-06-06UZS</t>
  </si>
  <si>
    <t>2026-06-06VES</t>
  </si>
  <si>
    <t>2026-06-06VND</t>
  </si>
  <si>
    <t>2026-06-06VUV</t>
  </si>
  <si>
    <t>2026-06-06WST</t>
  </si>
  <si>
    <t>2026-06-06XAF</t>
  </si>
  <si>
    <t>2026-06-06XCD</t>
  </si>
  <si>
    <t>2026-06-06XCG</t>
  </si>
  <si>
    <t>2026-06-06XDR</t>
  </si>
  <si>
    <t>2026-06-06XOF</t>
  </si>
  <si>
    <t>2026-06-06XPF</t>
  </si>
  <si>
    <t>2026-06-06YER</t>
  </si>
  <si>
    <t>2026-06-06ZAR</t>
  </si>
  <si>
    <t>2026-06-06ZMW</t>
  </si>
  <si>
    <t>2026-06-06ZWG</t>
  </si>
  <si>
    <t>2026-06-06ZWL</t>
  </si>
  <si>
    <t>2026-06-07EUR</t>
  </si>
  <si>
    <t>2026-06-07AED</t>
  </si>
  <si>
    <t>2026-06-07AFN</t>
  </si>
  <si>
    <t>2026-06-07ALL</t>
  </si>
  <si>
    <t>2026-06-07AMD</t>
  </si>
  <si>
    <t>2026-06-07ANG</t>
  </si>
  <si>
    <t>2026-06-07AOA</t>
  </si>
  <si>
    <t>2026-06-07ARS</t>
  </si>
  <si>
    <t>2026-06-07AUD</t>
  </si>
  <si>
    <t>2026-06-07AWG</t>
  </si>
  <si>
    <t>2026-06-07AZN</t>
  </si>
  <si>
    <t>2026-06-07BAM</t>
  </si>
  <si>
    <t>2026-06-07BBD</t>
  </si>
  <si>
    <t>2026-06-07BDT</t>
  </si>
  <si>
    <t>2026-06-07BGN</t>
  </si>
  <si>
    <t>2026-06-07BHD</t>
  </si>
  <si>
    <t>2026-06-07BIF</t>
  </si>
  <si>
    <t>2026-06-07BMD</t>
  </si>
  <si>
    <t>2026-06-07BND</t>
  </si>
  <si>
    <t>2026-06-07BOB</t>
  </si>
  <si>
    <t>2026-06-07BRL</t>
  </si>
  <si>
    <t>2026-06-07BSD</t>
  </si>
  <si>
    <t>2026-06-07BTN</t>
  </si>
  <si>
    <t>2026-06-07BWP</t>
  </si>
  <si>
    <t>2026-06-07BYN</t>
  </si>
  <si>
    <t>2026-06-07BZD</t>
  </si>
  <si>
    <t>2026-06-07CAD</t>
  </si>
  <si>
    <t>2026-06-07CDF</t>
  </si>
  <si>
    <t>2026-06-07CHF</t>
  </si>
  <si>
    <t>2026-06-07CLF</t>
  </si>
  <si>
    <t>2026-06-07CLP</t>
  </si>
  <si>
    <t>2026-06-07CNH</t>
  </si>
  <si>
    <t>2026-06-07CNY</t>
  </si>
  <si>
    <t>2026-06-07COP</t>
  </si>
  <si>
    <t>2026-06-07CRC</t>
  </si>
  <si>
    <t>2026-06-07CUP</t>
  </si>
  <si>
    <t>2026-06-07CVE</t>
  </si>
  <si>
    <t>2026-06-07CZK</t>
  </si>
  <si>
    <t>2026-06-07DJF</t>
  </si>
  <si>
    <t>2026-06-07DKK</t>
  </si>
  <si>
    <t>2026-06-07DOP</t>
  </si>
  <si>
    <t>2026-06-07DZD</t>
  </si>
  <si>
    <t>2026-06-07EGP</t>
  </si>
  <si>
    <t>2026-06-07ERN</t>
  </si>
  <si>
    <t>2026-06-07ETB</t>
  </si>
  <si>
    <t>2026-06-07FJD</t>
  </si>
  <si>
    <t>2026-06-07FKP</t>
  </si>
  <si>
    <t>2026-06-07FOK</t>
  </si>
  <si>
    <t>2026-06-07GBP</t>
  </si>
  <si>
    <t>2026-06-07GEL</t>
  </si>
  <si>
    <t>2026-06-07GGP</t>
  </si>
  <si>
    <t>2026-06-07GHS</t>
  </si>
  <si>
    <t>2026-06-07GIP</t>
  </si>
  <si>
    <t>2026-06-07GMD</t>
  </si>
  <si>
    <t>2026-06-07GNF</t>
  </si>
  <si>
    <t>2026-06-07GTQ</t>
  </si>
  <si>
    <t>2026-06-07GYD</t>
  </si>
  <si>
    <t>2026-06-07HKD</t>
  </si>
  <si>
    <t>2026-06-07HNL</t>
  </si>
  <si>
    <t>2026-06-07HRK</t>
  </si>
  <si>
    <t>2026-06-07HTG</t>
  </si>
  <si>
    <t>2026-06-07IDR</t>
  </si>
  <si>
    <t>2026-06-07ILS</t>
  </si>
  <si>
    <t>2026-06-07IMP</t>
  </si>
  <si>
    <t>2026-06-07INR</t>
  </si>
  <si>
    <t>2026-06-07IQD</t>
  </si>
  <si>
    <t>2026-06-07IRR</t>
  </si>
  <si>
    <t>2026-06-07ISK</t>
  </si>
  <si>
    <t>2026-06-07JEP</t>
  </si>
  <si>
    <t>2026-06-07JMD</t>
  </si>
  <si>
    <t>2026-06-07JOD</t>
  </si>
  <si>
    <t>2026-06-07JPY</t>
  </si>
  <si>
    <t>2026-06-07KES</t>
  </si>
  <si>
    <t>2026-06-07KGS</t>
  </si>
  <si>
    <t>2026-06-07KHR</t>
  </si>
  <si>
    <t>2026-06-07KID</t>
  </si>
  <si>
    <t>2026-06-07KMF</t>
  </si>
  <si>
    <t>2026-06-07KRW</t>
  </si>
  <si>
    <t>2026-06-07KWD</t>
  </si>
  <si>
    <t>2026-06-07KYD</t>
  </si>
  <si>
    <t>2026-06-07KZT</t>
  </si>
  <si>
    <t>2026-06-07LAK</t>
  </si>
  <si>
    <t>2026-06-07LBP</t>
  </si>
  <si>
    <t>2026-06-07LKR</t>
  </si>
  <si>
    <t>2026-06-07LRD</t>
  </si>
  <si>
    <t>2026-06-07LSL</t>
  </si>
  <si>
    <t>2026-06-07LYD</t>
  </si>
  <si>
    <t>2026-06-07MAD</t>
  </si>
  <si>
    <t>2026-06-07MDL</t>
  </si>
  <si>
    <t>2026-06-07MGA</t>
  </si>
  <si>
    <t>2026-06-07MKD</t>
  </si>
  <si>
    <t>2026-06-07MMK</t>
  </si>
  <si>
    <t>2026-06-07MNT</t>
  </si>
  <si>
    <t>2026-06-07MOP</t>
  </si>
  <si>
    <t>2026-06-07MRU</t>
  </si>
  <si>
    <t>2026-06-07MUR</t>
  </si>
  <si>
    <t>2026-06-07MVR</t>
  </si>
  <si>
    <t>2026-06-07MWK</t>
  </si>
  <si>
    <t>2026-06-07MXN</t>
  </si>
  <si>
    <t>2026-06-07MYR</t>
  </si>
  <si>
    <t>2026-06-07MZN</t>
  </si>
  <si>
    <t>2026-06-07NAD</t>
  </si>
  <si>
    <t>2026-06-07NGN</t>
  </si>
  <si>
    <t>2026-06-07NIO</t>
  </si>
  <si>
    <t>2026-06-07NOK</t>
  </si>
  <si>
    <t>2026-06-07NPR</t>
  </si>
  <si>
    <t>2026-06-07NZD</t>
  </si>
  <si>
    <t>2026-06-07OMR</t>
  </si>
  <si>
    <t>2026-06-07PAB</t>
  </si>
  <si>
    <t>2026-06-07PEN</t>
  </si>
  <si>
    <t>2026-06-07PGK</t>
  </si>
  <si>
    <t>2026-06-07PHP</t>
  </si>
  <si>
    <t>2026-06-07PKR</t>
  </si>
  <si>
    <t>2026-06-07PLN</t>
  </si>
  <si>
    <t>2026-06-07PYG</t>
  </si>
  <si>
    <t>2026-06-07QAR</t>
  </si>
  <si>
    <t>2026-06-07RON</t>
  </si>
  <si>
    <t>2026-06-07RSD</t>
  </si>
  <si>
    <t>2026-06-07RUB</t>
  </si>
  <si>
    <t>2026-06-07RWF</t>
  </si>
  <si>
    <t>2026-06-07SAR</t>
  </si>
  <si>
    <t>2026-06-07SBD</t>
  </si>
  <si>
    <t>2026-06-07SCR</t>
  </si>
  <si>
    <t>2026-06-07SDG</t>
  </si>
  <si>
    <t>2026-06-07SEK</t>
  </si>
  <si>
    <t>2026-06-07SGD</t>
  </si>
  <si>
    <t>2026-06-07SHP</t>
  </si>
  <si>
    <t>2026-06-07SLE</t>
  </si>
  <si>
    <t>2026-06-07SLL</t>
  </si>
  <si>
    <t>2026-06-07SOS</t>
  </si>
  <si>
    <t>2026-06-07SRD</t>
  </si>
  <si>
    <t>2026-06-07SSP</t>
  </si>
  <si>
    <t>2026-06-07STN</t>
  </si>
  <si>
    <t>2026-06-07SYP</t>
  </si>
  <si>
    <t>2026-06-07SZL</t>
  </si>
  <si>
    <t>2026-06-07THB</t>
  </si>
  <si>
    <t>2026-06-07TJS</t>
  </si>
  <si>
    <t>2026-06-07TMT</t>
  </si>
  <si>
    <t>2026-06-07TND</t>
  </si>
  <si>
    <t>2026-06-07TOP</t>
  </si>
  <si>
    <t>2026-06-07TRY</t>
  </si>
  <si>
    <t>2026-06-07TTD</t>
  </si>
  <si>
    <t>2026-06-07TVD</t>
  </si>
  <si>
    <t>2026-06-07TWD</t>
  </si>
  <si>
    <t>2026-06-07TZS</t>
  </si>
  <si>
    <t>2026-06-07UAH</t>
  </si>
  <si>
    <t>2026-06-07UGX</t>
  </si>
  <si>
    <t>2026-06-07USD</t>
  </si>
  <si>
    <t>2026-06-07UYU</t>
  </si>
  <si>
    <t>2026-06-07UZS</t>
  </si>
  <si>
    <t>2026-06-07VES</t>
  </si>
  <si>
    <t>2026-06-07VND</t>
  </si>
  <si>
    <t>2026-06-07VUV</t>
  </si>
  <si>
    <t>2026-06-07WST</t>
  </si>
  <si>
    <t>2026-06-07XAF</t>
  </si>
  <si>
    <t>2026-06-07XCD</t>
  </si>
  <si>
    <t>2026-06-07XCG</t>
  </si>
  <si>
    <t>2026-06-07XDR</t>
  </si>
  <si>
    <t>2026-06-07XOF</t>
  </si>
  <si>
    <t>2026-06-07XPF</t>
  </si>
  <si>
    <t>2026-06-07YER</t>
  </si>
  <si>
    <t>2026-06-07ZAR</t>
  </si>
  <si>
    <t>2026-06-07ZMW</t>
  </si>
  <si>
    <t>2026-06-07ZWG</t>
  </si>
  <si>
    <t>2026-06-07ZWL</t>
  </si>
  <si>
    <t>2026-06-09EUR</t>
  </si>
  <si>
    <t>2026-06-09AED</t>
  </si>
  <si>
    <t>2026-06-09AFN</t>
  </si>
  <si>
    <t>2026-06-09ALL</t>
  </si>
  <si>
    <t>2026-06-09AMD</t>
  </si>
  <si>
    <t>2026-06-09ANG</t>
  </si>
  <si>
    <t>2026-06-09AOA</t>
  </si>
  <si>
    <t>2026-06-09ARS</t>
  </si>
  <si>
    <t>2026-06-09AUD</t>
  </si>
  <si>
    <t>2026-06-09AWG</t>
  </si>
  <si>
    <t>2026-06-09AZN</t>
  </si>
  <si>
    <t>2026-06-09BAM</t>
  </si>
  <si>
    <t>2026-06-09BBD</t>
  </si>
  <si>
    <t>2026-06-09BDT</t>
  </si>
  <si>
    <t>2026-06-09BGN</t>
  </si>
  <si>
    <t>2026-06-09BHD</t>
  </si>
  <si>
    <t>2026-06-09BIF</t>
  </si>
  <si>
    <t>2026-06-09BMD</t>
  </si>
  <si>
    <t>2026-06-09BND</t>
  </si>
  <si>
    <t>2026-06-09BOB</t>
  </si>
  <si>
    <t>2026-06-09BRL</t>
  </si>
  <si>
    <t>2026-06-09BSD</t>
  </si>
  <si>
    <t>2026-06-09BTN</t>
  </si>
  <si>
    <t>2026-06-09BWP</t>
  </si>
  <si>
    <t>2026-06-09BYN</t>
  </si>
  <si>
    <t>2026-06-09BZD</t>
  </si>
  <si>
    <t>2026-06-09CAD</t>
  </si>
  <si>
    <t>2026-06-09CDF</t>
  </si>
  <si>
    <t>2026-06-09CHF</t>
  </si>
  <si>
    <t>2026-06-09CLF</t>
  </si>
  <si>
    <t>2026-06-09CLP</t>
  </si>
  <si>
    <t>2026-06-09CNH</t>
  </si>
  <si>
    <t>2026-06-09CNY</t>
  </si>
  <si>
    <t>2026-06-09COP</t>
  </si>
  <si>
    <t>2026-06-09CRC</t>
  </si>
  <si>
    <t>2026-06-09CUP</t>
  </si>
  <si>
    <t>2026-06-09CVE</t>
  </si>
  <si>
    <t>2026-06-09CZK</t>
  </si>
  <si>
    <t>2026-06-09DJF</t>
  </si>
  <si>
    <t>2026-06-09DKK</t>
  </si>
  <si>
    <t>2026-06-09DOP</t>
  </si>
  <si>
    <t>2026-06-09DZD</t>
  </si>
  <si>
    <t>2026-06-09EGP</t>
  </si>
  <si>
    <t>2026-06-09ERN</t>
  </si>
  <si>
    <t>2026-06-09ETB</t>
  </si>
  <si>
    <t>2026-06-09FJD</t>
  </si>
  <si>
    <t>2026-06-09FKP</t>
  </si>
  <si>
    <t>2026-06-09FOK</t>
  </si>
  <si>
    <t>2026-06-09GBP</t>
  </si>
  <si>
    <t>2026-06-09GEL</t>
  </si>
  <si>
    <t>2026-06-09GGP</t>
  </si>
  <si>
    <t>2026-06-09GHS</t>
  </si>
  <si>
    <t>2026-06-09GIP</t>
  </si>
  <si>
    <t>2026-06-09GMD</t>
  </si>
  <si>
    <t>2026-06-09GNF</t>
  </si>
  <si>
    <t>2026-06-09GTQ</t>
  </si>
  <si>
    <t>2026-06-09GYD</t>
  </si>
  <si>
    <t>2026-06-09HKD</t>
  </si>
  <si>
    <t>2026-06-09HNL</t>
  </si>
  <si>
    <t>2026-06-09HRK</t>
  </si>
  <si>
    <t>2026-06-09HTG</t>
  </si>
  <si>
    <t>2026-06-09IDR</t>
  </si>
  <si>
    <t>2026-06-09ILS</t>
  </si>
  <si>
    <t>2026-06-09IMP</t>
  </si>
  <si>
    <t>2026-06-09INR</t>
  </si>
  <si>
    <t>2026-06-09IQD</t>
  </si>
  <si>
    <t>2026-06-09IRR</t>
  </si>
  <si>
    <t>2026-06-09ISK</t>
  </si>
  <si>
    <t>2026-06-09JEP</t>
  </si>
  <si>
    <t>2026-06-09JMD</t>
  </si>
  <si>
    <t>2026-06-09JOD</t>
  </si>
  <si>
    <t>2026-06-09JPY</t>
  </si>
  <si>
    <t>2026-06-09KES</t>
  </si>
  <si>
    <t>2026-06-09KGS</t>
  </si>
  <si>
    <t>2026-06-09KHR</t>
  </si>
  <si>
    <t>2026-06-09KID</t>
  </si>
  <si>
    <t>2026-06-09KMF</t>
  </si>
  <si>
    <t>2026-06-09KRW</t>
  </si>
  <si>
    <t>2026-06-09KWD</t>
  </si>
  <si>
    <t>2026-06-09KYD</t>
  </si>
  <si>
    <t>2026-06-09KZT</t>
  </si>
  <si>
    <t>2026-06-09LAK</t>
  </si>
  <si>
    <t>2026-06-09LBP</t>
  </si>
  <si>
    <t>2026-06-09LKR</t>
  </si>
  <si>
    <t>2026-06-09LRD</t>
  </si>
  <si>
    <t>2026-06-09LSL</t>
  </si>
  <si>
    <t>2026-06-09LYD</t>
  </si>
  <si>
    <t>2026-06-09MAD</t>
  </si>
  <si>
    <t>2026-06-09MDL</t>
  </si>
  <si>
    <t>2026-06-09MGA</t>
  </si>
  <si>
    <t>2026-06-09MKD</t>
  </si>
  <si>
    <t>2026-06-09MMK</t>
  </si>
  <si>
    <t>2026-06-09MNT</t>
  </si>
  <si>
    <t>2026-06-09MOP</t>
  </si>
  <si>
    <t>2026-06-09MRU</t>
  </si>
  <si>
    <t>2026-06-09MUR</t>
  </si>
  <si>
    <t>2026-06-09MVR</t>
  </si>
  <si>
    <t>2026-06-09MWK</t>
  </si>
  <si>
    <t>2026-06-09MXN</t>
  </si>
  <si>
    <t>2026-06-09MYR</t>
  </si>
  <si>
    <t>2026-06-09MZN</t>
  </si>
  <si>
    <t>2026-06-09NAD</t>
  </si>
  <si>
    <t>2026-06-09NGN</t>
  </si>
  <si>
    <t>2026-06-09NIO</t>
  </si>
  <si>
    <t>2026-06-09NOK</t>
  </si>
  <si>
    <t>2026-06-09NPR</t>
  </si>
  <si>
    <t>2026-06-09NZD</t>
  </si>
  <si>
    <t>2026-06-09OMR</t>
  </si>
  <si>
    <t>2026-06-09PAB</t>
  </si>
  <si>
    <t>2026-06-09PEN</t>
  </si>
  <si>
    <t>2026-06-09PGK</t>
  </si>
  <si>
    <t>2026-06-09PHP</t>
  </si>
  <si>
    <t>2026-06-09PKR</t>
  </si>
  <si>
    <t>2026-06-09PLN</t>
  </si>
  <si>
    <t>2026-06-09PYG</t>
  </si>
  <si>
    <t>2026-06-09QAR</t>
  </si>
  <si>
    <t>2026-06-09RON</t>
  </si>
  <si>
    <t>2026-06-09RSD</t>
  </si>
  <si>
    <t>2026-06-09RUB</t>
  </si>
  <si>
    <t>2026-06-09RWF</t>
  </si>
  <si>
    <t>2026-06-09SAR</t>
  </si>
  <si>
    <t>2026-06-09SBD</t>
  </si>
  <si>
    <t>2026-06-09SCR</t>
  </si>
  <si>
    <t>2026-06-09SDG</t>
  </si>
  <si>
    <t>2026-06-09SEK</t>
  </si>
  <si>
    <t>2026-06-09SGD</t>
  </si>
  <si>
    <t>2026-06-09SHP</t>
  </si>
  <si>
    <t>2026-06-09SLE</t>
  </si>
  <si>
    <t>2026-06-09SLL</t>
  </si>
  <si>
    <t>2026-06-09SOS</t>
  </si>
  <si>
    <t>2026-06-09SRD</t>
  </si>
  <si>
    <t>2026-06-09SSP</t>
  </si>
  <si>
    <t>2026-06-09STN</t>
  </si>
  <si>
    <t>2026-06-09SYP</t>
  </si>
  <si>
    <t>2026-06-09SZL</t>
  </si>
  <si>
    <t>2026-06-09THB</t>
  </si>
  <si>
    <t>2026-06-09TJS</t>
  </si>
  <si>
    <t>2026-06-09TMT</t>
  </si>
  <si>
    <t>2026-06-09TND</t>
  </si>
  <si>
    <t>2026-06-09TOP</t>
  </si>
  <si>
    <t>2026-06-09TRY</t>
  </si>
  <si>
    <t>2026-06-09TTD</t>
  </si>
  <si>
    <t>2026-06-09TVD</t>
  </si>
  <si>
    <t>2026-06-09TWD</t>
  </si>
  <si>
    <t>2026-06-09TZS</t>
  </si>
  <si>
    <t>2026-06-09UAH</t>
  </si>
  <si>
    <t>2026-06-09UGX</t>
  </si>
  <si>
    <t>2026-06-09USD</t>
  </si>
  <si>
    <t>2026-06-09UYU</t>
  </si>
  <si>
    <t>2026-06-09UZS</t>
  </si>
  <si>
    <t>2026-06-09VES</t>
  </si>
  <si>
    <t>2026-06-09VND</t>
  </si>
  <si>
    <t>2026-06-09VUV</t>
  </si>
  <si>
    <t>2026-06-09WST</t>
  </si>
  <si>
    <t>2026-06-09XAF</t>
  </si>
  <si>
    <t>2026-06-09XCD</t>
  </si>
  <si>
    <t>2026-06-09XCG</t>
  </si>
  <si>
    <t>2026-06-09XDR</t>
  </si>
  <si>
    <t>2026-06-09XOF</t>
  </si>
  <si>
    <t>2026-06-09XPF</t>
  </si>
  <si>
    <t>2026-06-09YER</t>
  </si>
  <si>
    <t>2026-06-09ZAR</t>
  </si>
  <si>
    <t>2026-06-09ZMW</t>
  </si>
  <si>
    <t>2026-06-09ZWG</t>
  </si>
  <si>
    <t>2026-06-09ZWL</t>
  </si>
  <si>
    <t>2026-06-10EUR</t>
  </si>
  <si>
    <t>2026-06-10AED</t>
  </si>
  <si>
    <t>2026-06-10AFN</t>
  </si>
  <si>
    <t>2026-06-10ALL</t>
  </si>
  <si>
    <t>2026-06-10AMD</t>
  </si>
  <si>
    <t>2026-06-10ANG</t>
  </si>
  <si>
    <t>2026-06-10AOA</t>
  </si>
  <si>
    <t>2026-06-10ARS</t>
  </si>
  <si>
    <t>2026-06-10AUD</t>
  </si>
  <si>
    <t>2026-06-10AWG</t>
  </si>
  <si>
    <t>2026-06-10AZN</t>
  </si>
  <si>
    <t>2026-06-10BAM</t>
  </si>
  <si>
    <t>2026-06-10BBD</t>
  </si>
  <si>
    <t>2026-06-10BDT</t>
  </si>
  <si>
    <t>2026-06-10BGN</t>
  </si>
  <si>
    <t>2026-06-10BHD</t>
  </si>
  <si>
    <t>2026-06-10BIF</t>
  </si>
  <si>
    <t>2026-06-10BMD</t>
  </si>
  <si>
    <t>2026-06-10BND</t>
  </si>
  <si>
    <t>2026-06-10BOB</t>
  </si>
  <si>
    <t>2026-06-10BRL</t>
  </si>
  <si>
    <t>2026-06-10BSD</t>
  </si>
  <si>
    <t>2026-06-10BTN</t>
  </si>
  <si>
    <t>2026-06-10BWP</t>
  </si>
  <si>
    <t>2026-06-10BYN</t>
  </si>
  <si>
    <t>2026-06-10BZD</t>
  </si>
  <si>
    <t>2026-06-10CAD</t>
  </si>
  <si>
    <t>2026-06-10CDF</t>
  </si>
  <si>
    <t>2026-06-10CHF</t>
  </si>
  <si>
    <t>2026-06-10CLF</t>
  </si>
  <si>
    <t>2026-06-10CLP</t>
  </si>
  <si>
    <t>2026-06-10CNH</t>
  </si>
  <si>
    <t>2026-06-10CNY</t>
  </si>
  <si>
    <t>2026-06-10COP</t>
  </si>
  <si>
    <t>2026-06-10CRC</t>
  </si>
  <si>
    <t>2026-06-10CUP</t>
  </si>
  <si>
    <t>2026-06-10CVE</t>
  </si>
  <si>
    <t>2026-06-10CZK</t>
  </si>
  <si>
    <t>2026-06-10DJF</t>
  </si>
  <si>
    <t>2026-06-10DKK</t>
  </si>
  <si>
    <t>2026-06-10DOP</t>
  </si>
  <si>
    <t>2026-06-10DZD</t>
  </si>
  <si>
    <t>2026-06-10EGP</t>
  </si>
  <si>
    <t>2026-06-10ERN</t>
  </si>
  <si>
    <t>2026-06-10ETB</t>
  </si>
  <si>
    <t>2026-06-10FJD</t>
  </si>
  <si>
    <t>2026-06-10FKP</t>
  </si>
  <si>
    <t>2026-06-10FOK</t>
  </si>
  <si>
    <t>2026-06-10GBP</t>
  </si>
  <si>
    <t>2026-06-10GEL</t>
  </si>
  <si>
    <t>2026-06-10GGP</t>
  </si>
  <si>
    <t>2026-06-10GHS</t>
  </si>
  <si>
    <t>2026-06-10GIP</t>
  </si>
  <si>
    <t>2026-06-10GMD</t>
  </si>
  <si>
    <t>2026-06-10GNF</t>
  </si>
  <si>
    <t>2026-06-10GTQ</t>
  </si>
  <si>
    <t>2026-06-10GYD</t>
  </si>
  <si>
    <t>2026-06-10HKD</t>
  </si>
  <si>
    <t>2026-06-10HNL</t>
  </si>
  <si>
    <t>2026-06-10HRK</t>
  </si>
  <si>
    <t>2026-06-10HTG</t>
  </si>
  <si>
    <t>2026-06-10IDR</t>
  </si>
  <si>
    <t>2026-06-10ILS</t>
  </si>
  <si>
    <t>2026-06-10IMP</t>
  </si>
  <si>
    <t>2026-06-10INR</t>
  </si>
  <si>
    <t>2026-06-10IQD</t>
  </si>
  <si>
    <t>2026-06-10IRR</t>
  </si>
  <si>
    <t>2026-06-10ISK</t>
  </si>
  <si>
    <t>2026-06-10JEP</t>
  </si>
  <si>
    <t>2026-06-10JMD</t>
  </si>
  <si>
    <t>2026-06-10JOD</t>
  </si>
  <si>
    <t>2026-06-10JPY</t>
  </si>
  <si>
    <t>2026-06-10KES</t>
  </si>
  <si>
    <t>2026-06-10KGS</t>
  </si>
  <si>
    <t>2026-06-10KHR</t>
  </si>
  <si>
    <t>2026-06-10KID</t>
  </si>
  <si>
    <t>2026-06-10KMF</t>
  </si>
  <si>
    <t>2026-06-10KRW</t>
  </si>
  <si>
    <t>2026-06-10KWD</t>
  </si>
  <si>
    <t>2026-06-10KYD</t>
  </si>
  <si>
    <t>2026-06-10KZT</t>
  </si>
  <si>
    <t>2026-06-10LAK</t>
  </si>
  <si>
    <t>2026-06-10LBP</t>
  </si>
  <si>
    <t>2026-06-10LKR</t>
  </si>
  <si>
    <t>2026-06-10LRD</t>
  </si>
  <si>
    <t>2026-06-10LSL</t>
  </si>
  <si>
    <t>2026-06-10LYD</t>
  </si>
  <si>
    <t>2026-06-10MAD</t>
  </si>
  <si>
    <t>2026-06-10MDL</t>
  </si>
  <si>
    <t>2026-06-10MGA</t>
  </si>
  <si>
    <t>2026-06-10MKD</t>
  </si>
  <si>
    <t>2026-06-10MMK</t>
  </si>
  <si>
    <t>2026-06-10MNT</t>
  </si>
  <si>
    <t>2026-06-10MOP</t>
  </si>
  <si>
    <t>2026-06-10MRU</t>
  </si>
  <si>
    <t>2026-06-10MUR</t>
  </si>
  <si>
    <t>2026-06-10MVR</t>
  </si>
  <si>
    <t>2026-06-10MWK</t>
  </si>
  <si>
    <t>2026-06-10MXN</t>
  </si>
  <si>
    <t>2026-06-10MYR</t>
  </si>
  <si>
    <t>2026-06-10MZN</t>
  </si>
  <si>
    <t>2026-06-10NAD</t>
  </si>
  <si>
    <t>2026-06-10NGN</t>
  </si>
  <si>
    <t>2026-06-10NIO</t>
  </si>
  <si>
    <t>2026-06-10NOK</t>
  </si>
  <si>
    <t>2026-06-10NPR</t>
  </si>
  <si>
    <t>2026-06-10NZD</t>
  </si>
  <si>
    <t>2026-06-10OMR</t>
  </si>
  <si>
    <t>2026-06-10PAB</t>
  </si>
  <si>
    <t>2026-06-10PEN</t>
  </si>
  <si>
    <t>2026-06-10PGK</t>
  </si>
  <si>
    <t>2026-06-10PHP</t>
  </si>
  <si>
    <t>2026-06-10PKR</t>
  </si>
  <si>
    <t>2026-06-10PLN</t>
  </si>
  <si>
    <t>2026-06-10PYG</t>
  </si>
  <si>
    <t>2026-06-10QAR</t>
  </si>
  <si>
    <t>2026-06-10RON</t>
  </si>
  <si>
    <t>2026-06-10RSD</t>
  </si>
  <si>
    <t>2026-06-10RUB</t>
  </si>
  <si>
    <t>2026-06-10RWF</t>
  </si>
  <si>
    <t>2026-06-10SAR</t>
  </si>
  <si>
    <t>2026-06-10SBD</t>
  </si>
  <si>
    <t>2026-06-10SCR</t>
  </si>
  <si>
    <t>2026-06-10SDG</t>
  </si>
  <si>
    <t>2026-06-10SEK</t>
  </si>
  <si>
    <t>2026-06-10SGD</t>
  </si>
  <si>
    <t>2026-06-10SHP</t>
  </si>
  <si>
    <t>2026-06-10SLE</t>
  </si>
  <si>
    <t>2026-06-10SLL</t>
  </si>
  <si>
    <t>2026-06-10SOS</t>
  </si>
  <si>
    <t>2026-06-10SRD</t>
  </si>
  <si>
    <t>2026-06-10SSP</t>
  </si>
  <si>
    <t>2026-06-10STN</t>
  </si>
  <si>
    <t>2026-06-10SYP</t>
  </si>
  <si>
    <t>2026-06-10SZL</t>
  </si>
  <si>
    <t>2026-06-10THB</t>
  </si>
  <si>
    <t>2026-06-10TJS</t>
  </si>
  <si>
    <t>2026-06-10TMT</t>
  </si>
  <si>
    <t>2026-06-10TND</t>
  </si>
  <si>
    <t>2026-06-10TOP</t>
  </si>
  <si>
    <t>2026-06-10TRY</t>
  </si>
  <si>
    <t>2026-06-10TTD</t>
  </si>
  <si>
    <t>2026-06-10TVD</t>
  </si>
  <si>
    <t>2026-06-10TWD</t>
  </si>
  <si>
    <t>2026-06-10TZS</t>
  </si>
  <si>
    <t>2026-06-10UAH</t>
  </si>
  <si>
    <t>2026-06-10UGX</t>
  </si>
  <si>
    <t>2026-06-10USD</t>
  </si>
  <si>
    <t>2026-06-10UYU</t>
  </si>
  <si>
    <t>2026-06-10UZS</t>
  </si>
  <si>
    <t>2026-06-10VES</t>
  </si>
  <si>
    <t>2026-06-10VND</t>
  </si>
  <si>
    <t>2026-06-10VUV</t>
  </si>
  <si>
    <t>2026-06-10WST</t>
  </si>
  <si>
    <t>2026-06-10XAF</t>
  </si>
  <si>
    <t>2026-06-10XCD</t>
  </si>
  <si>
    <t>2026-06-10XCG</t>
  </si>
  <si>
    <t>2026-06-10XDR</t>
  </si>
  <si>
    <t>2026-06-10XOF</t>
  </si>
  <si>
    <t>2026-06-10XPF</t>
  </si>
  <si>
    <t>2026-06-10YER</t>
  </si>
  <si>
    <t>2026-06-10ZAR</t>
  </si>
  <si>
    <t>2026-06-10ZMW</t>
  </si>
  <si>
    <t>2026-06-10ZWG</t>
  </si>
  <si>
    <t>2026-06-10ZWL</t>
  </si>
  <si>
    <t>2026-06-11EUR</t>
  </si>
  <si>
    <t>2026-06-11AED</t>
  </si>
  <si>
    <t>2026-06-11AFN</t>
  </si>
  <si>
    <t>2026-06-11ALL</t>
  </si>
  <si>
    <t>2026-06-11AMD</t>
  </si>
  <si>
    <t>2026-06-11ANG</t>
  </si>
  <si>
    <t>2026-06-11AOA</t>
  </si>
  <si>
    <t>2026-06-11ARS</t>
  </si>
  <si>
    <t>2026-06-11AUD</t>
  </si>
  <si>
    <t>2026-06-11AWG</t>
  </si>
  <si>
    <t>2026-06-11AZN</t>
  </si>
  <si>
    <t>2026-06-11BAM</t>
  </si>
  <si>
    <t>2026-06-11BBD</t>
  </si>
  <si>
    <t>2026-06-11BDT</t>
  </si>
  <si>
    <t>2026-06-11BGN</t>
  </si>
  <si>
    <t>2026-06-11BHD</t>
  </si>
  <si>
    <t>2026-06-11BIF</t>
  </si>
  <si>
    <t>2026-06-11BMD</t>
  </si>
  <si>
    <t>2026-06-11BND</t>
  </si>
  <si>
    <t>2026-06-11BOB</t>
  </si>
  <si>
    <t>2026-06-11BRL</t>
  </si>
  <si>
    <t>2026-06-11BSD</t>
  </si>
  <si>
    <t>2026-06-11BTN</t>
  </si>
  <si>
    <t>2026-06-11BWP</t>
  </si>
  <si>
    <t>2026-06-11BYN</t>
  </si>
  <si>
    <t>2026-06-11BZD</t>
  </si>
  <si>
    <t>2026-06-11CAD</t>
  </si>
  <si>
    <t>2026-06-11CDF</t>
  </si>
  <si>
    <t>2026-06-11CHF</t>
  </si>
  <si>
    <t>2026-06-11CLF</t>
  </si>
  <si>
    <t>2026-06-11CLP</t>
  </si>
  <si>
    <t>2026-06-11CNH</t>
  </si>
  <si>
    <t>2026-06-11CNY</t>
  </si>
  <si>
    <t>2026-06-11COP</t>
  </si>
  <si>
    <t>2026-06-11CRC</t>
  </si>
  <si>
    <t>2026-06-11CUP</t>
  </si>
  <si>
    <t>2026-06-11CVE</t>
  </si>
  <si>
    <t>2026-06-11CZK</t>
  </si>
  <si>
    <t>2026-06-11DJF</t>
  </si>
  <si>
    <t>2026-06-11DKK</t>
  </si>
  <si>
    <t>2026-06-11DOP</t>
  </si>
  <si>
    <t>2026-06-11DZD</t>
  </si>
  <si>
    <t>2026-06-11EGP</t>
  </si>
  <si>
    <t>2026-06-11ERN</t>
  </si>
  <si>
    <t>2026-06-11ETB</t>
  </si>
  <si>
    <t>2026-06-11FJD</t>
  </si>
  <si>
    <t>2026-06-11FKP</t>
  </si>
  <si>
    <t>2026-06-11FOK</t>
  </si>
  <si>
    <t>2026-06-11GBP</t>
  </si>
  <si>
    <t>2026-06-11GEL</t>
  </si>
  <si>
    <t>2026-06-11GGP</t>
  </si>
  <si>
    <t>2026-06-11GHS</t>
  </si>
  <si>
    <t>2026-06-11GIP</t>
  </si>
  <si>
    <t>2026-06-11GMD</t>
  </si>
  <si>
    <t>2026-06-11GNF</t>
  </si>
  <si>
    <t>2026-06-11GTQ</t>
  </si>
  <si>
    <t>2026-06-11GYD</t>
  </si>
  <si>
    <t>2026-06-11HKD</t>
  </si>
  <si>
    <t>2026-06-11HNL</t>
  </si>
  <si>
    <t>2026-06-11HRK</t>
  </si>
  <si>
    <t>2026-06-11HTG</t>
  </si>
  <si>
    <t>2026-06-11IDR</t>
  </si>
  <si>
    <t>2026-06-11ILS</t>
  </si>
  <si>
    <t>2026-06-11IMP</t>
  </si>
  <si>
    <t>2026-06-11INR</t>
  </si>
  <si>
    <t>2026-06-11IQD</t>
  </si>
  <si>
    <t>2026-06-11IRR</t>
  </si>
  <si>
    <t>2026-06-11ISK</t>
  </si>
  <si>
    <t>2026-06-11JEP</t>
  </si>
  <si>
    <t>2026-06-11JMD</t>
  </si>
  <si>
    <t>2026-06-11JOD</t>
  </si>
  <si>
    <t>2026-06-11JPY</t>
  </si>
  <si>
    <t>2026-06-11KES</t>
  </si>
  <si>
    <t>2026-06-11KGS</t>
  </si>
  <si>
    <t>2026-06-11KHR</t>
  </si>
  <si>
    <t>2026-06-11KID</t>
  </si>
  <si>
    <t>2026-06-11KMF</t>
  </si>
  <si>
    <t>2026-06-11KRW</t>
  </si>
  <si>
    <t>2026-06-11KWD</t>
  </si>
  <si>
    <t>2026-06-11KYD</t>
  </si>
  <si>
    <t>2026-06-11KZT</t>
  </si>
  <si>
    <t>2026-06-11LAK</t>
  </si>
  <si>
    <t>2026-06-11LBP</t>
  </si>
  <si>
    <t>2026-06-11LKR</t>
  </si>
  <si>
    <t>2026-06-11LRD</t>
  </si>
  <si>
    <t>2026-06-11LSL</t>
  </si>
  <si>
    <t>2026-06-11LYD</t>
  </si>
  <si>
    <t>2026-06-11MAD</t>
  </si>
  <si>
    <t>2026-06-11MDL</t>
  </si>
  <si>
    <t>2026-06-11MGA</t>
  </si>
  <si>
    <t>2026-06-11MKD</t>
  </si>
  <si>
    <t>2026-06-11MMK</t>
  </si>
  <si>
    <t>2026-06-11MNT</t>
  </si>
  <si>
    <t>2026-06-11MOP</t>
  </si>
  <si>
    <t>2026-06-11MRU</t>
  </si>
  <si>
    <t>2026-06-11MUR</t>
  </si>
  <si>
    <t>2026-06-11MVR</t>
  </si>
  <si>
    <t>2026-06-11MWK</t>
  </si>
  <si>
    <t>2026-06-11MXN</t>
  </si>
  <si>
    <t>2026-06-11MYR</t>
  </si>
  <si>
    <t>2026-06-11MZN</t>
  </si>
  <si>
    <t>2026-06-11NAD</t>
  </si>
  <si>
    <t>2026-06-11NGN</t>
  </si>
  <si>
    <t>2026-06-11NIO</t>
  </si>
  <si>
    <t>2026-06-11NOK</t>
  </si>
  <si>
    <t>2026-06-11NPR</t>
  </si>
  <si>
    <t>2026-06-11NZD</t>
  </si>
  <si>
    <t>2026-06-11OMR</t>
  </si>
  <si>
    <t>2026-06-11PAB</t>
  </si>
  <si>
    <t>2026-06-11PEN</t>
  </si>
  <si>
    <t>2026-06-11PGK</t>
  </si>
  <si>
    <t>2026-06-11PHP</t>
  </si>
  <si>
    <t>2026-06-11PKR</t>
  </si>
  <si>
    <t>2026-06-11PLN</t>
  </si>
  <si>
    <t>2026-06-11PYG</t>
  </si>
  <si>
    <t>2026-06-11QAR</t>
  </si>
  <si>
    <t>2026-06-11RON</t>
  </si>
  <si>
    <t>2026-06-11RSD</t>
  </si>
  <si>
    <t>2026-06-11RUB</t>
  </si>
  <si>
    <t>2026-06-11RWF</t>
  </si>
  <si>
    <t>2026-06-11SAR</t>
  </si>
  <si>
    <t>2026-06-11SBD</t>
  </si>
  <si>
    <t>2026-06-11SCR</t>
  </si>
  <si>
    <t>2026-06-11SDG</t>
  </si>
  <si>
    <t>2026-06-11SEK</t>
  </si>
  <si>
    <t>2026-06-11SGD</t>
  </si>
  <si>
    <t>2026-06-11SHP</t>
  </si>
  <si>
    <t>2026-06-11SLE</t>
  </si>
  <si>
    <t>2026-06-11SLL</t>
  </si>
  <si>
    <t>2026-06-11SOS</t>
  </si>
  <si>
    <t>2026-06-11SRD</t>
  </si>
  <si>
    <t>2026-06-11SSP</t>
  </si>
  <si>
    <t>2026-06-11STN</t>
  </si>
  <si>
    <t>2026-06-11SYP</t>
  </si>
  <si>
    <t>2026-06-11SZL</t>
  </si>
  <si>
    <t>2026-06-11THB</t>
  </si>
  <si>
    <t>2026-06-11TJS</t>
  </si>
  <si>
    <t>2026-06-11TMT</t>
  </si>
  <si>
    <t>2026-06-11TND</t>
  </si>
  <si>
    <t>2026-06-11TOP</t>
  </si>
  <si>
    <t>2026-06-11TRY</t>
  </si>
  <si>
    <t>2026-06-11TTD</t>
  </si>
  <si>
    <t>2026-06-11TVD</t>
  </si>
  <si>
    <t>2026-06-11TWD</t>
  </si>
  <si>
    <t>2026-06-11TZS</t>
  </si>
  <si>
    <t>2026-06-11UAH</t>
  </si>
  <si>
    <t>2026-06-11UGX</t>
  </si>
  <si>
    <t>2026-06-11USD</t>
  </si>
  <si>
    <t>2026-06-11UYU</t>
  </si>
  <si>
    <t>2026-06-11UZS</t>
  </si>
  <si>
    <t>2026-06-11VES</t>
  </si>
  <si>
    <t>2026-06-11VND</t>
  </si>
  <si>
    <t>2026-06-11VUV</t>
  </si>
  <si>
    <t>2026-06-11WST</t>
  </si>
  <si>
    <t>2026-06-11XAF</t>
  </si>
  <si>
    <t>2026-06-11XCD</t>
  </si>
  <si>
    <t>2026-06-11XCG</t>
  </si>
  <si>
    <t>2026-06-11XDR</t>
  </si>
  <si>
    <t>2026-06-11XOF</t>
  </si>
  <si>
    <t>2026-06-11XPF</t>
  </si>
  <si>
    <t>2026-06-11YER</t>
  </si>
  <si>
    <t>2026-06-11ZAR</t>
  </si>
  <si>
    <t>2026-06-11ZMW</t>
  </si>
  <si>
    <t>2026-06-11ZWG</t>
  </si>
  <si>
    <t>2026-06-11ZWL</t>
  </si>
  <si>
    <t>2026-06-19EUR</t>
  </si>
  <si>
    <t>2026-06-19AED</t>
  </si>
  <si>
    <t>2026-06-19AFN</t>
  </si>
  <si>
    <t>2026-06-19ALL</t>
  </si>
  <si>
    <t>2026-06-19AMD</t>
  </si>
  <si>
    <t>2026-06-19ANG</t>
  </si>
  <si>
    <t>2026-06-19AOA</t>
  </si>
  <si>
    <t>2026-06-19ARS</t>
  </si>
  <si>
    <t>2026-06-19AUD</t>
  </si>
  <si>
    <t>2026-06-19AWG</t>
  </si>
  <si>
    <t>2026-06-19AZN</t>
  </si>
  <si>
    <t>2026-06-19BAM</t>
  </si>
  <si>
    <t>2026-06-19BBD</t>
  </si>
  <si>
    <t>2026-06-19BDT</t>
  </si>
  <si>
    <t>2026-06-19BGN</t>
  </si>
  <si>
    <t>2026-06-19BHD</t>
  </si>
  <si>
    <t>2026-06-19BIF</t>
  </si>
  <si>
    <t>2026-06-19BMD</t>
  </si>
  <si>
    <t>2026-06-19BND</t>
  </si>
  <si>
    <t>2026-06-19BOB</t>
  </si>
  <si>
    <t>2026-06-19BRL</t>
  </si>
  <si>
    <t>2026-06-19BSD</t>
  </si>
  <si>
    <t>2026-06-19BTN</t>
  </si>
  <si>
    <t>2026-06-19BWP</t>
  </si>
  <si>
    <t>2026-06-19BYN</t>
  </si>
  <si>
    <t>2026-06-19BZD</t>
  </si>
  <si>
    <t>2026-06-19CAD</t>
  </si>
  <si>
    <t>2026-06-19CDF</t>
  </si>
  <si>
    <t>2026-06-19CHF</t>
  </si>
  <si>
    <t>2026-06-19CLF</t>
  </si>
  <si>
    <t>2026-06-19CLP</t>
  </si>
  <si>
    <t>2026-06-19CNH</t>
  </si>
  <si>
    <t>2026-06-19CNY</t>
  </si>
  <si>
    <t>2026-06-19COP</t>
  </si>
  <si>
    <t>2026-06-19CRC</t>
  </si>
  <si>
    <t>2026-06-19CUP</t>
  </si>
  <si>
    <t>2026-06-19CVE</t>
  </si>
  <si>
    <t>2026-06-19CZK</t>
  </si>
  <si>
    <t>2026-06-19DJF</t>
  </si>
  <si>
    <t>2026-06-19DKK</t>
  </si>
  <si>
    <t>2026-06-19DOP</t>
  </si>
  <si>
    <t>2026-06-19DZD</t>
  </si>
  <si>
    <t>2026-06-19EGP</t>
  </si>
  <si>
    <t>2026-06-19ERN</t>
  </si>
  <si>
    <t>2026-06-19ETB</t>
  </si>
  <si>
    <t>2026-06-19FJD</t>
  </si>
  <si>
    <t>2026-06-19FKP</t>
  </si>
  <si>
    <t>2026-06-19FOK</t>
  </si>
  <si>
    <t>2026-06-19GBP</t>
  </si>
  <si>
    <t>2026-06-19GEL</t>
  </si>
  <si>
    <t>2026-06-19GGP</t>
  </si>
  <si>
    <t>2026-06-19GHS</t>
  </si>
  <si>
    <t>2026-06-19GIP</t>
  </si>
  <si>
    <t>2026-06-19GMD</t>
  </si>
  <si>
    <t>2026-06-19GNF</t>
  </si>
  <si>
    <t>2026-06-19GTQ</t>
  </si>
  <si>
    <t>2026-06-19GYD</t>
  </si>
  <si>
    <t>2026-06-19HKD</t>
  </si>
  <si>
    <t>2026-06-19HNL</t>
  </si>
  <si>
    <t>2026-06-19HRK</t>
  </si>
  <si>
    <t>2026-06-19HTG</t>
  </si>
  <si>
    <t>2026-06-19IDR</t>
  </si>
  <si>
    <t>2026-06-19ILS</t>
  </si>
  <si>
    <t>2026-06-19IMP</t>
  </si>
  <si>
    <t>2026-06-19INR</t>
  </si>
  <si>
    <t>2026-06-19IQD</t>
  </si>
  <si>
    <t>2026-06-19IRR</t>
  </si>
  <si>
    <t>2026-06-19ISK</t>
  </si>
  <si>
    <t>2026-06-19JEP</t>
  </si>
  <si>
    <t>2026-06-19JMD</t>
  </si>
  <si>
    <t>2026-06-19JOD</t>
  </si>
  <si>
    <t>2026-06-19JPY</t>
  </si>
  <si>
    <t>2026-06-19KES</t>
  </si>
  <si>
    <t>2026-06-19KGS</t>
  </si>
  <si>
    <t>2026-06-19KHR</t>
  </si>
  <si>
    <t>2026-06-19KID</t>
  </si>
  <si>
    <t>2026-06-19KMF</t>
  </si>
  <si>
    <t>2026-06-19KRW</t>
  </si>
  <si>
    <t>2026-06-19KWD</t>
  </si>
  <si>
    <t>2026-06-19KYD</t>
  </si>
  <si>
    <t>2026-06-19KZT</t>
  </si>
  <si>
    <t>2026-06-19LAK</t>
  </si>
  <si>
    <t>2026-06-19LBP</t>
  </si>
  <si>
    <t>2026-06-19LKR</t>
  </si>
  <si>
    <t>2026-06-19LRD</t>
  </si>
  <si>
    <t>2026-06-19LSL</t>
  </si>
  <si>
    <t>2026-06-19LYD</t>
  </si>
  <si>
    <t>2026-06-19MAD</t>
  </si>
  <si>
    <t>2026-06-19MDL</t>
  </si>
  <si>
    <t>2026-06-19MGA</t>
  </si>
  <si>
    <t>2026-06-19MKD</t>
  </si>
  <si>
    <t>2026-06-19MMK</t>
  </si>
  <si>
    <t>2026-06-19MNT</t>
  </si>
  <si>
    <t>2026-06-19MOP</t>
  </si>
  <si>
    <t>2026-06-19MRU</t>
  </si>
  <si>
    <t>2026-06-19MUR</t>
  </si>
  <si>
    <t>2026-06-19MVR</t>
  </si>
  <si>
    <t>2026-06-19MWK</t>
  </si>
  <si>
    <t>2026-06-19MXN</t>
  </si>
  <si>
    <t>2026-06-19MYR</t>
  </si>
  <si>
    <t>2026-06-19MZN</t>
  </si>
  <si>
    <t>2026-06-19NAD</t>
  </si>
  <si>
    <t>2026-06-19NGN</t>
  </si>
  <si>
    <t>2026-06-19NIO</t>
  </si>
  <si>
    <t>2026-06-19NOK</t>
  </si>
  <si>
    <t>2026-06-19NPR</t>
  </si>
  <si>
    <t>2026-06-19NZD</t>
  </si>
  <si>
    <t>2026-06-19OMR</t>
  </si>
  <si>
    <t>2026-06-19PAB</t>
  </si>
  <si>
    <t>2026-06-19PEN</t>
  </si>
  <si>
    <t>2026-06-19PGK</t>
  </si>
  <si>
    <t>2026-06-19PHP</t>
  </si>
  <si>
    <t>2026-06-19PKR</t>
  </si>
  <si>
    <t>2026-06-19PLN</t>
  </si>
  <si>
    <t>2026-06-19PYG</t>
  </si>
  <si>
    <t>2026-06-19QAR</t>
  </si>
  <si>
    <t>2026-06-19RON</t>
  </si>
  <si>
    <t>2026-06-19RSD</t>
  </si>
  <si>
    <t>2026-06-19RUB</t>
  </si>
  <si>
    <t>2026-06-19RWF</t>
  </si>
  <si>
    <t>2026-06-19SAR</t>
  </si>
  <si>
    <t>2026-06-19SBD</t>
  </si>
  <si>
    <t>2026-06-19SCR</t>
  </si>
  <si>
    <t>2026-06-19SDG</t>
  </si>
  <si>
    <t>2026-06-19SEK</t>
  </si>
  <si>
    <t>2026-06-19SGD</t>
  </si>
  <si>
    <t>2026-06-19SHP</t>
  </si>
  <si>
    <t>2026-06-19SLE</t>
  </si>
  <si>
    <t>2026-06-19SLL</t>
  </si>
  <si>
    <t>2026-06-19SOS</t>
  </si>
  <si>
    <t>2026-06-19SRD</t>
  </si>
  <si>
    <t>2026-06-19SSP</t>
  </si>
  <si>
    <t>2026-06-19STN</t>
  </si>
  <si>
    <t>2026-06-19SYP</t>
  </si>
  <si>
    <t>2026-06-19SZL</t>
  </si>
  <si>
    <t>2026-06-19THB</t>
  </si>
  <si>
    <t>2026-06-19TJS</t>
  </si>
  <si>
    <t>2026-06-19TMT</t>
  </si>
  <si>
    <t>2026-06-19TND</t>
  </si>
  <si>
    <t>2026-06-19TOP</t>
  </si>
  <si>
    <t>2026-06-19TRY</t>
  </si>
  <si>
    <t>2026-06-19TTD</t>
  </si>
  <si>
    <t>2026-06-19TVD</t>
  </si>
  <si>
    <t>2026-06-19TWD</t>
  </si>
  <si>
    <t>2026-06-19TZS</t>
  </si>
  <si>
    <t>2026-06-19UAH</t>
  </si>
  <si>
    <t>2026-06-19UGX</t>
  </si>
  <si>
    <t>2026-06-19USD</t>
  </si>
  <si>
    <t>2026-06-19UYU</t>
  </si>
  <si>
    <t>2026-06-19UZS</t>
  </si>
  <si>
    <t>2026-06-19VES</t>
  </si>
  <si>
    <t>2026-06-19VND</t>
  </si>
  <si>
    <t>2026-06-19VUV</t>
  </si>
  <si>
    <t>2026-06-19WST</t>
  </si>
  <si>
    <t>2026-06-19XAF</t>
  </si>
  <si>
    <t>2026-06-19XCD</t>
  </si>
  <si>
    <t>2026-06-19XCG</t>
  </si>
  <si>
    <t>2026-06-19XDR</t>
  </si>
  <si>
    <t>2026-06-19XOF</t>
  </si>
  <si>
    <t>2026-06-19XPF</t>
  </si>
  <si>
    <t>2026-06-19YER</t>
  </si>
  <si>
    <t>2026-06-19ZAR</t>
  </si>
  <si>
    <t>2026-06-19ZMW</t>
  </si>
  <si>
    <t>2026-06-19ZWG</t>
  </si>
  <si>
    <t>2026-06-19ZWL</t>
  </si>
  <si>
    <t>2026-06-20EUR</t>
  </si>
  <si>
    <t>2026-06-20AED</t>
  </si>
  <si>
    <t>2026-06-20AFN</t>
  </si>
  <si>
    <t>2026-06-20ALL</t>
  </si>
  <si>
    <t>2026-06-20AMD</t>
  </si>
  <si>
    <t>2026-06-20ANG</t>
  </si>
  <si>
    <t>2026-06-20AOA</t>
  </si>
  <si>
    <t>2026-06-20ARS</t>
  </si>
  <si>
    <t>2026-06-20AUD</t>
  </si>
  <si>
    <t>2026-06-20AWG</t>
  </si>
  <si>
    <t>2026-06-20AZN</t>
  </si>
  <si>
    <t>2026-06-20BAM</t>
  </si>
  <si>
    <t>2026-06-20BBD</t>
  </si>
  <si>
    <t>2026-06-20BDT</t>
  </si>
  <si>
    <t>2026-06-20BGN</t>
  </si>
  <si>
    <t>2026-06-20BHD</t>
  </si>
  <si>
    <t>2026-06-20BIF</t>
  </si>
  <si>
    <t>2026-06-20BMD</t>
  </si>
  <si>
    <t>2026-06-20BND</t>
  </si>
  <si>
    <t>2026-06-20BOB</t>
  </si>
  <si>
    <t>2026-06-20BRL</t>
  </si>
  <si>
    <t>2026-06-20BSD</t>
  </si>
  <si>
    <t>2026-06-20BTN</t>
  </si>
  <si>
    <t>2026-06-20BWP</t>
  </si>
  <si>
    <t>2026-06-20BYN</t>
  </si>
  <si>
    <t>2026-06-20BZD</t>
  </si>
  <si>
    <t>2026-06-20CAD</t>
  </si>
  <si>
    <t>2026-06-20CDF</t>
  </si>
  <si>
    <t>2026-06-20CHF</t>
  </si>
  <si>
    <t>2026-06-20CLF</t>
  </si>
  <si>
    <t>2026-06-20CLP</t>
  </si>
  <si>
    <t>2026-06-20CNH</t>
  </si>
  <si>
    <t>2026-06-20CNY</t>
  </si>
  <si>
    <t>2026-06-20COP</t>
  </si>
  <si>
    <t>2026-06-20CRC</t>
  </si>
  <si>
    <t>2026-06-20CUP</t>
  </si>
  <si>
    <t>2026-06-20CVE</t>
  </si>
  <si>
    <t>2026-06-20CZK</t>
  </si>
  <si>
    <t>2026-06-20DJF</t>
  </si>
  <si>
    <t>2026-06-20DKK</t>
  </si>
  <si>
    <t>2026-06-20DOP</t>
  </si>
  <si>
    <t>2026-06-20DZD</t>
  </si>
  <si>
    <t>2026-06-20EGP</t>
  </si>
  <si>
    <t>2026-06-20ERN</t>
  </si>
  <si>
    <t>2026-06-20ETB</t>
  </si>
  <si>
    <t>2026-06-20FJD</t>
  </si>
  <si>
    <t>2026-06-20FKP</t>
  </si>
  <si>
    <t>2026-06-20FOK</t>
  </si>
  <si>
    <t>2026-06-20GBP</t>
  </si>
  <si>
    <t>2026-06-20GEL</t>
  </si>
  <si>
    <t>2026-06-20GGP</t>
  </si>
  <si>
    <t>2026-06-20GHS</t>
  </si>
  <si>
    <t>2026-06-20GIP</t>
  </si>
  <si>
    <t>2026-06-20GMD</t>
  </si>
  <si>
    <t>2026-06-20GNF</t>
  </si>
  <si>
    <t>2026-06-20GTQ</t>
  </si>
  <si>
    <t>2026-06-20GYD</t>
  </si>
  <si>
    <t>2026-06-20HKD</t>
  </si>
  <si>
    <t>2026-06-20HNL</t>
  </si>
  <si>
    <t>2026-06-20HRK</t>
  </si>
  <si>
    <t>2026-06-20HTG</t>
  </si>
  <si>
    <t>2026-06-20IDR</t>
  </si>
  <si>
    <t>2026-06-20ILS</t>
  </si>
  <si>
    <t>2026-06-20IMP</t>
  </si>
  <si>
    <t>2026-06-20INR</t>
  </si>
  <si>
    <t>2026-06-20IQD</t>
  </si>
  <si>
    <t>2026-06-20IRR</t>
  </si>
  <si>
    <t>2026-06-20ISK</t>
  </si>
  <si>
    <t>2026-06-20JEP</t>
  </si>
  <si>
    <t>2026-06-20JMD</t>
  </si>
  <si>
    <t>2026-06-20JOD</t>
  </si>
  <si>
    <t>2026-06-20JPY</t>
  </si>
  <si>
    <t>2026-06-20KES</t>
  </si>
  <si>
    <t>2026-06-20KGS</t>
  </si>
  <si>
    <t>2026-06-20KHR</t>
  </si>
  <si>
    <t>2026-06-20KID</t>
  </si>
  <si>
    <t>2026-06-20KMF</t>
  </si>
  <si>
    <t>2026-06-20KRW</t>
  </si>
  <si>
    <t>2026-06-20KWD</t>
  </si>
  <si>
    <t>2026-06-20KYD</t>
  </si>
  <si>
    <t>2026-06-20KZT</t>
  </si>
  <si>
    <t>2026-06-20LAK</t>
  </si>
  <si>
    <t>2026-06-20LBP</t>
  </si>
  <si>
    <t>2026-06-20LKR</t>
  </si>
  <si>
    <t>2026-06-20LRD</t>
  </si>
  <si>
    <t>2026-06-20LSL</t>
  </si>
  <si>
    <t>2026-06-20LYD</t>
  </si>
  <si>
    <t>2026-06-20MAD</t>
  </si>
  <si>
    <t>2026-06-20MDL</t>
  </si>
  <si>
    <t>2026-06-20MGA</t>
  </si>
  <si>
    <t>2026-06-20MKD</t>
  </si>
  <si>
    <t>2026-06-20MMK</t>
  </si>
  <si>
    <t>2026-06-20MNT</t>
  </si>
  <si>
    <t>2026-06-20MOP</t>
  </si>
  <si>
    <t>2026-06-20MRU</t>
  </si>
  <si>
    <t>2026-06-20MUR</t>
  </si>
  <si>
    <t>2026-06-20MVR</t>
  </si>
  <si>
    <t>2026-06-20MWK</t>
  </si>
  <si>
    <t>2026-06-20MXN</t>
  </si>
  <si>
    <t>2026-06-20MYR</t>
  </si>
  <si>
    <t>2026-06-20MZN</t>
  </si>
  <si>
    <t>2026-06-20NAD</t>
  </si>
  <si>
    <t>2026-06-20NGN</t>
  </si>
  <si>
    <t>2026-06-20NIO</t>
  </si>
  <si>
    <t>2026-06-20NOK</t>
  </si>
  <si>
    <t>2026-06-20NPR</t>
  </si>
  <si>
    <t>2026-06-20NZD</t>
  </si>
  <si>
    <t>2026-06-20OMR</t>
  </si>
  <si>
    <t>2026-06-20PAB</t>
  </si>
  <si>
    <t>2026-06-20PEN</t>
  </si>
  <si>
    <t>2026-06-20PGK</t>
  </si>
  <si>
    <t>2026-06-20PHP</t>
  </si>
  <si>
    <t>2026-06-20PKR</t>
  </si>
  <si>
    <t>2026-06-20PLN</t>
  </si>
  <si>
    <t>2026-06-20PYG</t>
  </si>
  <si>
    <t>2026-06-20QAR</t>
  </si>
  <si>
    <t>2026-06-20RON</t>
  </si>
  <si>
    <t>2026-06-20RSD</t>
  </si>
  <si>
    <t>2026-06-20RUB</t>
  </si>
  <si>
    <t>2026-06-20RWF</t>
  </si>
  <si>
    <t>2026-06-20SAR</t>
  </si>
  <si>
    <t>2026-06-20SBD</t>
  </si>
  <si>
    <t>2026-06-20SCR</t>
  </si>
  <si>
    <t>2026-06-20SDG</t>
  </si>
  <si>
    <t>2026-06-20SEK</t>
  </si>
  <si>
    <t>2026-06-20SGD</t>
  </si>
  <si>
    <t>2026-06-20SHP</t>
  </si>
  <si>
    <t>2026-06-20SLE</t>
  </si>
  <si>
    <t>2026-06-20SLL</t>
  </si>
  <si>
    <t>2026-06-20SOS</t>
  </si>
  <si>
    <t>2026-06-20SRD</t>
  </si>
  <si>
    <t>2026-06-20SSP</t>
  </si>
  <si>
    <t>2026-06-20STN</t>
  </si>
  <si>
    <t>2026-06-20SYP</t>
  </si>
  <si>
    <t>2026-06-20SZL</t>
  </si>
  <si>
    <t>2026-06-20THB</t>
  </si>
  <si>
    <t>2026-06-20TJS</t>
  </si>
  <si>
    <t>2026-06-20TMT</t>
  </si>
  <si>
    <t>2026-06-20TND</t>
  </si>
  <si>
    <t>2026-06-20TOP</t>
  </si>
  <si>
    <t>2026-06-20TRY</t>
  </si>
  <si>
    <t>2026-06-20TTD</t>
  </si>
  <si>
    <t>2026-06-20TVD</t>
  </si>
  <si>
    <t>2026-06-20TWD</t>
  </si>
  <si>
    <t>2026-06-20TZS</t>
  </si>
  <si>
    <t>2026-06-20UAH</t>
  </si>
  <si>
    <t>2026-06-20UGX</t>
  </si>
  <si>
    <t>2026-06-20USD</t>
  </si>
  <si>
    <t>2026-06-20UYU</t>
  </si>
  <si>
    <t>2026-06-20UZS</t>
  </si>
  <si>
    <t>2026-06-20VES</t>
  </si>
  <si>
    <t>2026-06-20VND</t>
  </si>
  <si>
    <t>2026-06-20VUV</t>
  </si>
  <si>
    <t>2026-06-20WST</t>
  </si>
  <si>
    <t>2026-06-20XAF</t>
  </si>
  <si>
    <t>2026-06-20XCD</t>
  </si>
  <si>
    <t>2026-06-20XCG</t>
  </si>
  <si>
    <t>2026-06-20XDR</t>
  </si>
  <si>
    <t>2026-06-20XOF</t>
  </si>
  <si>
    <t>2026-06-20XPF</t>
  </si>
  <si>
    <t>2026-06-20YER</t>
  </si>
  <si>
    <t>2026-06-20ZAR</t>
  </si>
  <si>
    <t>2026-06-20ZMW</t>
  </si>
  <si>
    <t>2026-06-20ZWG</t>
  </si>
  <si>
    <t>2026-06-20ZWL</t>
  </si>
  <si>
    <t>2026-06-23EUR</t>
  </si>
  <si>
    <t>2026-06-23AED</t>
  </si>
  <si>
    <t>2026-06-23AFN</t>
  </si>
  <si>
    <t>2026-06-23ALL</t>
  </si>
  <si>
    <t>2026-06-23AMD</t>
  </si>
  <si>
    <t>2026-06-23ANG</t>
  </si>
  <si>
    <t>2026-06-23AOA</t>
  </si>
  <si>
    <t>2026-06-23ARS</t>
  </si>
  <si>
    <t>2026-06-23AUD</t>
  </si>
  <si>
    <t>2026-06-23AWG</t>
  </si>
  <si>
    <t>2026-06-23AZN</t>
  </si>
  <si>
    <t>2026-06-23BAM</t>
  </si>
  <si>
    <t>2026-06-23BBD</t>
  </si>
  <si>
    <t>2026-06-23BDT</t>
  </si>
  <si>
    <t>2026-06-23BGN</t>
  </si>
  <si>
    <t>2026-06-23BHD</t>
  </si>
  <si>
    <t>2026-06-23BIF</t>
  </si>
  <si>
    <t>2026-06-23BMD</t>
  </si>
  <si>
    <t>2026-06-23BND</t>
  </si>
  <si>
    <t>2026-06-23BOB</t>
  </si>
  <si>
    <t>2026-06-23BRL</t>
  </si>
  <si>
    <t>2026-06-23BSD</t>
  </si>
  <si>
    <t>2026-06-23BTN</t>
  </si>
  <si>
    <t>2026-06-23BWP</t>
  </si>
  <si>
    <t>2026-06-23BYN</t>
  </si>
  <si>
    <t>2026-06-23BZD</t>
  </si>
  <si>
    <t>2026-06-23CAD</t>
  </si>
  <si>
    <t>2026-06-23CDF</t>
  </si>
  <si>
    <t>2026-06-23CHF</t>
  </si>
  <si>
    <t>2026-06-23CLF</t>
  </si>
  <si>
    <t>2026-06-23CLP</t>
  </si>
  <si>
    <t>2026-06-23CNH</t>
  </si>
  <si>
    <t>2026-06-23CNY</t>
  </si>
  <si>
    <t>2026-06-23COP</t>
  </si>
  <si>
    <t>2026-06-23CRC</t>
  </si>
  <si>
    <t>2026-06-23CUP</t>
  </si>
  <si>
    <t>2026-06-23CVE</t>
  </si>
  <si>
    <t>2026-06-23CZK</t>
  </si>
  <si>
    <t>2026-06-23DJF</t>
  </si>
  <si>
    <t>2026-06-23DKK</t>
  </si>
  <si>
    <t>2026-06-23DOP</t>
  </si>
  <si>
    <t>2026-06-23DZD</t>
  </si>
  <si>
    <t>2026-06-23EGP</t>
  </si>
  <si>
    <t>2026-06-23ERN</t>
  </si>
  <si>
    <t>2026-06-23ETB</t>
  </si>
  <si>
    <t>2026-06-23FJD</t>
  </si>
  <si>
    <t>2026-06-23FKP</t>
  </si>
  <si>
    <t>2026-06-23FOK</t>
  </si>
  <si>
    <t>2026-06-23GBP</t>
  </si>
  <si>
    <t>2026-06-23GEL</t>
  </si>
  <si>
    <t>2026-06-23GGP</t>
  </si>
  <si>
    <t>2026-06-23GHS</t>
  </si>
  <si>
    <t>2026-06-23GIP</t>
  </si>
  <si>
    <t>2026-06-23GMD</t>
  </si>
  <si>
    <t>2026-06-23GNF</t>
  </si>
  <si>
    <t>2026-06-23GTQ</t>
  </si>
  <si>
    <t>2026-06-23GYD</t>
  </si>
  <si>
    <t>2026-06-23HKD</t>
  </si>
  <si>
    <t>2026-06-23HNL</t>
  </si>
  <si>
    <t>2026-06-23HRK</t>
  </si>
  <si>
    <t>2026-06-23HTG</t>
  </si>
  <si>
    <t>2026-06-23IDR</t>
  </si>
  <si>
    <t>2026-06-23ILS</t>
  </si>
  <si>
    <t>2026-06-23IMP</t>
  </si>
  <si>
    <t>2026-06-23INR</t>
  </si>
  <si>
    <t>2026-06-23IQD</t>
  </si>
  <si>
    <t>2026-06-23IRR</t>
  </si>
  <si>
    <t>2026-06-23ISK</t>
  </si>
  <si>
    <t>2026-06-23JEP</t>
  </si>
  <si>
    <t>2026-06-23JMD</t>
  </si>
  <si>
    <t>2026-06-23JOD</t>
  </si>
  <si>
    <t>2026-06-23JPY</t>
  </si>
  <si>
    <t>2026-06-23KES</t>
  </si>
  <si>
    <t>2026-06-23KGS</t>
  </si>
  <si>
    <t>2026-06-23KHR</t>
  </si>
  <si>
    <t>2026-06-23KID</t>
  </si>
  <si>
    <t>2026-06-23KMF</t>
  </si>
  <si>
    <t>2026-06-23KRW</t>
  </si>
  <si>
    <t>2026-06-23KWD</t>
  </si>
  <si>
    <t>2026-06-23KYD</t>
  </si>
  <si>
    <t>2026-06-23KZT</t>
  </si>
  <si>
    <t>2026-06-23LAK</t>
  </si>
  <si>
    <t>2026-06-23LBP</t>
  </si>
  <si>
    <t>2026-06-23LKR</t>
  </si>
  <si>
    <t>2026-06-23LRD</t>
  </si>
  <si>
    <t>2026-06-23LSL</t>
  </si>
  <si>
    <t>2026-06-23LYD</t>
  </si>
  <si>
    <t>2026-06-23MAD</t>
  </si>
  <si>
    <t>2026-06-23MDL</t>
  </si>
  <si>
    <t>2026-06-23MGA</t>
  </si>
  <si>
    <t>2026-06-23MKD</t>
  </si>
  <si>
    <t>2026-06-23MMK</t>
  </si>
  <si>
    <t>2026-06-23MNT</t>
  </si>
  <si>
    <t>2026-06-23MOP</t>
  </si>
  <si>
    <t>2026-06-23MRU</t>
  </si>
  <si>
    <t>2026-06-23MUR</t>
  </si>
  <si>
    <t>2026-06-23MVR</t>
  </si>
  <si>
    <t>2026-06-23MWK</t>
  </si>
  <si>
    <t>2026-06-23MXN</t>
  </si>
  <si>
    <t>2026-06-23MYR</t>
  </si>
  <si>
    <t>2026-06-23MZN</t>
  </si>
  <si>
    <t>2026-06-23NAD</t>
  </si>
  <si>
    <t>2026-06-23NGN</t>
  </si>
  <si>
    <t>2026-06-23NIO</t>
  </si>
  <si>
    <t>2026-06-23NOK</t>
  </si>
  <si>
    <t>2026-06-23NPR</t>
  </si>
  <si>
    <t>2026-06-23NZD</t>
  </si>
  <si>
    <t>2026-06-23OMR</t>
  </si>
  <si>
    <t>2026-06-23PAB</t>
  </si>
  <si>
    <t>2026-06-23PEN</t>
  </si>
  <si>
    <t>2026-06-23PGK</t>
  </si>
  <si>
    <t>2026-06-23PHP</t>
  </si>
  <si>
    <t>2026-06-23PKR</t>
  </si>
  <si>
    <t>2026-06-23PLN</t>
  </si>
  <si>
    <t>2026-06-23PYG</t>
  </si>
  <si>
    <t>2026-06-23QAR</t>
  </si>
  <si>
    <t>2026-06-23RON</t>
  </si>
  <si>
    <t>2026-06-23RSD</t>
  </si>
  <si>
    <t>2026-06-23RUB</t>
  </si>
  <si>
    <t>2026-06-23RWF</t>
  </si>
  <si>
    <t>2026-06-23SAR</t>
  </si>
  <si>
    <t>2026-06-23SBD</t>
  </si>
  <si>
    <t>2026-06-23SCR</t>
  </si>
  <si>
    <t>2026-06-23SDG</t>
  </si>
  <si>
    <t>2026-06-23SEK</t>
  </si>
  <si>
    <t>2026-06-23SGD</t>
  </si>
  <si>
    <t>2026-06-23SHP</t>
  </si>
  <si>
    <t>2026-06-23SLE</t>
  </si>
  <si>
    <t>2026-06-23SLL</t>
  </si>
  <si>
    <t>2026-06-23SOS</t>
  </si>
  <si>
    <t>2026-06-23SRD</t>
  </si>
  <si>
    <t>2026-06-23SSP</t>
  </si>
  <si>
    <t>2026-06-23STN</t>
  </si>
  <si>
    <t>2026-06-23SYP</t>
  </si>
  <si>
    <t>2026-06-23SZL</t>
  </si>
  <si>
    <t>2026-06-23THB</t>
  </si>
  <si>
    <t>2026-06-23TJS</t>
  </si>
  <si>
    <t>2026-06-23TMT</t>
  </si>
  <si>
    <t>2026-06-23TND</t>
  </si>
  <si>
    <t>2026-06-23TOP</t>
  </si>
  <si>
    <t>2026-06-23TRY</t>
  </si>
  <si>
    <t>2026-06-23TTD</t>
  </si>
  <si>
    <t>2026-06-23TVD</t>
  </si>
  <si>
    <t>2026-06-23TWD</t>
  </si>
  <si>
    <t>2026-06-23TZS</t>
  </si>
  <si>
    <t>2026-06-23UAH</t>
  </si>
  <si>
    <t>2026-06-23UGX</t>
  </si>
  <si>
    <t>2026-06-23USD</t>
  </si>
  <si>
    <t>2026-06-23UYU</t>
  </si>
  <si>
    <t>2026-06-23UZS</t>
  </si>
  <si>
    <t>2026-06-23VES</t>
  </si>
  <si>
    <t>2026-06-23VND</t>
  </si>
  <si>
    <t>2026-06-23VUV</t>
  </si>
  <si>
    <t>2026-06-23WST</t>
  </si>
  <si>
    <t>2026-06-23XAF</t>
  </si>
  <si>
    <t>2026-06-23XCD</t>
  </si>
  <si>
    <t>2026-06-23XCG</t>
  </si>
  <si>
    <t>2026-06-23XDR</t>
  </si>
  <si>
    <t>2026-06-23XOF</t>
  </si>
  <si>
    <t>2026-06-23XPF</t>
  </si>
  <si>
    <t>2026-06-23YER</t>
  </si>
  <si>
    <t>2026-06-23ZAR</t>
  </si>
  <si>
    <t>2026-06-23ZMW</t>
  </si>
  <si>
    <t>2026-06-23ZWG</t>
  </si>
  <si>
    <t>2026-06-23ZWL</t>
  </si>
  <si>
    <t>2026-06-24EUR</t>
  </si>
  <si>
    <t>2026-06-24AED</t>
  </si>
  <si>
    <t>2026-06-24AFN</t>
  </si>
  <si>
    <t>2026-06-24ALL</t>
  </si>
  <si>
    <t>2026-06-24AMD</t>
  </si>
  <si>
    <t>2026-06-24ANG</t>
  </si>
  <si>
    <t>2026-06-24AOA</t>
  </si>
  <si>
    <t>2026-06-24ARS</t>
  </si>
  <si>
    <t>2026-06-24AUD</t>
  </si>
  <si>
    <t>2026-06-24AWG</t>
  </si>
  <si>
    <t>2026-06-24AZN</t>
  </si>
  <si>
    <t>2026-06-24BAM</t>
  </si>
  <si>
    <t>2026-06-24BBD</t>
  </si>
  <si>
    <t>2026-06-24BDT</t>
  </si>
  <si>
    <t>2026-06-24BGN</t>
  </si>
  <si>
    <t>2026-06-24BHD</t>
  </si>
  <si>
    <t>2026-06-24BIF</t>
  </si>
  <si>
    <t>2026-06-24BMD</t>
  </si>
  <si>
    <t>2026-06-24BND</t>
  </si>
  <si>
    <t>2026-06-24BOB</t>
  </si>
  <si>
    <t>2026-06-24BRL</t>
  </si>
  <si>
    <t>2026-06-24BSD</t>
  </si>
  <si>
    <t>2026-06-24BTN</t>
  </si>
  <si>
    <t>2026-06-24BWP</t>
  </si>
  <si>
    <t>2026-06-24BYN</t>
  </si>
  <si>
    <t>2026-06-24BZD</t>
  </si>
  <si>
    <t>2026-06-24CAD</t>
  </si>
  <si>
    <t>2026-06-24CDF</t>
  </si>
  <si>
    <t>2026-06-24CHF</t>
  </si>
  <si>
    <t>2026-06-24CLF</t>
  </si>
  <si>
    <t>2026-06-24CLP</t>
  </si>
  <si>
    <t>2026-06-24CNH</t>
  </si>
  <si>
    <t>2026-06-24CNY</t>
  </si>
  <si>
    <t>2026-06-24COP</t>
  </si>
  <si>
    <t>2026-06-24CRC</t>
  </si>
  <si>
    <t>2026-06-24CUP</t>
  </si>
  <si>
    <t>2026-06-24CVE</t>
  </si>
  <si>
    <t>2026-06-24CZK</t>
  </si>
  <si>
    <t>2026-06-24DJF</t>
  </si>
  <si>
    <t>2026-06-24DKK</t>
  </si>
  <si>
    <t>2026-06-24DOP</t>
  </si>
  <si>
    <t>2026-06-24DZD</t>
  </si>
  <si>
    <t>2026-06-24EGP</t>
  </si>
  <si>
    <t>2026-06-24ERN</t>
  </si>
  <si>
    <t>2026-06-24ETB</t>
  </si>
  <si>
    <t>2026-06-24FJD</t>
  </si>
  <si>
    <t>2026-06-24FKP</t>
  </si>
  <si>
    <t>2026-06-24FOK</t>
  </si>
  <si>
    <t>2026-06-24GBP</t>
  </si>
  <si>
    <t>2026-06-24GEL</t>
  </si>
  <si>
    <t>2026-06-24GGP</t>
  </si>
  <si>
    <t>2026-06-24GHS</t>
  </si>
  <si>
    <t>2026-06-24GIP</t>
  </si>
  <si>
    <t>2026-06-24GMD</t>
  </si>
  <si>
    <t>2026-06-24GNF</t>
  </si>
  <si>
    <t>2026-06-24GTQ</t>
  </si>
  <si>
    <t>2026-06-24GYD</t>
  </si>
  <si>
    <t>2026-06-24HKD</t>
  </si>
  <si>
    <t>2026-06-24HNL</t>
  </si>
  <si>
    <t>2026-06-24HRK</t>
  </si>
  <si>
    <t>2026-06-24HTG</t>
  </si>
  <si>
    <t>2026-06-24IDR</t>
  </si>
  <si>
    <t>2026-06-24ILS</t>
  </si>
  <si>
    <t>2026-06-24IMP</t>
  </si>
  <si>
    <t>2026-06-24INR</t>
  </si>
  <si>
    <t>2026-06-24IQD</t>
  </si>
  <si>
    <t>2026-06-24IRR</t>
  </si>
  <si>
    <t>2026-06-24ISK</t>
  </si>
  <si>
    <t>2026-06-24JEP</t>
  </si>
  <si>
    <t>2026-06-24JMD</t>
  </si>
  <si>
    <t>2026-06-24JOD</t>
  </si>
  <si>
    <t>2026-06-24JPY</t>
  </si>
  <si>
    <t>2026-06-24KES</t>
  </si>
  <si>
    <t>2026-06-24KGS</t>
  </si>
  <si>
    <t>2026-06-24KHR</t>
  </si>
  <si>
    <t>2026-06-24KID</t>
  </si>
  <si>
    <t>2026-06-24KMF</t>
  </si>
  <si>
    <t>2026-06-24KRW</t>
  </si>
  <si>
    <t>2026-06-24KWD</t>
  </si>
  <si>
    <t>2026-06-24KYD</t>
  </si>
  <si>
    <t>2026-06-24KZT</t>
  </si>
  <si>
    <t>2026-06-24LAK</t>
  </si>
  <si>
    <t>2026-06-24LBP</t>
  </si>
  <si>
    <t>2026-06-24LKR</t>
  </si>
  <si>
    <t>2026-06-24LRD</t>
  </si>
  <si>
    <t>2026-06-24LSL</t>
  </si>
  <si>
    <t>2026-06-24LYD</t>
  </si>
  <si>
    <t>2026-06-24MAD</t>
  </si>
  <si>
    <t>2026-06-24MDL</t>
  </si>
  <si>
    <t>2026-06-24MGA</t>
  </si>
  <si>
    <t>2026-06-24MKD</t>
  </si>
  <si>
    <t>2026-06-24MMK</t>
  </si>
  <si>
    <t>2026-06-24MNT</t>
  </si>
  <si>
    <t>2026-06-24MOP</t>
  </si>
  <si>
    <t>2026-06-24MRU</t>
  </si>
  <si>
    <t>2026-06-24MUR</t>
  </si>
  <si>
    <t>2026-06-24MVR</t>
  </si>
  <si>
    <t>2026-06-24MWK</t>
  </si>
  <si>
    <t>2026-06-24MXN</t>
  </si>
  <si>
    <t>2026-06-24MYR</t>
  </si>
  <si>
    <t>2026-06-24MZN</t>
  </si>
  <si>
    <t>2026-06-24NAD</t>
  </si>
  <si>
    <t>2026-06-24NGN</t>
  </si>
  <si>
    <t>2026-06-24NIO</t>
  </si>
  <si>
    <t>2026-06-24NOK</t>
  </si>
  <si>
    <t>2026-06-24NPR</t>
  </si>
  <si>
    <t>2026-06-24NZD</t>
  </si>
  <si>
    <t>2026-06-24OMR</t>
  </si>
  <si>
    <t>2026-06-24PAB</t>
  </si>
  <si>
    <t>2026-06-24PEN</t>
  </si>
  <si>
    <t>2026-06-24PGK</t>
  </si>
  <si>
    <t>2026-06-24PHP</t>
  </si>
  <si>
    <t>2026-06-24PKR</t>
  </si>
  <si>
    <t>2026-06-24PLN</t>
  </si>
  <si>
    <t>2026-06-24PYG</t>
  </si>
  <si>
    <t>2026-06-24QAR</t>
  </si>
  <si>
    <t>2026-06-24RON</t>
  </si>
  <si>
    <t>2026-06-24RSD</t>
  </si>
  <si>
    <t>2026-06-24RUB</t>
  </si>
  <si>
    <t>2026-06-24RWF</t>
  </si>
  <si>
    <t>2026-06-24SAR</t>
  </si>
  <si>
    <t>2026-06-24SBD</t>
  </si>
  <si>
    <t>2026-06-24SCR</t>
  </si>
  <si>
    <t>2026-06-24SDG</t>
  </si>
  <si>
    <t>2026-06-24SEK</t>
  </si>
  <si>
    <t>2026-06-24SGD</t>
  </si>
  <si>
    <t>2026-06-24SHP</t>
  </si>
  <si>
    <t>2026-06-24SLE</t>
  </si>
  <si>
    <t>2026-06-24SLL</t>
  </si>
  <si>
    <t>2026-06-24SOS</t>
  </si>
  <si>
    <t>2026-06-24SRD</t>
  </si>
  <si>
    <t>2026-06-24SSP</t>
  </si>
  <si>
    <t>2026-06-24STN</t>
  </si>
  <si>
    <t>2026-06-24SYP</t>
  </si>
  <si>
    <t>2026-06-24SZL</t>
  </si>
  <si>
    <t>2026-06-24THB</t>
  </si>
  <si>
    <t>2026-06-24TJS</t>
  </si>
  <si>
    <t>2026-06-24TMT</t>
  </si>
  <si>
    <t>2026-06-24TND</t>
  </si>
  <si>
    <t>2026-06-24TOP</t>
  </si>
  <si>
    <t>2026-06-24TRY</t>
  </si>
  <si>
    <t>2026-06-24TTD</t>
  </si>
  <si>
    <t>2026-06-24TVD</t>
  </si>
  <si>
    <t>2026-06-24TWD</t>
  </si>
  <si>
    <t>2026-06-24TZS</t>
  </si>
  <si>
    <t>2026-06-24UAH</t>
  </si>
  <si>
    <t>2026-06-24UGX</t>
  </si>
  <si>
    <t>2026-06-24USD</t>
  </si>
  <si>
    <t>2026-06-24UYU</t>
  </si>
  <si>
    <t>2026-06-24UZS</t>
  </si>
  <si>
    <t>2026-06-24VES</t>
  </si>
  <si>
    <t>2026-06-24VND</t>
  </si>
  <si>
    <t>2026-06-24VUV</t>
  </si>
  <si>
    <t>2026-06-24WST</t>
  </si>
  <si>
    <t>2026-06-24XAF</t>
  </si>
  <si>
    <t>2026-06-24XCD</t>
  </si>
  <si>
    <t>2026-06-24XCG</t>
  </si>
  <si>
    <t>2026-06-24XDR</t>
  </si>
  <si>
    <t>2026-06-24XOF</t>
  </si>
  <si>
    <t>2026-06-24XPF</t>
  </si>
  <si>
    <t>2026-06-24YER</t>
  </si>
  <si>
    <t>2026-06-24ZAR</t>
  </si>
  <si>
    <t>2026-06-24ZMW</t>
  </si>
  <si>
    <t>2026-06-24ZWG</t>
  </si>
  <si>
    <t>2026-06-24ZWL</t>
  </si>
  <si>
    <t>2026-06-25EUR</t>
  </si>
  <si>
    <t>2026-06-25AED</t>
  </si>
  <si>
    <t>2026-06-25AFN</t>
  </si>
  <si>
    <t>2026-06-25ALL</t>
  </si>
  <si>
    <t>2026-06-25AMD</t>
  </si>
  <si>
    <t>2026-06-25ANG</t>
  </si>
  <si>
    <t>2026-06-25AOA</t>
  </si>
  <si>
    <t>2026-06-25ARS</t>
  </si>
  <si>
    <t>2026-06-25AUD</t>
  </si>
  <si>
    <t>2026-06-25AWG</t>
  </si>
  <si>
    <t>2026-06-25AZN</t>
  </si>
  <si>
    <t>2026-06-25BAM</t>
  </si>
  <si>
    <t>2026-06-25BBD</t>
  </si>
  <si>
    <t>2026-06-25BDT</t>
  </si>
  <si>
    <t>2026-06-25BGN</t>
  </si>
  <si>
    <t>2026-06-25BHD</t>
  </si>
  <si>
    <t>2026-06-25BIF</t>
  </si>
  <si>
    <t>2026-06-25BMD</t>
  </si>
  <si>
    <t>2026-06-25BND</t>
  </si>
  <si>
    <t>2026-06-25BOB</t>
  </si>
  <si>
    <t>2026-06-25BRL</t>
  </si>
  <si>
    <t>2026-06-25BSD</t>
  </si>
  <si>
    <t>2026-06-25BTN</t>
  </si>
  <si>
    <t>2026-06-25BWP</t>
  </si>
  <si>
    <t>2026-06-25BYN</t>
  </si>
  <si>
    <t>2026-06-25BZD</t>
  </si>
  <si>
    <t>2026-06-25CAD</t>
  </si>
  <si>
    <t>2026-06-25CDF</t>
  </si>
  <si>
    <t>2026-06-25CHF</t>
  </si>
  <si>
    <t>2026-06-25CLF</t>
  </si>
  <si>
    <t>2026-06-25CLP</t>
  </si>
  <si>
    <t>2026-06-25CNH</t>
  </si>
  <si>
    <t>2026-06-25CNY</t>
  </si>
  <si>
    <t>2026-06-25COP</t>
  </si>
  <si>
    <t>2026-06-25CRC</t>
  </si>
  <si>
    <t>2026-06-25CUP</t>
  </si>
  <si>
    <t>2026-06-25CVE</t>
  </si>
  <si>
    <t>2026-06-25CZK</t>
  </si>
  <si>
    <t>2026-06-25DJF</t>
  </si>
  <si>
    <t>2026-06-25DKK</t>
  </si>
  <si>
    <t>2026-06-25DOP</t>
  </si>
  <si>
    <t>2026-06-25DZD</t>
  </si>
  <si>
    <t>2026-06-25EGP</t>
  </si>
  <si>
    <t>2026-06-25ERN</t>
  </si>
  <si>
    <t>2026-06-25ETB</t>
  </si>
  <si>
    <t>2026-06-25FJD</t>
  </si>
  <si>
    <t>2026-06-25FKP</t>
  </si>
  <si>
    <t>2026-06-25FOK</t>
  </si>
  <si>
    <t>2026-06-25GBP</t>
  </si>
  <si>
    <t>2026-06-25GEL</t>
  </si>
  <si>
    <t>2026-06-25GGP</t>
  </si>
  <si>
    <t>2026-06-25GHS</t>
  </si>
  <si>
    <t>2026-06-25GIP</t>
  </si>
  <si>
    <t>2026-06-25GMD</t>
  </si>
  <si>
    <t>2026-06-25GNF</t>
  </si>
  <si>
    <t>2026-06-25GTQ</t>
  </si>
  <si>
    <t>2026-06-25GYD</t>
  </si>
  <si>
    <t>2026-06-25HKD</t>
  </si>
  <si>
    <t>2026-06-25HNL</t>
  </si>
  <si>
    <t>2026-06-25HRK</t>
  </si>
  <si>
    <t>2026-06-25HTG</t>
  </si>
  <si>
    <t>2026-06-25IDR</t>
  </si>
  <si>
    <t>2026-06-25ILS</t>
  </si>
  <si>
    <t>2026-06-25IMP</t>
  </si>
  <si>
    <t>2026-06-25INR</t>
  </si>
  <si>
    <t>2026-06-25IQD</t>
  </si>
  <si>
    <t>2026-06-25IRR</t>
  </si>
  <si>
    <t>2026-06-25ISK</t>
  </si>
  <si>
    <t>2026-06-25JEP</t>
  </si>
  <si>
    <t>2026-06-25JMD</t>
  </si>
  <si>
    <t>2026-06-25JOD</t>
  </si>
  <si>
    <t>2026-06-25JPY</t>
  </si>
  <si>
    <t>2026-06-25KES</t>
  </si>
  <si>
    <t>2026-06-25KGS</t>
  </si>
  <si>
    <t>2026-06-25KHR</t>
  </si>
  <si>
    <t>2026-06-25KID</t>
  </si>
  <si>
    <t>2026-06-25KMF</t>
  </si>
  <si>
    <t>2026-06-25KRW</t>
  </si>
  <si>
    <t>2026-06-25KWD</t>
  </si>
  <si>
    <t>2026-06-25KYD</t>
  </si>
  <si>
    <t>2026-06-25KZT</t>
  </si>
  <si>
    <t>2026-06-25LAK</t>
  </si>
  <si>
    <t>2026-06-25LBP</t>
  </si>
  <si>
    <t>2026-06-25LKR</t>
  </si>
  <si>
    <t>2026-06-25LRD</t>
  </si>
  <si>
    <t>2026-06-25LSL</t>
  </si>
  <si>
    <t>2026-06-25LYD</t>
  </si>
  <si>
    <t>2026-06-25MAD</t>
  </si>
  <si>
    <t>2026-06-25MDL</t>
  </si>
  <si>
    <t>2026-06-25MGA</t>
  </si>
  <si>
    <t>2026-06-25MKD</t>
  </si>
  <si>
    <t>2026-06-25MMK</t>
  </si>
  <si>
    <t>2026-06-25MNT</t>
  </si>
  <si>
    <t>2026-06-25MOP</t>
  </si>
  <si>
    <t>2026-06-25MRU</t>
  </si>
  <si>
    <t>2026-06-25MUR</t>
  </si>
  <si>
    <t>2026-06-25MVR</t>
  </si>
  <si>
    <t>2026-06-25MWK</t>
  </si>
  <si>
    <t>2026-06-25MXN</t>
  </si>
  <si>
    <t>2026-06-25MYR</t>
  </si>
  <si>
    <t>2026-06-25MZN</t>
  </si>
  <si>
    <t>2026-06-25NAD</t>
  </si>
  <si>
    <t>2026-06-25NGN</t>
  </si>
  <si>
    <t>2026-06-25NIO</t>
  </si>
  <si>
    <t>2026-06-25NOK</t>
  </si>
  <si>
    <t>2026-06-25NPR</t>
  </si>
  <si>
    <t>2026-06-25NZD</t>
  </si>
  <si>
    <t>2026-06-25OMR</t>
  </si>
  <si>
    <t>2026-06-25PAB</t>
  </si>
  <si>
    <t>2026-06-25PEN</t>
  </si>
  <si>
    <t>2026-06-25PGK</t>
  </si>
  <si>
    <t>2026-06-25PHP</t>
  </si>
  <si>
    <t>2026-06-25PKR</t>
  </si>
  <si>
    <t>2026-06-25PLN</t>
  </si>
  <si>
    <t>2026-06-25PYG</t>
  </si>
  <si>
    <t>2026-06-25QAR</t>
  </si>
  <si>
    <t>2026-06-25RON</t>
  </si>
  <si>
    <t>2026-06-25RSD</t>
  </si>
  <si>
    <t>2026-06-25RUB</t>
  </si>
  <si>
    <t>2026-06-25RWF</t>
  </si>
  <si>
    <t>2026-06-25SAR</t>
  </si>
  <si>
    <t>2026-06-25SBD</t>
  </si>
  <si>
    <t>2026-06-25SCR</t>
  </si>
  <si>
    <t>2026-06-25SDG</t>
  </si>
  <si>
    <t>2026-06-25SEK</t>
  </si>
  <si>
    <t>2026-06-25SGD</t>
  </si>
  <si>
    <t>2026-06-25SHP</t>
  </si>
  <si>
    <t>2026-06-25SLE</t>
  </si>
  <si>
    <t>2026-06-25SLL</t>
  </si>
  <si>
    <t>2026-06-25SOS</t>
  </si>
  <si>
    <t>2026-06-25SRD</t>
  </si>
  <si>
    <t>2026-06-25SSP</t>
  </si>
  <si>
    <t>2026-06-25STN</t>
  </si>
  <si>
    <t>2026-06-25SYP</t>
  </si>
  <si>
    <t>2026-06-25SZL</t>
  </si>
  <si>
    <t>2026-06-25THB</t>
  </si>
  <si>
    <t>2026-06-25TJS</t>
  </si>
  <si>
    <t>2026-06-25TMT</t>
  </si>
  <si>
    <t>2026-06-25TND</t>
  </si>
  <si>
    <t>2026-06-25TOP</t>
  </si>
  <si>
    <t>2026-06-25TRY</t>
  </si>
  <si>
    <t>2026-06-25TTD</t>
  </si>
  <si>
    <t>2026-06-25TVD</t>
  </si>
  <si>
    <t>2026-06-25TWD</t>
  </si>
  <si>
    <t>2026-06-25TZS</t>
  </si>
  <si>
    <t>2026-06-25UAH</t>
  </si>
  <si>
    <t>2026-06-25UGX</t>
  </si>
  <si>
    <t>2026-06-25USD</t>
  </si>
  <si>
    <t>2026-06-25UYU</t>
  </si>
  <si>
    <t>2026-06-25UZS</t>
  </si>
  <si>
    <t>2026-06-25VES</t>
  </si>
  <si>
    <t>2026-06-25VND</t>
  </si>
  <si>
    <t>2026-06-25VUV</t>
  </si>
  <si>
    <t>2026-06-25WST</t>
  </si>
  <si>
    <t>2026-06-25XAF</t>
  </si>
  <si>
    <t>2026-06-25XCD</t>
  </si>
  <si>
    <t>2026-06-25XCG</t>
  </si>
  <si>
    <t>2026-06-25XDR</t>
  </si>
  <si>
    <t>2026-06-25XOF</t>
  </si>
  <si>
    <t>2026-06-25XPF</t>
  </si>
  <si>
    <t>2026-06-25YER</t>
  </si>
  <si>
    <t>2026-06-25ZAR</t>
  </si>
  <si>
    <t>2026-06-25ZMW</t>
  </si>
  <si>
    <t>2026-06-25ZWG</t>
  </si>
  <si>
    <t>2026-06-25ZWL</t>
  </si>
  <si>
    <t>2026-06-28EUR</t>
  </si>
  <si>
    <t>2026-06-28AED</t>
  </si>
  <si>
    <t>2026-06-28AFN</t>
  </si>
  <si>
    <t>2026-06-28ALL</t>
  </si>
  <si>
    <t>2026-06-28AMD</t>
  </si>
  <si>
    <t>2026-06-28ANG</t>
  </si>
  <si>
    <t>2026-06-28AOA</t>
  </si>
  <si>
    <t>2026-06-28ARS</t>
  </si>
  <si>
    <t>2026-06-28AUD</t>
  </si>
  <si>
    <t>2026-06-28AWG</t>
  </si>
  <si>
    <t>2026-06-28AZN</t>
  </si>
  <si>
    <t>2026-06-28BAM</t>
  </si>
  <si>
    <t>2026-06-28BBD</t>
  </si>
  <si>
    <t>2026-06-28BDT</t>
  </si>
  <si>
    <t>2026-06-28BGN</t>
  </si>
  <si>
    <t>2026-06-28BHD</t>
  </si>
  <si>
    <t>2026-06-28BIF</t>
  </si>
  <si>
    <t>2026-06-28BMD</t>
  </si>
  <si>
    <t>2026-06-28BND</t>
  </si>
  <si>
    <t>2026-06-28BOB</t>
  </si>
  <si>
    <t>2026-06-28BRL</t>
  </si>
  <si>
    <t>2026-06-28BSD</t>
  </si>
  <si>
    <t>2026-06-28BTN</t>
  </si>
  <si>
    <t>2026-06-28BWP</t>
  </si>
  <si>
    <t>2026-06-28BYN</t>
  </si>
  <si>
    <t>2026-06-28BZD</t>
  </si>
  <si>
    <t>2026-06-28CAD</t>
  </si>
  <si>
    <t>2026-06-28CDF</t>
  </si>
  <si>
    <t>2026-06-28CHF</t>
  </si>
  <si>
    <t>2026-06-28CLF</t>
  </si>
  <si>
    <t>2026-06-28CLP</t>
  </si>
  <si>
    <t>2026-06-28CNH</t>
  </si>
  <si>
    <t>2026-06-28CNY</t>
  </si>
  <si>
    <t>2026-06-28COP</t>
  </si>
  <si>
    <t>2026-06-28CRC</t>
  </si>
  <si>
    <t>2026-06-28CUP</t>
  </si>
  <si>
    <t>2026-06-28CVE</t>
  </si>
  <si>
    <t>2026-06-28CZK</t>
  </si>
  <si>
    <t>2026-06-28DJF</t>
  </si>
  <si>
    <t>2026-06-28DKK</t>
  </si>
  <si>
    <t>2026-06-28DOP</t>
  </si>
  <si>
    <t>2026-06-28DZD</t>
  </si>
  <si>
    <t>2026-06-28EGP</t>
  </si>
  <si>
    <t>2026-06-28ERN</t>
  </si>
  <si>
    <t>2026-06-28ETB</t>
  </si>
  <si>
    <t>2026-06-28FJD</t>
  </si>
  <si>
    <t>2026-06-28FKP</t>
  </si>
  <si>
    <t>2026-06-28FOK</t>
  </si>
  <si>
    <t>2026-06-28GBP</t>
  </si>
  <si>
    <t>2026-06-28GEL</t>
  </si>
  <si>
    <t>2026-06-28GGP</t>
  </si>
  <si>
    <t>2026-06-28GHS</t>
  </si>
  <si>
    <t>2026-06-28GIP</t>
  </si>
  <si>
    <t>2026-06-28GMD</t>
  </si>
  <si>
    <t>2026-06-28GNF</t>
  </si>
  <si>
    <t>2026-06-28GTQ</t>
  </si>
  <si>
    <t>2026-06-28GYD</t>
  </si>
  <si>
    <t>2026-06-28HKD</t>
  </si>
  <si>
    <t>2026-06-28HNL</t>
  </si>
  <si>
    <t>2026-06-28HRK</t>
  </si>
  <si>
    <t>2026-06-28HTG</t>
  </si>
  <si>
    <t>2026-06-28IDR</t>
  </si>
  <si>
    <t>2026-06-28ILS</t>
  </si>
  <si>
    <t>2026-06-28IMP</t>
  </si>
  <si>
    <t>2026-06-28INR</t>
  </si>
  <si>
    <t>2026-06-28IQD</t>
  </si>
  <si>
    <t>2026-06-28IRR</t>
  </si>
  <si>
    <t>2026-06-28ISK</t>
  </si>
  <si>
    <t>2026-06-28JEP</t>
  </si>
  <si>
    <t>2026-06-28JMD</t>
  </si>
  <si>
    <t>2026-06-28JOD</t>
  </si>
  <si>
    <t>2026-06-28JPY</t>
  </si>
  <si>
    <t>2026-06-28KES</t>
  </si>
  <si>
    <t>2026-06-28KGS</t>
  </si>
  <si>
    <t>2026-06-28KHR</t>
  </si>
  <si>
    <t>2026-06-28KID</t>
  </si>
  <si>
    <t>2026-06-28KMF</t>
  </si>
  <si>
    <t>2026-06-28KRW</t>
  </si>
  <si>
    <t>2026-06-28KWD</t>
  </si>
  <si>
    <t>2026-06-28KYD</t>
  </si>
  <si>
    <t>2026-06-28KZT</t>
  </si>
  <si>
    <t>2026-06-28LAK</t>
  </si>
  <si>
    <t>2026-06-28LBP</t>
  </si>
  <si>
    <t>2026-06-28LKR</t>
  </si>
  <si>
    <t>2026-06-28LRD</t>
  </si>
  <si>
    <t>2026-06-28LSL</t>
  </si>
  <si>
    <t>2026-06-28LYD</t>
  </si>
  <si>
    <t>2026-06-28MAD</t>
  </si>
  <si>
    <t>2026-06-28MDL</t>
  </si>
  <si>
    <t>2026-06-28MGA</t>
  </si>
  <si>
    <t>2026-06-28MKD</t>
  </si>
  <si>
    <t>2026-06-28MMK</t>
  </si>
  <si>
    <t>2026-06-28MNT</t>
  </si>
  <si>
    <t>2026-06-28MOP</t>
  </si>
  <si>
    <t>2026-06-28MRU</t>
  </si>
  <si>
    <t>2026-06-28MUR</t>
  </si>
  <si>
    <t>2026-06-28MVR</t>
  </si>
  <si>
    <t>2026-06-28MWK</t>
  </si>
  <si>
    <t>2026-06-28MXN</t>
  </si>
  <si>
    <t>2026-06-28MYR</t>
  </si>
  <si>
    <t>2026-06-28MZN</t>
  </si>
  <si>
    <t>2026-06-28NAD</t>
  </si>
  <si>
    <t>2026-06-28NGN</t>
  </si>
  <si>
    <t>2026-06-28NIO</t>
  </si>
  <si>
    <t>2026-06-28NOK</t>
  </si>
  <si>
    <t>2026-06-28NPR</t>
  </si>
  <si>
    <t>2026-06-28NZD</t>
  </si>
  <si>
    <t>2026-06-28OMR</t>
  </si>
  <si>
    <t>2026-06-28PAB</t>
  </si>
  <si>
    <t>2026-06-28PEN</t>
  </si>
  <si>
    <t>2026-06-28PGK</t>
  </si>
  <si>
    <t>2026-06-28PHP</t>
  </si>
  <si>
    <t>2026-06-28PKR</t>
  </si>
  <si>
    <t>2026-06-28PLN</t>
  </si>
  <si>
    <t>2026-06-28PYG</t>
  </si>
  <si>
    <t>2026-06-28QAR</t>
  </si>
  <si>
    <t>2026-06-28RON</t>
  </si>
  <si>
    <t>2026-06-28RSD</t>
  </si>
  <si>
    <t>2026-06-28RUB</t>
  </si>
  <si>
    <t>2026-06-28RWF</t>
  </si>
  <si>
    <t>2026-06-28SAR</t>
  </si>
  <si>
    <t>2026-06-28SBD</t>
  </si>
  <si>
    <t>2026-06-28SCR</t>
  </si>
  <si>
    <t>2026-06-28SDG</t>
  </si>
  <si>
    <t>2026-06-28SEK</t>
  </si>
  <si>
    <t>2026-06-28SGD</t>
  </si>
  <si>
    <t>2026-06-28SHP</t>
  </si>
  <si>
    <t>2026-06-28SLE</t>
  </si>
  <si>
    <t>2026-06-28SLL</t>
  </si>
  <si>
    <t>2026-06-28SOS</t>
  </si>
  <si>
    <t>2026-06-28SRD</t>
  </si>
  <si>
    <t>2026-06-28SSP</t>
  </si>
  <si>
    <t>2026-06-28STN</t>
  </si>
  <si>
    <t>2026-06-28SYP</t>
  </si>
  <si>
    <t>2026-06-28SZL</t>
  </si>
  <si>
    <t>2026-06-28THB</t>
  </si>
  <si>
    <t>2026-06-28TJS</t>
  </si>
  <si>
    <t>2026-06-28TMT</t>
  </si>
  <si>
    <t>2026-06-28TND</t>
  </si>
  <si>
    <t>2026-06-28TOP</t>
  </si>
  <si>
    <t>2026-06-28TRY</t>
  </si>
  <si>
    <t>2026-06-28TTD</t>
  </si>
  <si>
    <t>2026-06-28TVD</t>
  </si>
  <si>
    <t>2026-06-28TWD</t>
  </si>
  <si>
    <t>2026-06-28TZS</t>
  </si>
  <si>
    <t>2026-06-28UAH</t>
  </si>
  <si>
    <t>2026-06-28UGX</t>
  </si>
  <si>
    <t>2026-06-28USD</t>
  </si>
  <si>
    <t>2026-06-28UYU</t>
  </si>
  <si>
    <t>2026-06-28UZS</t>
  </si>
  <si>
    <t>2026-06-28VES</t>
  </si>
  <si>
    <t>2026-06-28VND</t>
  </si>
  <si>
    <t>2026-06-28VUV</t>
  </si>
  <si>
    <t>2026-06-28WST</t>
  </si>
  <si>
    <t>2026-06-28XAF</t>
  </si>
  <si>
    <t>2026-06-28XCD</t>
  </si>
  <si>
    <t>2026-06-28XCG</t>
  </si>
  <si>
    <t>2026-06-28XDR</t>
  </si>
  <si>
    <t>2026-06-28XOF</t>
  </si>
  <si>
    <t>2026-06-28XPF</t>
  </si>
  <si>
    <t>2026-06-28YER</t>
  </si>
  <si>
    <t>2026-06-28ZAR</t>
  </si>
  <si>
    <t>2026-06-28ZMW</t>
  </si>
  <si>
    <t>2026-06-28ZWG</t>
  </si>
  <si>
    <t>2026-06-28ZWL</t>
  </si>
  <si>
    <t>2026-06-30EUR</t>
  </si>
  <si>
    <t>2026-06-30AED</t>
  </si>
  <si>
    <t>2026-06-30AFN</t>
  </si>
  <si>
    <t>2026-06-30ALL</t>
  </si>
  <si>
    <t>2026-06-30AMD</t>
  </si>
  <si>
    <t>2026-06-30ANG</t>
  </si>
  <si>
    <t>2026-06-30AOA</t>
  </si>
  <si>
    <t>2026-06-30ARS</t>
  </si>
  <si>
    <t>2026-06-30AUD</t>
  </si>
  <si>
    <t>2026-06-30AWG</t>
  </si>
  <si>
    <t>2026-06-30AZN</t>
  </si>
  <si>
    <t>2026-06-30BAM</t>
  </si>
  <si>
    <t>2026-06-30BBD</t>
  </si>
  <si>
    <t>2026-06-30BDT</t>
  </si>
  <si>
    <t>2026-06-30BGN</t>
  </si>
  <si>
    <t>2026-06-30BHD</t>
  </si>
  <si>
    <t>2026-06-30BIF</t>
  </si>
  <si>
    <t>2026-06-30BMD</t>
  </si>
  <si>
    <t>2026-06-30BND</t>
  </si>
  <si>
    <t>2026-06-30BOB</t>
  </si>
  <si>
    <t>2026-06-30BRL</t>
  </si>
  <si>
    <t>2026-06-30BSD</t>
  </si>
  <si>
    <t>2026-06-30BTN</t>
  </si>
  <si>
    <t>2026-06-30BWP</t>
  </si>
  <si>
    <t>2026-06-30BYN</t>
  </si>
  <si>
    <t>2026-06-30BZD</t>
  </si>
  <si>
    <t>2026-06-30CAD</t>
  </si>
  <si>
    <t>2026-06-30CDF</t>
  </si>
  <si>
    <t>2026-06-30CHF</t>
  </si>
  <si>
    <t>2026-06-30CLF</t>
  </si>
  <si>
    <t>2026-06-30CLP</t>
  </si>
  <si>
    <t>2026-06-30CNH</t>
  </si>
  <si>
    <t>2026-06-30CNY</t>
  </si>
  <si>
    <t>2026-06-30COP</t>
  </si>
  <si>
    <t>2026-06-30CRC</t>
  </si>
  <si>
    <t>2026-06-30CUP</t>
  </si>
  <si>
    <t>2026-06-30CVE</t>
  </si>
  <si>
    <t>2026-06-30CZK</t>
  </si>
  <si>
    <t>2026-06-30DJF</t>
  </si>
  <si>
    <t>2026-06-30DKK</t>
  </si>
  <si>
    <t>2026-06-30DOP</t>
  </si>
  <si>
    <t>2026-06-30DZD</t>
  </si>
  <si>
    <t>2026-06-30EGP</t>
  </si>
  <si>
    <t>2026-06-30ERN</t>
  </si>
  <si>
    <t>2026-06-30ETB</t>
  </si>
  <si>
    <t>2026-06-30FJD</t>
  </si>
  <si>
    <t>2026-06-30FKP</t>
  </si>
  <si>
    <t>2026-06-30FOK</t>
  </si>
  <si>
    <t>2026-06-30GBP</t>
  </si>
  <si>
    <t>2026-06-30GEL</t>
  </si>
  <si>
    <t>2026-06-30GGP</t>
  </si>
  <si>
    <t>2026-06-30GHS</t>
  </si>
  <si>
    <t>2026-06-30GIP</t>
  </si>
  <si>
    <t>2026-06-30GMD</t>
  </si>
  <si>
    <t>2026-06-30GNF</t>
  </si>
  <si>
    <t>2026-06-30GTQ</t>
  </si>
  <si>
    <t>2026-06-30GYD</t>
  </si>
  <si>
    <t>2026-06-30HKD</t>
  </si>
  <si>
    <t>2026-06-30HNL</t>
  </si>
  <si>
    <t>2026-06-30HRK</t>
  </si>
  <si>
    <t>2026-06-30HTG</t>
  </si>
  <si>
    <t>2026-06-30IDR</t>
  </si>
  <si>
    <t>2026-06-30ILS</t>
  </si>
  <si>
    <t>2026-06-30IMP</t>
  </si>
  <si>
    <t>2026-06-30INR</t>
  </si>
  <si>
    <t>2026-06-30IQD</t>
  </si>
  <si>
    <t>2026-06-30IRR</t>
  </si>
  <si>
    <t>2026-06-30ISK</t>
  </si>
  <si>
    <t>2026-06-30JEP</t>
  </si>
  <si>
    <t>2026-06-30JMD</t>
  </si>
  <si>
    <t>2026-06-30JOD</t>
  </si>
  <si>
    <t>2026-06-30JPY</t>
  </si>
  <si>
    <t>2026-06-30KES</t>
  </si>
  <si>
    <t>2026-06-30KGS</t>
  </si>
  <si>
    <t>2026-06-30KHR</t>
  </si>
  <si>
    <t>2026-06-30KID</t>
  </si>
  <si>
    <t>2026-06-30KMF</t>
  </si>
  <si>
    <t>2026-06-30KRW</t>
  </si>
  <si>
    <t>2026-06-30KWD</t>
  </si>
  <si>
    <t>2026-06-30KYD</t>
  </si>
  <si>
    <t>2026-06-30KZT</t>
  </si>
  <si>
    <t>2026-06-30LAK</t>
  </si>
  <si>
    <t>2026-06-30LBP</t>
  </si>
  <si>
    <t>2026-06-30LKR</t>
  </si>
  <si>
    <t>2026-06-30LRD</t>
  </si>
  <si>
    <t>2026-06-30LSL</t>
  </si>
  <si>
    <t>2026-06-30LYD</t>
  </si>
  <si>
    <t>2026-06-30MAD</t>
  </si>
  <si>
    <t>2026-06-30MDL</t>
  </si>
  <si>
    <t>2026-06-30MGA</t>
  </si>
  <si>
    <t>2026-06-30MKD</t>
  </si>
  <si>
    <t>2026-06-30MMK</t>
  </si>
  <si>
    <t>2026-06-30MNT</t>
  </si>
  <si>
    <t>2026-06-30MOP</t>
  </si>
  <si>
    <t>2026-06-30MRU</t>
  </si>
  <si>
    <t>2026-06-30MUR</t>
  </si>
  <si>
    <t>2026-06-30MVR</t>
  </si>
  <si>
    <t>2026-06-30MWK</t>
  </si>
  <si>
    <t>2026-06-30MXN</t>
  </si>
  <si>
    <t>2026-06-30MYR</t>
  </si>
  <si>
    <t>2026-06-30MZN</t>
  </si>
  <si>
    <t>2026-06-30NAD</t>
  </si>
  <si>
    <t>2026-06-30NGN</t>
  </si>
  <si>
    <t>2026-06-30NIO</t>
  </si>
  <si>
    <t>2026-06-30NOK</t>
  </si>
  <si>
    <t>2026-06-30NPR</t>
  </si>
  <si>
    <t>2026-06-30NZD</t>
  </si>
  <si>
    <t>2026-06-30OMR</t>
  </si>
  <si>
    <t>2026-06-30PAB</t>
  </si>
  <si>
    <t>2026-06-30PEN</t>
  </si>
  <si>
    <t>2026-06-30PGK</t>
  </si>
  <si>
    <t>2026-06-30PHP</t>
  </si>
  <si>
    <t>2026-06-30PKR</t>
  </si>
  <si>
    <t>2026-06-30PLN</t>
  </si>
  <si>
    <t>2026-06-30PYG</t>
  </si>
  <si>
    <t>2026-06-30QAR</t>
  </si>
  <si>
    <t>2026-06-30RON</t>
  </si>
  <si>
    <t>2026-06-30RSD</t>
  </si>
  <si>
    <t>2026-06-30RUB</t>
  </si>
  <si>
    <t>2026-06-30RWF</t>
  </si>
  <si>
    <t>2026-06-30SAR</t>
  </si>
  <si>
    <t>2026-06-30SBD</t>
  </si>
  <si>
    <t>2026-06-30SCR</t>
  </si>
  <si>
    <t>2026-06-30SDG</t>
  </si>
  <si>
    <t>2026-06-30SEK</t>
  </si>
  <si>
    <t>2026-06-30SGD</t>
  </si>
  <si>
    <t>2026-06-30SHP</t>
  </si>
  <si>
    <t>2026-06-30SLE</t>
  </si>
  <si>
    <t>2026-06-30SLL</t>
  </si>
  <si>
    <t>2026-06-30SOS</t>
  </si>
  <si>
    <t>2026-06-30SRD</t>
  </si>
  <si>
    <t>2026-06-30SSP</t>
  </si>
  <si>
    <t>2026-06-30STN</t>
  </si>
  <si>
    <t>2026-06-30SYP</t>
  </si>
  <si>
    <t>2026-06-30SZL</t>
  </si>
  <si>
    <t>2026-06-30THB</t>
  </si>
  <si>
    <t>2026-06-30TJS</t>
  </si>
  <si>
    <t>2026-06-30TMT</t>
  </si>
  <si>
    <t>2026-06-30TND</t>
  </si>
  <si>
    <t>2026-06-30TOP</t>
  </si>
  <si>
    <t>2026-06-30TRY</t>
  </si>
  <si>
    <t>2026-06-30TTD</t>
  </si>
  <si>
    <t>2026-06-30TVD</t>
  </si>
  <si>
    <t>2026-06-30TWD</t>
  </si>
  <si>
    <t>2026-06-30TZS</t>
  </si>
  <si>
    <t>2026-06-30UAH</t>
  </si>
  <si>
    <t>2026-06-30UGX</t>
  </si>
  <si>
    <t>2026-06-30USD</t>
  </si>
  <si>
    <t>2026-06-30UYU</t>
  </si>
  <si>
    <t>2026-06-30UZS</t>
  </si>
  <si>
    <t>2026-06-30VES</t>
  </si>
  <si>
    <t>2026-06-30VND</t>
  </si>
  <si>
    <t>2026-06-30VUV</t>
  </si>
  <si>
    <t>2026-06-30WST</t>
  </si>
  <si>
    <t>2026-06-30XAF</t>
  </si>
  <si>
    <t>2026-06-30XCD</t>
  </si>
  <si>
    <t>2026-06-30XCG</t>
  </si>
  <si>
    <t>2026-06-30XDR</t>
  </si>
  <si>
    <t>2026-06-30XOF</t>
  </si>
  <si>
    <t>2026-06-30XPF</t>
  </si>
  <si>
    <t>2026-06-30YER</t>
  </si>
  <si>
    <t>2026-06-30ZAR</t>
  </si>
  <si>
    <t>2026-06-30ZMW</t>
  </si>
  <si>
    <t>2026-06-30ZWG</t>
  </si>
  <si>
    <t>2026-06-30ZWL</t>
  </si>
  <si>
    <t>2026-07-01EUR</t>
  </si>
  <si>
    <t>2026-07-01AED</t>
  </si>
  <si>
    <t>2026-07-01AFN</t>
  </si>
  <si>
    <t>2026-07-01ALL</t>
  </si>
  <si>
    <t>2026-07-01AMD</t>
  </si>
  <si>
    <t>2026-07-01ANG</t>
  </si>
  <si>
    <t>2026-07-01AOA</t>
  </si>
  <si>
    <t>2026-07-01ARS</t>
  </si>
  <si>
    <t>2026-07-01AUD</t>
  </si>
  <si>
    <t>2026-07-01AWG</t>
  </si>
  <si>
    <t>2026-07-01AZN</t>
  </si>
  <si>
    <t>2026-07-01BAM</t>
  </si>
  <si>
    <t>2026-07-01BBD</t>
  </si>
  <si>
    <t>2026-07-01BDT</t>
  </si>
  <si>
    <t>2026-07-01BGN</t>
  </si>
  <si>
    <t>2026-07-01BHD</t>
  </si>
  <si>
    <t>2026-07-01BIF</t>
  </si>
  <si>
    <t>2026-07-01BMD</t>
  </si>
  <si>
    <t>2026-07-01BND</t>
  </si>
  <si>
    <t>2026-07-01BOB</t>
  </si>
  <si>
    <t>2026-07-01BRL</t>
  </si>
  <si>
    <t>2026-07-01BSD</t>
  </si>
  <si>
    <t>2026-07-01BTN</t>
  </si>
  <si>
    <t>2026-07-01BWP</t>
  </si>
  <si>
    <t>2026-07-01BYN</t>
  </si>
  <si>
    <t>2026-07-01BZD</t>
  </si>
  <si>
    <t>2026-07-01CAD</t>
  </si>
  <si>
    <t>2026-07-01CDF</t>
  </si>
  <si>
    <t>2026-07-01CHF</t>
  </si>
  <si>
    <t>2026-07-01CLF</t>
  </si>
  <si>
    <t>2026-07-01CLP</t>
  </si>
  <si>
    <t>2026-07-01CNH</t>
  </si>
  <si>
    <t>2026-07-01CNY</t>
  </si>
  <si>
    <t>2026-07-01COP</t>
  </si>
  <si>
    <t>2026-07-01CRC</t>
  </si>
  <si>
    <t>2026-07-01CUP</t>
  </si>
  <si>
    <t>2026-07-01CVE</t>
  </si>
  <si>
    <t>2026-07-01CZK</t>
  </si>
  <si>
    <t>2026-07-01DJF</t>
  </si>
  <si>
    <t>2026-07-01DKK</t>
  </si>
  <si>
    <t>2026-07-01DOP</t>
  </si>
  <si>
    <t>2026-07-01DZD</t>
  </si>
  <si>
    <t>2026-07-01EGP</t>
  </si>
  <si>
    <t>2026-07-01ERN</t>
  </si>
  <si>
    <t>2026-07-01ETB</t>
  </si>
  <si>
    <t>2026-07-01FJD</t>
  </si>
  <si>
    <t>2026-07-01FKP</t>
  </si>
  <si>
    <t>2026-07-01FOK</t>
  </si>
  <si>
    <t>2026-07-01GBP</t>
  </si>
  <si>
    <t>2026-07-01GEL</t>
  </si>
  <si>
    <t>2026-07-01GGP</t>
  </si>
  <si>
    <t>2026-07-01GHS</t>
  </si>
  <si>
    <t>2026-07-01GIP</t>
  </si>
  <si>
    <t>2026-07-01GMD</t>
  </si>
  <si>
    <t>2026-07-01GNF</t>
  </si>
  <si>
    <t>2026-07-01GTQ</t>
  </si>
  <si>
    <t>2026-07-01GYD</t>
  </si>
  <si>
    <t>2026-07-01HKD</t>
  </si>
  <si>
    <t>2026-07-01HNL</t>
  </si>
  <si>
    <t>2026-07-01HRK</t>
  </si>
  <si>
    <t>2026-07-01HTG</t>
  </si>
  <si>
    <t>2026-07-01IDR</t>
  </si>
  <si>
    <t>2026-07-01ILS</t>
  </si>
  <si>
    <t>2026-07-01IMP</t>
  </si>
  <si>
    <t>2026-07-01INR</t>
  </si>
  <si>
    <t>2026-07-01IQD</t>
  </si>
  <si>
    <t>2026-07-01IRR</t>
  </si>
  <si>
    <t>2026-07-01ISK</t>
  </si>
  <si>
    <t>2026-07-01JEP</t>
  </si>
  <si>
    <t>2026-07-01JMD</t>
  </si>
  <si>
    <t>2026-07-01JOD</t>
  </si>
  <si>
    <t>2026-07-01JPY</t>
  </si>
  <si>
    <t>2026-07-01KES</t>
  </si>
  <si>
    <t>2026-07-01KGS</t>
  </si>
  <si>
    <t>2026-07-01KHR</t>
  </si>
  <si>
    <t>2026-07-01KID</t>
  </si>
  <si>
    <t>2026-07-01KMF</t>
  </si>
  <si>
    <t>2026-07-01KRW</t>
  </si>
  <si>
    <t>2026-07-01KWD</t>
  </si>
  <si>
    <t>2026-07-01KYD</t>
  </si>
  <si>
    <t>2026-07-01KZT</t>
  </si>
  <si>
    <t>2026-07-01LAK</t>
  </si>
  <si>
    <t>2026-07-01LBP</t>
  </si>
  <si>
    <t>2026-07-01LKR</t>
  </si>
  <si>
    <t>2026-07-01LRD</t>
  </si>
  <si>
    <t>2026-07-01LSL</t>
  </si>
  <si>
    <t>2026-07-01LYD</t>
  </si>
  <si>
    <t>2026-07-01MAD</t>
  </si>
  <si>
    <t>2026-07-01MDL</t>
  </si>
  <si>
    <t>2026-07-01MGA</t>
  </si>
  <si>
    <t>2026-07-01MKD</t>
  </si>
  <si>
    <t>2026-07-01MMK</t>
  </si>
  <si>
    <t>2026-07-01MNT</t>
  </si>
  <si>
    <t>2026-07-01MOP</t>
  </si>
  <si>
    <t>2026-07-01MRU</t>
  </si>
  <si>
    <t>2026-07-01MUR</t>
  </si>
  <si>
    <t>2026-07-01MVR</t>
  </si>
  <si>
    <t>2026-07-01MWK</t>
  </si>
  <si>
    <t>2026-07-01MXN</t>
  </si>
  <si>
    <t>2026-07-01MYR</t>
  </si>
  <si>
    <t>2026-07-01MZN</t>
  </si>
  <si>
    <t>2026-07-01NAD</t>
  </si>
  <si>
    <t>2026-07-01NGN</t>
  </si>
  <si>
    <t>2026-07-01NIO</t>
  </si>
  <si>
    <t>2026-07-01NOK</t>
  </si>
  <si>
    <t>2026-07-01NPR</t>
  </si>
  <si>
    <t>2026-07-01NZD</t>
  </si>
  <si>
    <t>2026-07-01OMR</t>
  </si>
  <si>
    <t>2026-07-01PAB</t>
  </si>
  <si>
    <t>2026-07-01PEN</t>
  </si>
  <si>
    <t>2026-07-01PGK</t>
  </si>
  <si>
    <t>2026-07-01PHP</t>
  </si>
  <si>
    <t>2026-07-01PKR</t>
  </si>
  <si>
    <t>2026-07-01PLN</t>
  </si>
  <si>
    <t>2026-07-01PYG</t>
  </si>
  <si>
    <t>2026-07-01QAR</t>
  </si>
  <si>
    <t>2026-07-01RON</t>
  </si>
  <si>
    <t>2026-07-01RSD</t>
  </si>
  <si>
    <t>2026-07-01RUB</t>
  </si>
  <si>
    <t>2026-07-01RWF</t>
  </si>
  <si>
    <t>2026-07-01SAR</t>
  </si>
  <si>
    <t>2026-07-01SBD</t>
  </si>
  <si>
    <t>2026-07-01SCR</t>
  </si>
  <si>
    <t>2026-07-01SDG</t>
  </si>
  <si>
    <t>2026-07-01SEK</t>
  </si>
  <si>
    <t>2026-07-01SGD</t>
  </si>
  <si>
    <t>2026-07-01SHP</t>
  </si>
  <si>
    <t>2026-07-01SLE</t>
  </si>
  <si>
    <t>2026-07-01SLL</t>
  </si>
  <si>
    <t>2026-07-01SOS</t>
  </si>
  <si>
    <t>2026-07-01SRD</t>
  </si>
  <si>
    <t>2026-07-01SSP</t>
  </si>
  <si>
    <t>2026-07-01STN</t>
  </si>
  <si>
    <t>2026-07-01SYP</t>
  </si>
  <si>
    <t>2026-07-01SZL</t>
  </si>
  <si>
    <t>2026-07-01THB</t>
  </si>
  <si>
    <t>2026-07-01TJS</t>
  </si>
  <si>
    <t>2026-07-01TMT</t>
  </si>
  <si>
    <t>2026-07-01TND</t>
  </si>
  <si>
    <t>2026-07-01TOP</t>
  </si>
  <si>
    <t>2026-07-01TRY</t>
  </si>
  <si>
    <t>2026-07-01TTD</t>
  </si>
  <si>
    <t>2026-07-01TVD</t>
  </si>
  <si>
    <t>2026-07-01TWD</t>
  </si>
  <si>
    <t>2026-07-01TZS</t>
  </si>
  <si>
    <t>2026-07-01UAH</t>
  </si>
  <si>
    <t>2026-07-01UGX</t>
  </si>
  <si>
    <t>2026-07-01USD</t>
  </si>
  <si>
    <t>2026-07-01UYU</t>
  </si>
  <si>
    <t>2026-07-01UZS</t>
  </si>
  <si>
    <t>2026-07-01VES</t>
  </si>
  <si>
    <t>2026-07-01VND</t>
  </si>
  <si>
    <t>2026-07-01VUV</t>
  </si>
  <si>
    <t>2026-07-01WST</t>
  </si>
  <si>
    <t>2026-07-01XAF</t>
  </si>
  <si>
    <t>2026-07-01XCD</t>
  </si>
  <si>
    <t>2026-07-01XCG</t>
  </si>
  <si>
    <t>2026-07-01XDR</t>
  </si>
  <si>
    <t>2026-07-01XOF</t>
  </si>
  <si>
    <t>2026-07-01XPF</t>
  </si>
  <si>
    <t>2026-07-01YER</t>
  </si>
  <si>
    <t>2026-07-01ZAR</t>
  </si>
  <si>
    <t>2026-07-01ZMW</t>
  </si>
  <si>
    <t>2026-07-01ZWG</t>
  </si>
  <si>
    <t>2026-07-01ZWL</t>
  </si>
  <si>
    <t>2026-07-02EUR</t>
  </si>
  <si>
    <t>2026-07-02AED</t>
  </si>
  <si>
    <t>2026-07-02AFN</t>
  </si>
  <si>
    <t>2026-07-02ALL</t>
  </si>
  <si>
    <t>2026-07-02AMD</t>
  </si>
  <si>
    <t>2026-07-02ANG</t>
  </si>
  <si>
    <t>2026-07-02AOA</t>
  </si>
  <si>
    <t>2026-07-02ARS</t>
  </si>
  <si>
    <t>2026-07-02AUD</t>
  </si>
  <si>
    <t>2026-07-02AWG</t>
  </si>
  <si>
    <t>2026-07-02AZN</t>
  </si>
  <si>
    <t>2026-07-02BAM</t>
  </si>
  <si>
    <t>2026-07-02BBD</t>
  </si>
  <si>
    <t>2026-07-02BDT</t>
  </si>
  <si>
    <t>2026-07-02BGN</t>
  </si>
  <si>
    <t>2026-07-02BHD</t>
  </si>
  <si>
    <t>2026-07-02BIF</t>
  </si>
  <si>
    <t>2026-07-02BMD</t>
  </si>
  <si>
    <t>2026-07-02BND</t>
  </si>
  <si>
    <t>2026-07-02BOB</t>
  </si>
  <si>
    <t>2026-07-02BRL</t>
  </si>
  <si>
    <t>2026-07-02BSD</t>
  </si>
  <si>
    <t>2026-07-02BTN</t>
  </si>
  <si>
    <t>2026-07-02BWP</t>
  </si>
  <si>
    <t>2026-07-02BYN</t>
  </si>
  <si>
    <t>2026-07-02BZD</t>
  </si>
  <si>
    <t>2026-07-02CAD</t>
  </si>
  <si>
    <t>2026-07-02CDF</t>
  </si>
  <si>
    <t>2026-07-02CHF</t>
  </si>
  <si>
    <t>2026-07-02CLF</t>
  </si>
  <si>
    <t>2026-07-02CLP</t>
  </si>
  <si>
    <t>2026-07-02CNH</t>
  </si>
  <si>
    <t>2026-07-02CNY</t>
  </si>
  <si>
    <t>2026-07-02COP</t>
  </si>
  <si>
    <t>2026-07-02CRC</t>
  </si>
  <si>
    <t>2026-07-02CUP</t>
  </si>
  <si>
    <t>2026-07-02CVE</t>
  </si>
  <si>
    <t>2026-07-02CZK</t>
  </si>
  <si>
    <t>2026-07-02DJF</t>
  </si>
  <si>
    <t>2026-07-02DKK</t>
  </si>
  <si>
    <t>2026-07-02DOP</t>
  </si>
  <si>
    <t>2026-07-02DZD</t>
  </si>
  <si>
    <t>2026-07-02EGP</t>
  </si>
  <si>
    <t>2026-07-02ERN</t>
  </si>
  <si>
    <t>2026-07-02ETB</t>
  </si>
  <si>
    <t>2026-07-02FJD</t>
  </si>
  <si>
    <t>2026-07-02FKP</t>
  </si>
  <si>
    <t>2026-07-02FOK</t>
  </si>
  <si>
    <t>2026-07-02GBP</t>
  </si>
  <si>
    <t>2026-07-02GEL</t>
  </si>
  <si>
    <t>2026-07-02GGP</t>
  </si>
  <si>
    <t>2026-07-02GHS</t>
  </si>
  <si>
    <t>2026-07-02GIP</t>
  </si>
  <si>
    <t>2026-07-02GMD</t>
  </si>
  <si>
    <t>2026-07-02GNF</t>
  </si>
  <si>
    <t>2026-07-02GTQ</t>
  </si>
  <si>
    <t>2026-07-02GYD</t>
  </si>
  <si>
    <t>2026-07-02HKD</t>
  </si>
  <si>
    <t>2026-07-02HNL</t>
  </si>
  <si>
    <t>2026-07-02HRK</t>
  </si>
  <si>
    <t>2026-07-02HTG</t>
  </si>
  <si>
    <t>2026-07-02IDR</t>
  </si>
  <si>
    <t>2026-07-02ILS</t>
  </si>
  <si>
    <t>2026-07-02IMP</t>
  </si>
  <si>
    <t>2026-07-02INR</t>
  </si>
  <si>
    <t>2026-07-02IQD</t>
  </si>
  <si>
    <t>2026-07-02IRR</t>
  </si>
  <si>
    <t>2026-07-02ISK</t>
  </si>
  <si>
    <t>2026-07-02JEP</t>
  </si>
  <si>
    <t>2026-07-02JMD</t>
  </si>
  <si>
    <t>2026-07-02JOD</t>
  </si>
  <si>
    <t>2026-07-02JPY</t>
  </si>
  <si>
    <t>2026-07-02KES</t>
  </si>
  <si>
    <t>2026-07-02KGS</t>
  </si>
  <si>
    <t>2026-07-02KHR</t>
  </si>
  <si>
    <t>2026-07-02KID</t>
  </si>
  <si>
    <t>2026-07-02KMF</t>
  </si>
  <si>
    <t>2026-07-02KRW</t>
  </si>
  <si>
    <t>2026-07-02KWD</t>
  </si>
  <si>
    <t>2026-07-02KYD</t>
  </si>
  <si>
    <t>2026-07-02KZT</t>
  </si>
  <si>
    <t>2026-07-02LAK</t>
  </si>
  <si>
    <t>2026-07-02LBP</t>
  </si>
  <si>
    <t>2026-07-02LKR</t>
  </si>
  <si>
    <t>2026-07-02LRD</t>
  </si>
  <si>
    <t>2026-07-02LSL</t>
  </si>
  <si>
    <t>2026-07-02LYD</t>
  </si>
  <si>
    <t>2026-07-02MAD</t>
  </si>
  <si>
    <t>2026-07-02MDL</t>
  </si>
  <si>
    <t>2026-07-02MGA</t>
  </si>
  <si>
    <t>2026-07-02MKD</t>
  </si>
  <si>
    <t>2026-07-02MMK</t>
  </si>
  <si>
    <t>2026-07-02MNT</t>
  </si>
  <si>
    <t>2026-07-02MOP</t>
  </si>
  <si>
    <t>2026-07-02MRU</t>
  </si>
  <si>
    <t>2026-07-02MUR</t>
  </si>
  <si>
    <t>2026-07-02MVR</t>
  </si>
  <si>
    <t>2026-07-02MWK</t>
  </si>
  <si>
    <t>2026-07-02MXN</t>
  </si>
  <si>
    <t>2026-07-02MYR</t>
  </si>
  <si>
    <t>2026-07-02MZN</t>
  </si>
  <si>
    <t>2026-07-02NAD</t>
  </si>
  <si>
    <t>2026-07-02NGN</t>
  </si>
  <si>
    <t>2026-07-02NIO</t>
  </si>
  <si>
    <t>2026-07-02NOK</t>
  </si>
  <si>
    <t>2026-07-02NPR</t>
  </si>
  <si>
    <t>2026-07-02NZD</t>
  </si>
  <si>
    <t>2026-07-02OMR</t>
  </si>
  <si>
    <t>2026-07-02PAB</t>
  </si>
  <si>
    <t>2026-07-02PEN</t>
  </si>
  <si>
    <t>2026-07-02PGK</t>
  </si>
  <si>
    <t>2026-07-02PHP</t>
  </si>
  <si>
    <t>2026-07-02PKR</t>
  </si>
  <si>
    <t>2026-07-02PLN</t>
  </si>
  <si>
    <t>2026-07-02PYG</t>
  </si>
  <si>
    <t>2026-07-02QAR</t>
  </si>
  <si>
    <t>2026-07-02RON</t>
  </si>
  <si>
    <t>2026-07-02RSD</t>
  </si>
  <si>
    <t>2026-07-02RUB</t>
  </si>
  <si>
    <t>2026-07-02RWF</t>
  </si>
  <si>
    <t>2026-07-02SAR</t>
  </si>
  <si>
    <t>2026-07-02SBD</t>
  </si>
  <si>
    <t>2026-07-02SCR</t>
  </si>
  <si>
    <t>2026-07-02SDG</t>
  </si>
  <si>
    <t>2026-07-02SEK</t>
  </si>
  <si>
    <t>2026-07-02SGD</t>
  </si>
  <si>
    <t>2026-07-02SHP</t>
  </si>
  <si>
    <t>2026-07-02SLE</t>
  </si>
  <si>
    <t>2026-07-02SLL</t>
  </si>
  <si>
    <t>2026-07-02SOS</t>
  </si>
  <si>
    <t>2026-07-02SRD</t>
  </si>
  <si>
    <t>2026-07-02SSP</t>
  </si>
  <si>
    <t>2026-07-02STN</t>
  </si>
  <si>
    <t>2026-07-02SYP</t>
  </si>
  <si>
    <t>2026-07-02SZL</t>
  </si>
  <si>
    <t>2026-07-02THB</t>
  </si>
  <si>
    <t>2026-07-02TJS</t>
  </si>
  <si>
    <t>2026-07-02TMT</t>
  </si>
  <si>
    <t>2026-07-02TND</t>
  </si>
  <si>
    <t>2026-07-02TOP</t>
  </si>
  <si>
    <t>2026-07-02TRY</t>
  </si>
  <si>
    <t>2026-07-02TTD</t>
  </si>
  <si>
    <t>2026-07-02TVD</t>
  </si>
  <si>
    <t>2026-07-02TWD</t>
  </si>
  <si>
    <t>2026-07-02TZS</t>
  </si>
  <si>
    <t>2026-07-02UAH</t>
  </si>
  <si>
    <t>2026-07-02UGX</t>
  </si>
  <si>
    <t>2026-07-02USD</t>
  </si>
  <si>
    <t>2026-07-02UYU</t>
  </si>
  <si>
    <t>2026-07-02UZS</t>
  </si>
  <si>
    <t>2026-07-02VES</t>
  </si>
  <si>
    <t>2026-07-02VND</t>
  </si>
  <si>
    <t>2026-07-02VUV</t>
  </si>
  <si>
    <t>2026-07-02WST</t>
  </si>
  <si>
    <t>2026-07-02XAF</t>
  </si>
  <si>
    <t>2026-07-02XCD</t>
  </si>
  <si>
    <t>2026-07-02XCG</t>
  </si>
  <si>
    <t>2026-07-02XDR</t>
  </si>
  <si>
    <t>2026-07-02XOF</t>
  </si>
  <si>
    <t>2026-07-02XPF</t>
  </si>
  <si>
    <t>2026-07-02YER</t>
  </si>
  <si>
    <t>2026-07-02ZAR</t>
  </si>
  <si>
    <t>2026-07-02ZMW</t>
  </si>
  <si>
    <t>2026-07-02ZWG</t>
  </si>
  <si>
    <t>2026-07-02ZWL</t>
  </si>
  <si>
    <t>2026-07-05EUR</t>
  </si>
  <si>
    <t>2026-07-05AED</t>
  </si>
  <si>
    <t>2026-07-05AFN</t>
  </si>
  <si>
    <t>2026-07-05ALL</t>
  </si>
  <si>
    <t>2026-07-05AMD</t>
  </si>
  <si>
    <t>2026-07-05ANG</t>
  </si>
  <si>
    <t>2026-07-05AOA</t>
  </si>
  <si>
    <t>2026-07-05ARS</t>
  </si>
  <si>
    <t>2026-07-05AUD</t>
  </si>
  <si>
    <t>2026-07-05AWG</t>
  </si>
  <si>
    <t>2026-07-05AZN</t>
  </si>
  <si>
    <t>2026-07-05BAM</t>
  </si>
  <si>
    <t>2026-07-05BBD</t>
  </si>
  <si>
    <t>2026-07-05BDT</t>
  </si>
  <si>
    <t>2026-07-05BGN</t>
  </si>
  <si>
    <t>2026-07-05BHD</t>
  </si>
  <si>
    <t>2026-07-05BIF</t>
  </si>
  <si>
    <t>2026-07-05BMD</t>
  </si>
  <si>
    <t>2026-07-05BND</t>
  </si>
  <si>
    <t>2026-07-05BOB</t>
  </si>
  <si>
    <t>2026-07-05BRL</t>
  </si>
  <si>
    <t>2026-07-05BSD</t>
  </si>
  <si>
    <t>2026-07-05BTN</t>
  </si>
  <si>
    <t>2026-07-05BWP</t>
  </si>
  <si>
    <t>2026-07-05BYN</t>
  </si>
  <si>
    <t>2026-07-05BZD</t>
  </si>
  <si>
    <t>2026-07-05CAD</t>
  </si>
  <si>
    <t>2026-07-05CDF</t>
  </si>
  <si>
    <t>2026-07-05CHF</t>
  </si>
  <si>
    <t>2026-07-05CLF</t>
  </si>
  <si>
    <t>2026-07-05CLP</t>
  </si>
  <si>
    <t>2026-07-05CNH</t>
  </si>
  <si>
    <t>2026-07-05CNY</t>
  </si>
  <si>
    <t>2026-07-05COP</t>
  </si>
  <si>
    <t>2026-07-05CRC</t>
  </si>
  <si>
    <t>2026-07-05CUP</t>
  </si>
  <si>
    <t>2026-07-05CVE</t>
  </si>
  <si>
    <t>2026-07-05CZK</t>
  </si>
  <si>
    <t>2026-07-05DJF</t>
  </si>
  <si>
    <t>2026-07-05DKK</t>
  </si>
  <si>
    <t>2026-07-05DOP</t>
  </si>
  <si>
    <t>2026-07-05DZD</t>
  </si>
  <si>
    <t>2026-07-05EGP</t>
  </si>
  <si>
    <t>2026-07-05ERN</t>
  </si>
  <si>
    <t>2026-07-05ETB</t>
  </si>
  <si>
    <t>2026-07-05FJD</t>
  </si>
  <si>
    <t>2026-07-05FKP</t>
  </si>
  <si>
    <t>2026-07-05FOK</t>
  </si>
  <si>
    <t>2026-07-05GBP</t>
  </si>
  <si>
    <t>2026-07-05GEL</t>
  </si>
  <si>
    <t>2026-07-05GGP</t>
  </si>
  <si>
    <t>2026-07-05GHS</t>
  </si>
  <si>
    <t>2026-07-05GIP</t>
  </si>
  <si>
    <t>2026-07-05GMD</t>
  </si>
  <si>
    <t>2026-07-05GNF</t>
  </si>
  <si>
    <t>2026-07-05GTQ</t>
  </si>
  <si>
    <t>2026-07-05GYD</t>
  </si>
  <si>
    <t>2026-07-05HKD</t>
  </si>
  <si>
    <t>2026-07-05HNL</t>
  </si>
  <si>
    <t>2026-07-05HRK</t>
  </si>
  <si>
    <t>2026-07-05HTG</t>
  </si>
  <si>
    <t>2026-07-05IDR</t>
  </si>
  <si>
    <t>2026-07-05ILS</t>
  </si>
  <si>
    <t>2026-07-05IMP</t>
  </si>
  <si>
    <t>2026-07-05INR</t>
  </si>
  <si>
    <t>2026-07-05IQD</t>
  </si>
  <si>
    <t>2026-07-05IRR</t>
  </si>
  <si>
    <t>2026-07-05ISK</t>
  </si>
  <si>
    <t>2026-07-05JEP</t>
  </si>
  <si>
    <t>2026-07-05JMD</t>
  </si>
  <si>
    <t>2026-07-05JOD</t>
  </si>
  <si>
    <t>2026-07-05JPY</t>
  </si>
  <si>
    <t>2026-07-05KES</t>
  </si>
  <si>
    <t>2026-07-05KGS</t>
  </si>
  <si>
    <t>2026-07-05KHR</t>
  </si>
  <si>
    <t>2026-07-05KID</t>
  </si>
  <si>
    <t>2026-07-05KMF</t>
  </si>
  <si>
    <t>2026-07-05KRW</t>
  </si>
  <si>
    <t>2026-07-05KWD</t>
  </si>
  <si>
    <t>2026-07-05KYD</t>
  </si>
  <si>
    <t>2026-07-05KZT</t>
  </si>
  <si>
    <t>2026-07-05LAK</t>
  </si>
  <si>
    <t>2026-07-05LBP</t>
  </si>
  <si>
    <t>2026-07-05LKR</t>
  </si>
  <si>
    <t>2026-07-05LRD</t>
  </si>
  <si>
    <t>2026-07-05LSL</t>
  </si>
  <si>
    <t>2026-07-05LYD</t>
  </si>
  <si>
    <t>2026-07-05MAD</t>
  </si>
  <si>
    <t>2026-07-05MDL</t>
  </si>
  <si>
    <t>2026-07-05MGA</t>
  </si>
  <si>
    <t>2026-07-05MKD</t>
  </si>
  <si>
    <t>2026-07-05MMK</t>
  </si>
  <si>
    <t>2026-07-05MNT</t>
  </si>
  <si>
    <t>2026-07-05MOP</t>
  </si>
  <si>
    <t>2026-07-05MRU</t>
  </si>
  <si>
    <t>2026-07-05MUR</t>
  </si>
  <si>
    <t>2026-07-05MVR</t>
  </si>
  <si>
    <t>2026-07-05MWK</t>
  </si>
  <si>
    <t>2026-07-05MXN</t>
  </si>
  <si>
    <t>2026-07-05MYR</t>
  </si>
  <si>
    <t>2026-07-05MZN</t>
  </si>
  <si>
    <t>2026-07-05NAD</t>
  </si>
  <si>
    <t>2026-07-05NGN</t>
  </si>
  <si>
    <t>2026-07-05NIO</t>
  </si>
  <si>
    <t>2026-07-05NOK</t>
  </si>
  <si>
    <t>2026-07-05NPR</t>
  </si>
  <si>
    <t>2026-07-05NZD</t>
  </si>
  <si>
    <t>2026-07-05OMR</t>
  </si>
  <si>
    <t>2026-07-05PAB</t>
  </si>
  <si>
    <t>2026-07-05PEN</t>
  </si>
  <si>
    <t>2026-07-05PGK</t>
  </si>
  <si>
    <t>2026-07-05PHP</t>
  </si>
  <si>
    <t>2026-07-05PKR</t>
  </si>
  <si>
    <t>2026-07-05PLN</t>
  </si>
  <si>
    <t>2026-07-05PYG</t>
  </si>
  <si>
    <t>2026-07-05QAR</t>
  </si>
  <si>
    <t>2026-07-05RON</t>
  </si>
  <si>
    <t>2026-07-05RSD</t>
  </si>
  <si>
    <t>2026-07-05RUB</t>
  </si>
  <si>
    <t>2026-07-05RWF</t>
  </si>
  <si>
    <t>2026-07-05SAR</t>
  </si>
  <si>
    <t>2026-07-05SBD</t>
  </si>
  <si>
    <t>2026-07-05SCR</t>
  </si>
  <si>
    <t>2026-07-05SDG</t>
  </si>
  <si>
    <t>2026-07-05SEK</t>
  </si>
  <si>
    <t>2026-07-05SGD</t>
  </si>
  <si>
    <t>2026-07-05SHP</t>
  </si>
  <si>
    <t>2026-07-05SLE</t>
  </si>
  <si>
    <t>2026-07-05SLL</t>
  </si>
  <si>
    <t>2026-07-05SOS</t>
  </si>
  <si>
    <t>2026-07-05SRD</t>
  </si>
  <si>
    <t>2026-07-05SSP</t>
  </si>
  <si>
    <t>2026-07-05STN</t>
  </si>
  <si>
    <t>2026-07-05SYP</t>
  </si>
  <si>
    <t>2026-07-05SZL</t>
  </si>
  <si>
    <t>2026-07-05THB</t>
  </si>
  <si>
    <t>2026-07-05TJS</t>
  </si>
  <si>
    <t>2026-07-05TMT</t>
  </si>
  <si>
    <t>2026-07-05TND</t>
  </si>
  <si>
    <t>2026-07-05TOP</t>
  </si>
  <si>
    <t>2026-07-05TRY</t>
  </si>
  <si>
    <t>2026-07-05TTD</t>
  </si>
  <si>
    <t>2026-07-05TVD</t>
  </si>
  <si>
    <t>2026-07-05TWD</t>
  </si>
  <si>
    <t>2026-07-05TZS</t>
  </si>
  <si>
    <t>2026-07-05UAH</t>
  </si>
  <si>
    <t>2026-07-05UGX</t>
  </si>
  <si>
    <t>2026-07-05USD</t>
  </si>
  <si>
    <t>2026-07-05UYU</t>
  </si>
  <si>
    <t>2026-07-05UZS</t>
  </si>
  <si>
    <t>2026-07-05VES</t>
  </si>
  <si>
    <t>2026-07-05VND</t>
  </si>
  <si>
    <t>2026-07-05VUV</t>
  </si>
  <si>
    <t>2026-07-05WST</t>
  </si>
  <si>
    <t>2026-07-05XAF</t>
  </si>
  <si>
    <t>2026-07-05XCD</t>
  </si>
  <si>
    <t>2026-07-05XCG</t>
  </si>
  <si>
    <t>2026-07-05XDR</t>
  </si>
  <si>
    <t>2026-07-05XOF</t>
  </si>
  <si>
    <t>2026-07-05XPF</t>
  </si>
  <si>
    <t>2026-07-05YER</t>
  </si>
  <si>
    <t>2026-07-05ZAR</t>
  </si>
  <si>
    <t>2026-07-05ZMW</t>
  </si>
  <si>
    <t>2026-07-05ZWG</t>
  </si>
  <si>
    <t>2026-07-05ZWL</t>
  </si>
  <si>
    <t>2026-07-06EUR</t>
  </si>
  <si>
    <t>2026-07-06AED</t>
  </si>
  <si>
    <t>2026-07-06AFN</t>
  </si>
  <si>
    <t>2026-07-06ALL</t>
  </si>
  <si>
    <t>2026-07-06AMD</t>
  </si>
  <si>
    <t>2026-07-06ANG</t>
  </si>
  <si>
    <t>2026-07-06AOA</t>
  </si>
  <si>
    <t>2026-07-06ARS</t>
  </si>
  <si>
    <t>2026-07-06AUD</t>
  </si>
  <si>
    <t>2026-07-06AWG</t>
  </si>
  <si>
    <t>2026-07-06AZN</t>
  </si>
  <si>
    <t>2026-07-06BAM</t>
  </si>
  <si>
    <t>2026-07-06BBD</t>
  </si>
  <si>
    <t>2026-07-06BDT</t>
  </si>
  <si>
    <t>2026-07-06BGN</t>
  </si>
  <si>
    <t>2026-07-06BHD</t>
  </si>
  <si>
    <t>2026-07-06BIF</t>
  </si>
  <si>
    <t>2026-07-06BMD</t>
  </si>
  <si>
    <t>2026-07-06BND</t>
  </si>
  <si>
    <t>2026-07-06BOB</t>
  </si>
  <si>
    <t>2026-07-06BRL</t>
  </si>
  <si>
    <t>2026-07-06BSD</t>
  </si>
  <si>
    <t>2026-07-06BTN</t>
  </si>
  <si>
    <t>2026-07-06BWP</t>
  </si>
  <si>
    <t>2026-07-06BYN</t>
  </si>
  <si>
    <t>2026-07-06BZD</t>
  </si>
  <si>
    <t>2026-07-06CAD</t>
  </si>
  <si>
    <t>2026-07-06CDF</t>
  </si>
  <si>
    <t>2026-07-06CHF</t>
  </si>
  <si>
    <t>2026-07-06CLF</t>
  </si>
  <si>
    <t>2026-07-06CLP</t>
  </si>
  <si>
    <t>2026-07-06CNH</t>
  </si>
  <si>
    <t>2026-07-06CNY</t>
  </si>
  <si>
    <t>2026-07-06COP</t>
  </si>
  <si>
    <t>2026-07-06CRC</t>
  </si>
  <si>
    <t>2026-07-06CUP</t>
  </si>
  <si>
    <t>2026-07-06CVE</t>
  </si>
  <si>
    <t>2026-07-06CZK</t>
  </si>
  <si>
    <t>2026-07-06DJF</t>
  </si>
  <si>
    <t>2026-07-06DKK</t>
  </si>
  <si>
    <t>2026-07-06DOP</t>
  </si>
  <si>
    <t>2026-07-06DZD</t>
  </si>
  <si>
    <t>2026-07-06EGP</t>
  </si>
  <si>
    <t>2026-07-06ERN</t>
  </si>
  <si>
    <t>2026-07-06ETB</t>
  </si>
  <si>
    <t>2026-07-06FJD</t>
  </si>
  <si>
    <t>2026-07-06FKP</t>
  </si>
  <si>
    <t>2026-07-06FOK</t>
  </si>
  <si>
    <t>2026-07-06GBP</t>
  </si>
  <si>
    <t>2026-07-06GEL</t>
  </si>
  <si>
    <t>2026-07-06GGP</t>
  </si>
  <si>
    <t>2026-07-06GHS</t>
  </si>
  <si>
    <t>2026-07-06GIP</t>
  </si>
  <si>
    <t>2026-07-06GMD</t>
  </si>
  <si>
    <t>2026-07-06GNF</t>
  </si>
  <si>
    <t>2026-07-06GTQ</t>
  </si>
  <si>
    <t>2026-07-06GYD</t>
  </si>
  <si>
    <t>2026-07-06HKD</t>
  </si>
  <si>
    <t>2026-07-06HNL</t>
  </si>
  <si>
    <t>2026-07-06HRK</t>
  </si>
  <si>
    <t>2026-07-06HTG</t>
  </si>
  <si>
    <t>2026-07-06IDR</t>
  </si>
  <si>
    <t>2026-07-06ILS</t>
  </si>
  <si>
    <t>2026-07-06IMP</t>
  </si>
  <si>
    <t>2026-07-06INR</t>
  </si>
  <si>
    <t>2026-07-06IQD</t>
  </si>
  <si>
    <t>2026-07-06IRR</t>
  </si>
  <si>
    <t>2026-07-06ISK</t>
  </si>
  <si>
    <t>2026-07-06JEP</t>
  </si>
  <si>
    <t>2026-07-06JMD</t>
  </si>
  <si>
    <t>2026-07-06JOD</t>
  </si>
  <si>
    <t>2026-07-06JPY</t>
  </si>
  <si>
    <t>2026-07-06KES</t>
  </si>
  <si>
    <t>2026-07-06KGS</t>
  </si>
  <si>
    <t>2026-07-06KHR</t>
  </si>
  <si>
    <t>2026-07-06KID</t>
  </si>
  <si>
    <t>2026-07-06KMF</t>
  </si>
  <si>
    <t>2026-07-06KRW</t>
  </si>
  <si>
    <t>2026-07-06KWD</t>
  </si>
  <si>
    <t>2026-07-06KYD</t>
  </si>
  <si>
    <t>2026-07-06KZT</t>
  </si>
  <si>
    <t>2026-07-06LAK</t>
  </si>
  <si>
    <t>2026-07-06LBP</t>
  </si>
  <si>
    <t>2026-07-06LKR</t>
  </si>
  <si>
    <t>2026-07-06LRD</t>
  </si>
  <si>
    <t>2026-07-06LSL</t>
  </si>
  <si>
    <t>2026-07-06LYD</t>
  </si>
  <si>
    <t>2026-07-06MAD</t>
  </si>
  <si>
    <t>2026-07-06MDL</t>
  </si>
  <si>
    <t>2026-07-06MGA</t>
  </si>
  <si>
    <t>2026-07-06MKD</t>
  </si>
  <si>
    <t>2026-07-06MMK</t>
  </si>
  <si>
    <t>2026-07-06MNT</t>
  </si>
  <si>
    <t>2026-07-06MOP</t>
  </si>
  <si>
    <t>2026-07-06MRU</t>
  </si>
  <si>
    <t>2026-07-06MUR</t>
  </si>
  <si>
    <t>2026-07-06MVR</t>
  </si>
  <si>
    <t>2026-07-06MWK</t>
  </si>
  <si>
    <t>2026-07-06MXN</t>
  </si>
  <si>
    <t>2026-07-06MYR</t>
  </si>
  <si>
    <t>2026-07-06MZN</t>
  </si>
  <si>
    <t>2026-07-06NAD</t>
  </si>
  <si>
    <t>2026-07-06NGN</t>
  </si>
  <si>
    <t>2026-07-06NIO</t>
  </si>
  <si>
    <t>2026-07-06NOK</t>
  </si>
  <si>
    <t>2026-07-06NPR</t>
  </si>
  <si>
    <t>2026-07-06NZD</t>
  </si>
  <si>
    <t>2026-07-06OMR</t>
  </si>
  <si>
    <t>2026-07-06PAB</t>
  </si>
  <si>
    <t>2026-07-06PEN</t>
  </si>
  <si>
    <t>2026-07-06PGK</t>
  </si>
  <si>
    <t>2026-07-06PHP</t>
  </si>
  <si>
    <t>2026-07-06PKR</t>
  </si>
  <si>
    <t>2026-07-06PLN</t>
  </si>
  <si>
    <t>2026-07-06PYG</t>
  </si>
  <si>
    <t>2026-07-06QAR</t>
  </si>
  <si>
    <t>2026-07-06RON</t>
  </si>
  <si>
    <t>2026-07-06RSD</t>
  </si>
  <si>
    <t>2026-07-06RUB</t>
  </si>
  <si>
    <t>2026-07-06RWF</t>
  </si>
  <si>
    <t>2026-07-06SAR</t>
  </si>
  <si>
    <t>2026-07-06SBD</t>
  </si>
  <si>
    <t>2026-07-06SCR</t>
  </si>
  <si>
    <t>2026-07-06SDG</t>
  </si>
  <si>
    <t>2026-07-06SEK</t>
  </si>
  <si>
    <t>2026-07-06SGD</t>
  </si>
  <si>
    <t>2026-07-06SHP</t>
  </si>
  <si>
    <t>2026-07-06SLE</t>
  </si>
  <si>
    <t>2026-07-06SLL</t>
  </si>
  <si>
    <t>2026-07-06SOS</t>
  </si>
  <si>
    <t>2026-07-06SRD</t>
  </si>
  <si>
    <t>2026-07-06SSP</t>
  </si>
  <si>
    <t>2026-07-06STN</t>
  </si>
  <si>
    <t>2026-07-06SYP</t>
  </si>
  <si>
    <t>2026-07-06SZL</t>
  </si>
  <si>
    <t>2026-07-06THB</t>
  </si>
  <si>
    <t>2026-07-06TJS</t>
  </si>
  <si>
    <t>2026-07-06TMT</t>
  </si>
  <si>
    <t>2026-07-06TND</t>
  </si>
  <si>
    <t>2026-07-06TOP</t>
  </si>
  <si>
    <t>2026-07-06TRY</t>
  </si>
  <si>
    <t>2026-07-06TTD</t>
  </si>
  <si>
    <t>2026-07-06TVD</t>
  </si>
  <si>
    <t>2026-07-06TWD</t>
  </si>
  <si>
    <t>2026-07-06TZS</t>
  </si>
  <si>
    <t>2026-07-06UAH</t>
  </si>
  <si>
    <t>2026-07-06UGX</t>
  </si>
  <si>
    <t>2026-07-06USD</t>
  </si>
  <si>
    <t>2026-07-06UYU</t>
  </si>
  <si>
    <t>2026-07-06UZS</t>
  </si>
  <si>
    <t>2026-07-06VES</t>
  </si>
  <si>
    <t>2026-07-06VND</t>
  </si>
  <si>
    <t>2026-07-06VUV</t>
  </si>
  <si>
    <t>2026-07-06WST</t>
  </si>
  <si>
    <t>2026-07-06XAF</t>
  </si>
  <si>
    <t>2026-07-06XCD</t>
  </si>
  <si>
    <t>2026-07-06XCG</t>
  </si>
  <si>
    <t>2026-07-06XDR</t>
  </si>
  <si>
    <t>2026-07-06XOF</t>
  </si>
  <si>
    <t>2026-07-06XPF</t>
  </si>
  <si>
    <t>2026-07-06YER</t>
  </si>
  <si>
    <t>2026-07-06ZAR</t>
  </si>
  <si>
    <t>2026-07-06ZMW</t>
  </si>
  <si>
    <t>2026-07-06ZWG</t>
  </si>
  <si>
    <t>2026-07-06ZWL</t>
  </si>
  <si>
    <t>2026-07-09EUR</t>
  </si>
  <si>
    <t>2026-07-09AED</t>
  </si>
  <si>
    <t>2026-07-09AFN</t>
  </si>
  <si>
    <t>2026-07-09ALL</t>
  </si>
  <si>
    <t>2026-07-09AMD</t>
  </si>
  <si>
    <t>2026-07-09ANG</t>
  </si>
  <si>
    <t>2026-07-09AOA</t>
  </si>
  <si>
    <t>2026-07-09ARS</t>
  </si>
  <si>
    <t>2026-07-09AUD</t>
  </si>
  <si>
    <t>2026-07-09AWG</t>
  </si>
  <si>
    <t>2026-07-09AZN</t>
  </si>
  <si>
    <t>2026-07-09BAM</t>
  </si>
  <si>
    <t>2026-07-09BBD</t>
  </si>
  <si>
    <t>2026-07-09BDT</t>
  </si>
  <si>
    <t>2026-07-09BGN</t>
  </si>
  <si>
    <t>2026-07-09BHD</t>
  </si>
  <si>
    <t>2026-07-09BIF</t>
  </si>
  <si>
    <t>2026-07-09BMD</t>
  </si>
  <si>
    <t>2026-07-09BND</t>
  </si>
  <si>
    <t>2026-07-09BOB</t>
  </si>
  <si>
    <t>2026-07-09BRL</t>
  </si>
  <si>
    <t>2026-07-09BSD</t>
  </si>
  <si>
    <t>2026-07-09BTN</t>
  </si>
  <si>
    <t>2026-07-09BWP</t>
  </si>
  <si>
    <t>2026-07-09BYN</t>
  </si>
  <si>
    <t>2026-07-09BZD</t>
  </si>
  <si>
    <t>2026-07-09CAD</t>
  </si>
  <si>
    <t>2026-07-09CDF</t>
  </si>
  <si>
    <t>2026-07-09CHF</t>
  </si>
  <si>
    <t>2026-07-09CLF</t>
  </si>
  <si>
    <t>2026-07-09CLP</t>
  </si>
  <si>
    <t>2026-07-09CNH</t>
  </si>
  <si>
    <t>2026-07-09CNY</t>
  </si>
  <si>
    <t>2026-07-09COP</t>
  </si>
  <si>
    <t>2026-07-09CRC</t>
  </si>
  <si>
    <t>2026-07-09CUP</t>
  </si>
  <si>
    <t>2026-07-09CVE</t>
  </si>
  <si>
    <t>2026-07-09CZK</t>
  </si>
  <si>
    <t>2026-07-09DJF</t>
  </si>
  <si>
    <t>2026-07-09DKK</t>
  </si>
  <si>
    <t>2026-07-09DOP</t>
  </si>
  <si>
    <t>2026-07-09DZD</t>
  </si>
  <si>
    <t>2026-07-09EGP</t>
  </si>
  <si>
    <t>2026-07-09ERN</t>
  </si>
  <si>
    <t>2026-07-09ETB</t>
  </si>
  <si>
    <t>2026-07-09FJD</t>
  </si>
  <si>
    <t>2026-07-09FKP</t>
  </si>
  <si>
    <t>2026-07-09FOK</t>
  </si>
  <si>
    <t>2026-07-09GBP</t>
  </si>
  <si>
    <t>2026-07-09GEL</t>
  </si>
  <si>
    <t>2026-07-09GGP</t>
  </si>
  <si>
    <t>2026-07-09GHS</t>
  </si>
  <si>
    <t>2026-07-09GIP</t>
  </si>
  <si>
    <t>2026-07-09GMD</t>
  </si>
  <si>
    <t>2026-07-09GNF</t>
  </si>
  <si>
    <t>2026-07-09GTQ</t>
  </si>
  <si>
    <t>2026-07-09GYD</t>
  </si>
  <si>
    <t>2026-07-09HKD</t>
  </si>
  <si>
    <t>2026-07-09HNL</t>
  </si>
  <si>
    <t>2026-07-09HRK</t>
  </si>
  <si>
    <t>2026-07-09HTG</t>
  </si>
  <si>
    <t>2026-07-09IDR</t>
  </si>
  <si>
    <t>2026-07-09ILS</t>
  </si>
  <si>
    <t>2026-07-09IMP</t>
  </si>
  <si>
    <t>2026-07-09INR</t>
  </si>
  <si>
    <t>2026-07-09IQD</t>
  </si>
  <si>
    <t>2026-07-09IRR</t>
  </si>
  <si>
    <t>2026-07-09ISK</t>
  </si>
  <si>
    <t>2026-07-09JEP</t>
  </si>
  <si>
    <t>2026-07-09JMD</t>
  </si>
  <si>
    <t>2026-07-09JOD</t>
  </si>
  <si>
    <t>2026-07-09JPY</t>
  </si>
  <si>
    <t>2026-07-09KES</t>
  </si>
  <si>
    <t>2026-07-09KGS</t>
  </si>
  <si>
    <t>2026-07-09KHR</t>
  </si>
  <si>
    <t>2026-07-09KID</t>
  </si>
  <si>
    <t>2026-07-09KMF</t>
  </si>
  <si>
    <t>2026-07-09KRW</t>
  </si>
  <si>
    <t>2026-07-09KWD</t>
  </si>
  <si>
    <t>2026-07-09KYD</t>
  </si>
  <si>
    <t>2026-07-09KZT</t>
  </si>
  <si>
    <t>2026-07-09LAK</t>
  </si>
  <si>
    <t>2026-07-09LBP</t>
  </si>
  <si>
    <t>2026-07-09LKR</t>
  </si>
  <si>
    <t>2026-07-09LRD</t>
  </si>
  <si>
    <t>2026-07-09LSL</t>
  </si>
  <si>
    <t>2026-07-09LYD</t>
  </si>
  <si>
    <t>2026-07-09MAD</t>
  </si>
  <si>
    <t>2026-07-09MDL</t>
  </si>
  <si>
    <t>2026-07-09MGA</t>
  </si>
  <si>
    <t>2026-07-09MKD</t>
  </si>
  <si>
    <t>2026-07-09MMK</t>
  </si>
  <si>
    <t>2026-07-09MNT</t>
  </si>
  <si>
    <t>2026-07-09MOP</t>
  </si>
  <si>
    <t>2026-07-09MRU</t>
  </si>
  <si>
    <t>2026-07-09MUR</t>
  </si>
  <si>
    <t>2026-07-09MVR</t>
  </si>
  <si>
    <t>2026-07-09MWK</t>
  </si>
  <si>
    <t>2026-07-09MXN</t>
  </si>
  <si>
    <t>2026-07-09MYR</t>
  </si>
  <si>
    <t>2026-07-09MZN</t>
  </si>
  <si>
    <t>2026-07-09NAD</t>
  </si>
  <si>
    <t>2026-07-09NGN</t>
  </si>
  <si>
    <t>2026-07-09NIO</t>
  </si>
  <si>
    <t>2026-07-09NOK</t>
  </si>
  <si>
    <t>2026-07-09NPR</t>
  </si>
  <si>
    <t>2026-07-09NZD</t>
  </si>
  <si>
    <t>2026-07-09OMR</t>
  </si>
  <si>
    <t>2026-07-09PAB</t>
  </si>
  <si>
    <t>2026-07-09PEN</t>
  </si>
  <si>
    <t>2026-07-09PGK</t>
  </si>
  <si>
    <t>2026-07-09PHP</t>
  </si>
  <si>
    <t>2026-07-09PKR</t>
  </si>
  <si>
    <t>2026-07-09PLN</t>
  </si>
  <si>
    <t>2026-07-09PYG</t>
  </si>
  <si>
    <t>2026-07-09QAR</t>
  </si>
  <si>
    <t>2026-07-09RON</t>
  </si>
  <si>
    <t>2026-07-09RSD</t>
  </si>
  <si>
    <t>2026-07-09RUB</t>
  </si>
  <si>
    <t>2026-07-09RWF</t>
  </si>
  <si>
    <t>2026-07-09SAR</t>
  </si>
  <si>
    <t>2026-07-09SBD</t>
  </si>
  <si>
    <t>2026-07-09SCR</t>
  </si>
  <si>
    <t>2026-07-09SDG</t>
  </si>
  <si>
    <t>2026-07-09SEK</t>
  </si>
  <si>
    <t>2026-07-09SGD</t>
  </si>
  <si>
    <t>2026-07-09SHP</t>
  </si>
  <si>
    <t>2026-07-09SLE</t>
  </si>
  <si>
    <t>2026-07-09SLL</t>
  </si>
  <si>
    <t>2026-07-09SOS</t>
  </si>
  <si>
    <t>2026-07-09SRD</t>
  </si>
  <si>
    <t>2026-07-09SSP</t>
  </si>
  <si>
    <t>2026-07-09STN</t>
  </si>
  <si>
    <t>2026-07-09SYP</t>
  </si>
  <si>
    <t>2026-07-09SZL</t>
  </si>
  <si>
    <t>2026-07-09THB</t>
  </si>
  <si>
    <t>2026-07-09TJS</t>
  </si>
  <si>
    <t>2026-07-09TMT</t>
  </si>
  <si>
    <t>2026-07-09TND</t>
  </si>
  <si>
    <t>2026-07-09TOP</t>
  </si>
  <si>
    <t>2026-07-09TRY</t>
  </si>
  <si>
    <t>2026-07-09TTD</t>
  </si>
  <si>
    <t>2026-07-09TVD</t>
  </si>
  <si>
    <t>2026-07-09TWD</t>
  </si>
  <si>
    <t>2026-07-09TZS</t>
  </si>
  <si>
    <t>2026-07-09UAH</t>
  </si>
  <si>
    <t>2026-07-09UGX</t>
  </si>
  <si>
    <t>2026-07-09USD</t>
  </si>
  <si>
    <t>2026-07-09UYU</t>
  </si>
  <si>
    <t>2026-07-09UZS</t>
  </si>
  <si>
    <t>2026-07-09VES</t>
  </si>
  <si>
    <t>2026-07-09VND</t>
  </si>
  <si>
    <t>2026-07-09VUV</t>
  </si>
  <si>
    <t>2026-07-09WST</t>
  </si>
  <si>
    <t>2026-07-09XAF</t>
  </si>
  <si>
    <t>2026-07-09XCD</t>
  </si>
  <si>
    <t>2026-07-09XCG</t>
  </si>
  <si>
    <t>2026-07-09XDR</t>
  </si>
  <si>
    <t>2026-07-09XOF</t>
  </si>
  <si>
    <t>2026-07-09XPF</t>
  </si>
  <si>
    <t>2026-07-09YER</t>
  </si>
  <si>
    <t>2026-07-09ZAR</t>
  </si>
  <si>
    <t>2026-07-09ZMW</t>
  </si>
  <si>
    <t>2026-07-09ZWG</t>
  </si>
  <si>
    <t>2026-07-09ZWL</t>
  </si>
  <si>
    <t>2026-07-13EUR</t>
  </si>
  <si>
    <t>2026-07-13AED</t>
  </si>
  <si>
    <t>2026-07-13AFN</t>
  </si>
  <si>
    <t>2026-07-13ALL</t>
  </si>
  <si>
    <t>2026-07-13AMD</t>
  </si>
  <si>
    <t>2026-07-13ANG</t>
  </si>
  <si>
    <t>2026-07-13AOA</t>
  </si>
  <si>
    <t>2026-07-13ARS</t>
  </si>
  <si>
    <t>2026-07-13AUD</t>
  </si>
  <si>
    <t>2026-07-13AWG</t>
  </si>
  <si>
    <t>2026-07-13AZN</t>
  </si>
  <si>
    <t>2026-07-13BAM</t>
  </si>
  <si>
    <t>2026-07-13BBD</t>
  </si>
  <si>
    <t>2026-07-13BDT</t>
  </si>
  <si>
    <t>2026-07-13BGN</t>
  </si>
  <si>
    <t>2026-07-13BHD</t>
  </si>
  <si>
    <t>2026-07-13BIF</t>
  </si>
  <si>
    <t>2026-07-13BMD</t>
  </si>
  <si>
    <t>2026-07-13BND</t>
  </si>
  <si>
    <t>2026-07-13BOB</t>
  </si>
  <si>
    <t>2026-07-13BRL</t>
  </si>
  <si>
    <t>2026-07-13BSD</t>
  </si>
  <si>
    <t>2026-07-13BTN</t>
  </si>
  <si>
    <t>2026-07-13BWP</t>
  </si>
  <si>
    <t>2026-07-13BYN</t>
  </si>
  <si>
    <t>2026-07-13BZD</t>
  </si>
  <si>
    <t>2026-07-13CAD</t>
  </si>
  <si>
    <t>2026-07-13CDF</t>
  </si>
  <si>
    <t>2026-07-13CHF</t>
  </si>
  <si>
    <t>2026-07-13CLF</t>
  </si>
  <si>
    <t>2026-07-13CLP</t>
  </si>
  <si>
    <t>2026-07-13CNH</t>
  </si>
  <si>
    <t>2026-07-13CNY</t>
  </si>
  <si>
    <t>2026-07-13COP</t>
  </si>
  <si>
    <t>2026-07-13CRC</t>
  </si>
  <si>
    <t>2026-07-13CUP</t>
  </si>
  <si>
    <t>2026-07-13CVE</t>
  </si>
  <si>
    <t>2026-07-13CZK</t>
  </si>
  <si>
    <t>2026-07-13DJF</t>
  </si>
  <si>
    <t>2026-07-13DKK</t>
  </si>
  <si>
    <t>2026-07-13DOP</t>
  </si>
  <si>
    <t>2026-07-13DZD</t>
  </si>
  <si>
    <t>2026-07-13EGP</t>
  </si>
  <si>
    <t>2026-07-13ERN</t>
  </si>
  <si>
    <t>2026-07-13ETB</t>
  </si>
  <si>
    <t>2026-07-13FJD</t>
  </si>
  <si>
    <t>2026-07-13FKP</t>
  </si>
  <si>
    <t>2026-07-13FOK</t>
  </si>
  <si>
    <t>2026-07-13GBP</t>
  </si>
  <si>
    <t>2026-07-13GEL</t>
  </si>
  <si>
    <t>2026-07-13GGP</t>
  </si>
  <si>
    <t>2026-07-13GHS</t>
  </si>
  <si>
    <t>2026-07-13GIP</t>
  </si>
  <si>
    <t>2026-07-13GMD</t>
  </si>
  <si>
    <t>2026-07-13GNF</t>
  </si>
  <si>
    <t>2026-07-13GTQ</t>
  </si>
  <si>
    <t>2026-07-13GYD</t>
  </si>
  <si>
    <t>2026-07-13HKD</t>
  </si>
  <si>
    <t>2026-07-13HNL</t>
  </si>
  <si>
    <t>2026-07-13HRK</t>
  </si>
  <si>
    <t>2026-07-13HTG</t>
  </si>
  <si>
    <t>2026-07-13IDR</t>
  </si>
  <si>
    <t>2026-07-13ILS</t>
  </si>
  <si>
    <t>2026-07-13IMP</t>
  </si>
  <si>
    <t>2026-07-13INR</t>
  </si>
  <si>
    <t>2026-07-13IQD</t>
  </si>
  <si>
    <t>2026-07-13IRR</t>
  </si>
  <si>
    <t>2026-07-13ISK</t>
  </si>
  <si>
    <t>2026-07-13JEP</t>
  </si>
  <si>
    <t>2026-07-13JMD</t>
  </si>
  <si>
    <t>2026-07-13JOD</t>
  </si>
  <si>
    <t>2026-07-13JPY</t>
  </si>
  <si>
    <t>2026-07-13KES</t>
  </si>
  <si>
    <t>2026-07-13KGS</t>
  </si>
  <si>
    <t>2026-07-13KHR</t>
  </si>
  <si>
    <t>2026-07-13KID</t>
  </si>
  <si>
    <t>2026-07-13KMF</t>
  </si>
  <si>
    <t>2026-07-13KRW</t>
  </si>
  <si>
    <t>2026-07-13KWD</t>
  </si>
  <si>
    <t>2026-07-13KYD</t>
  </si>
  <si>
    <t>2026-07-13KZT</t>
  </si>
  <si>
    <t>2026-07-13LAK</t>
  </si>
  <si>
    <t>2026-07-13LBP</t>
  </si>
  <si>
    <t>2026-07-13LKR</t>
  </si>
  <si>
    <t>2026-07-13LRD</t>
  </si>
  <si>
    <t>2026-07-13LSL</t>
  </si>
  <si>
    <t>2026-07-13LYD</t>
  </si>
  <si>
    <t>2026-07-13MAD</t>
  </si>
  <si>
    <t>2026-07-13MDL</t>
  </si>
  <si>
    <t>2026-07-13MGA</t>
  </si>
  <si>
    <t>2026-07-13MKD</t>
  </si>
  <si>
    <t>2026-07-13MMK</t>
  </si>
  <si>
    <t>2026-07-13MNT</t>
  </si>
  <si>
    <t>2026-07-13MOP</t>
  </si>
  <si>
    <t>2026-07-13MRU</t>
  </si>
  <si>
    <t>2026-07-13MUR</t>
  </si>
  <si>
    <t>2026-07-13MVR</t>
  </si>
  <si>
    <t>2026-07-13MWK</t>
  </si>
  <si>
    <t>2026-07-13MXN</t>
  </si>
  <si>
    <t>2026-07-13MYR</t>
  </si>
  <si>
    <t>2026-07-13MZN</t>
  </si>
  <si>
    <t>2026-07-13NAD</t>
  </si>
  <si>
    <t>2026-07-13NGN</t>
  </si>
  <si>
    <t>2026-07-13NIO</t>
  </si>
  <si>
    <t>2026-07-13NOK</t>
  </si>
  <si>
    <t>2026-07-13NPR</t>
  </si>
  <si>
    <t>2026-07-13NZD</t>
  </si>
  <si>
    <t>2026-07-13OMR</t>
  </si>
  <si>
    <t>2026-07-13PAB</t>
  </si>
  <si>
    <t>2026-07-13PEN</t>
  </si>
  <si>
    <t>2026-07-13PGK</t>
  </si>
  <si>
    <t>2026-07-13PHP</t>
  </si>
  <si>
    <t>2026-07-13PKR</t>
  </si>
  <si>
    <t>2026-07-13PLN</t>
  </si>
  <si>
    <t>2026-07-13PYG</t>
  </si>
  <si>
    <t>2026-07-13QAR</t>
  </si>
  <si>
    <t>2026-07-13RON</t>
  </si>
  <si>
    <t>2026-07-13RSD</t>
  </si>
  <si>
    <t>2026-07-13RUB</t>
  </si>
  <si>
    <t>2026-07-13RWF</t>
  </si>
  <si>
    <t>2026-07-13SAR</t>
  </si>
  <si>
    <t>2026-07-13SBD</t>
  </si>
  <si>
    <t>2026-07-13SCR</t>
  </si>
  <si>
    <t>2026-07-13SDG</t>
  </si>
  <si>
    <t>2026-07-13SEK</t>
  </si>
  <si>
    <t>2026-07-13SGD</t>
  </si>
  <si>
    <t>2026-07-13SHP</t>
  </si>
  <si>
    <t>2026-07-13SLE</t>
  </si>
  <si>
    <t>2026-07-13SLL</t>
  </si>
  <si>
    <t>2026-07-13SOS</t>
  </si>
  <si>
    <t>2026-07-13SRD</t>
  </si>
  <si>
    <t>2026-07-13SSP</t>
  </si>
  <si>
    <t>2026-07-13STN</t>
  </si>
  <si>
    <t>2026-07-13SYP</t>
  </si>
  <si>
    <t>2026-07-13SZL</t>
  </si>
  <si>
    <t>2026-07-13THB</t>
  </si>
  <si>
    <t>2026-07-13TJS</t>
  </si>
  <si>
    <t>2026-07-13TMT</t>
  </si>
  <si>
    <t>2026-07-13TND</t>
  </si>
  <si>
    <t>2026-07-13TOP</t>
  </si>
  <si>
    <t>2026-07-13TRY</t>
  </si>
  <si>
    <t>2026-07-13TTD</t>
  </si>
  <si>
    <t>2026-07-13TVD</t>
  </si>
  <si>
    <t>2026-07-13TWD</t>
  </si>
  <si>
    <t>2026-07-13TZS</t>
  </si>
  <si>
    <t>2026-07-13UAH</t>
  </si>
  <si>
    <t>2026-07-13UGX</t>
  </si>
  <si>
    <t>2026-07-13USD</t>
  </si>
  <si>
    <t>2026-07-13UYU</t>
  </si>
  <si>
    <t>2026-07-13UZS</t>
  </si>
  <si>
    <t>2026-07-13VES</t>
  </si>
  <si>
    <t>2026-07-13VND</t>
  </si>
  <si>
    <t>2026-07-13VUV</t>
  </si>
  <si>
    <t>2026-07-13WST</t>
  </si>
  <si>
    <t>2026-07-13XAF</t>
  </si>
  <si>
    <t>2026-07-13XCD</t>
  </si>
  <si>
    <t>2026-07-13XCG</t>
  </si>
  <si>
    <t>2026-07-13XDR</t>
  </si>
  <si>
    <t>2026-07-13XOF</t>
  </si>
  <si>
    <t>2026-07-13XPF</t>
  </si>
  <si>
    <t>2026-07-13YER</t>
  </si>
  <si>
    <t>2026-07-13ZAR</t>
  </si>
  <si>
    <t>2026-07-13ZMW</t>
  </si>
  <si>
    <t>2026-07-13ZWG</t>
  </si>
  <si>
    <t>2026-07-13ZWL</t>
  </si>
  <si>
    <t>2026-07-16EUR</t>
  </si>
  <si>
    <t>2026-07-16AED</t>
  </si>
  <si>
    <t>2026-07-16AFN</t>
  </si>
  <si>
    <t>2026-07-16ALL</t>
  </si>
  <si>
    <t>2026-07-16AMD</t>
  </si>
  <si>
    <t>2026-07-16ANG</t>
  </si>
  <si>
    <t>2026-07-16AOA</t>
  </si>
  <si>
    <t>2026-07-16ARS</t>
  </si>
  <si>
    <t>2026-07-16AUD</t>
  </si>
  <si>
    <t>2026-07-16AWG</t>
  </si>
  <si>
    <t>2026-07-16AZN</t>
  </si>
  <si>
    <t>2026-07-16BAM</t>
  </si>
  <si>
    <t>2026-07-16BBD</t>
  </si>
  <si>
    <t>2026-07-16BDT</t>
  </si>
  <si>
    <t>2026-07-16BGN</t>
  </si>
  <si>
    <t>2026-07-16BHD</t>
  </si>
  <si>
    <t>2026-07-16BIF</t>
  </si>
  <si>
    <t>2026-07-16BMD</t>
  </si>
  <si>
    <t>2026-07-16BND</t>
  </si>
  <si>
    <t>2026-07-16BOB</t>
  </si>
  <si>
    <t>2026-07-16BRL</t>
  </si>
  <si>
    <t>2026-07-16BSD</t>
  </si>
  <si>
    <t>2026-07-16BTN</t>
  </si>
  <si>
    <t>2026-07-16BWP</t>
  </si>
  <si>
    <t>2026-07-16BYN</t>
  </si>
  <si>
    <t>2026-07-16BZD</t>
  </si>
  <si>
    <t>2026-07-16CAD</t>
  </si>
  <si>
    <t>2026-07-16CDF</t>
  </si>
  <si>
    <t>2026-07-16CHF</t>
  </si>
  <si>
    <t>2026-07-16CLF</t>
  </si>
  <si>
    <t>2026-07-16CLP</t>
  </si>
  <si>
    <t>2026-07-16CNH</t>
  </si>
  <si>
    <t>2026-07-16CNY</t>
  </si>
  <si>
    <t>2026-07-16COP</t>
  </si>
  <si>
    <t>2026-07-16CRC</t>
  </si>
  <si>
    <t>2026-07-16CUP</t>
  </si>
  <si>
    <t>2026-07-16CVE</t>
  </si>
  <si>
    <t>2026-07-16CZK</t>
  </si>
  <si>
    <t>2026-07-16DJF</t>
  </si>
  <si>
    <t>2026-07-16DKK</t>
  </si>
  <si>
    <t>2026-07-16DOP</t>
  </si>
  <si>
    <t>2026-07-16DZD</t>
  </si>
  <si>
    <t>2026-07-16EGP</t>
  </si>
  <si>
    <t>2026-07-16ERN</t>
  </si>
  <si>
    <t>2026-07-16ETB</t>
  </si>
  <si>
    <t>2026-07-16FJD</t>
  </si>
  <si>
    <t>2026-07-16FKP</t>
  </si>
  <si>
    <t>2026-07-16FOK</t>
  </si>
  <si>
    <t>2026-07-16GBP</t>
  </si>
  <si>
    <t>2026-07-16GEL</t>
  </si>
  <si>
    <t>2026-07-16GGP</t>
  </si>
  <si>
    <t>2026-07-16GHS</t>
  </si>
  <si>
    <t>2026-07-16GIP</t>
  </si>
  <si>
    <t>2026-07-16GMD</t>
  </si>
  <si>
    <t>2026-07-16GNF</t>
  </si>
  <si>
    <t>2026-07-16GTQ</t>
  </si>
  <si>
    <t>2026-07-16GYD</t>
  </si>
  <si>
    <t>2026-07-16HKD</t>
  </si>
  <si>
    <t>2026-07-16HNL</t>
  </si>
  <si>
    <t>2026-07-16HRK</t>
  </si>
  <si>
    <t>2026-07-16HTG</t>
  </si>
  <si>
    <t>2026-07-16IDR</t>
  </si>
  <si>
    <t>2026-07-16ILS</t>
  </si>
  <si>
    <t>2026-07-16IMP</t>
  </si>
  <si>
    <t>2026-07-16INR</t>
  </si>
  <si>
    <t>2026-07-16IQD</t>
  </si>
  <si>
    <t>2026-07-16IRR</t>
  </si>
  <si>
    <t>2026-07-16ISK</t>
  </si>
  <si>
    <t>2026-07-16JEP</t>
  </si>
  <si>
    <t>2026-07-16JMD</t>
  </si>
  <si>
    <t>2026-07-16JOD</t>
  </si>
  <si>
    <t>2026-07-16JPY</t>
  </si>
  <si>
    <t>2026-07-16KES</t>
  </si>
  <si>
    <t>2026-07-16KGS</t>
  </si>
  <si>
    <t>2026-07-16KHR</t>
  </si>
  <si>
    <t>2026-07-16KID</t>
  </si>
  <si>
    <t>2026-07-16KMF</t>
  </si>
  <si>
    <t>2026-07-16KRW</t>
  </si>
  <si>
    <t>2026-07-16KWD</t>
  </si>
  <si>
    <t>2026-07-16KYD</t>
  </si>
  <si>
    <t>2026-07-16KZT</t>
  </si>
  <si>
    <t>2026-07-16LAK</t>
  </si>
  <si>
    <t>2026-07-16LBP</t>
  </si>
  <si>
    <t>2026-07-16LKR</t>
  </si>
  <si>
    <t>2026-07-16LRD</t>
  </si>
  <si>
    <t>2026-07-16LSL</t>
  </si>
  <si>
    <t>2026-07-16LYD</t>
  </si>
  <si>
    <t>2026-07-16MAD</t>
  </si>
  <si>
    <t>2026-07-16MDL</t>
  </si>
  <si>
    <t>2026-07-16MGA</t>
  </si>
  <si>
    <t>2026-07-16MKD</t>
  </si>
  <si>
    <t>2026-07-16MMK</t>
  </si>
  <si>
    <t>2026-07-16MNT</t>
  </si>
  <si>
    <t>2026-07-16MOP</t>
  </si>
  <si>
    <t>2026-07-16MRU</t>
  </si>
  <si>
    <t>2026-07-16MUR</t>
  </si>
  <si>
    <t>2026-07-16MVR</t>
  </si>
  <si>
    <t>2026-07-16MWK</t>
  </si>
  <si>
    <t>2026-07-16MXN</t>
  </si>
  <si>
    <t>2026-07-16MYR</t>
  </si>
  <si>
    <t>2026-07-16MZN</t>
  </si>
  <si>
    <t>2026-07-16NAD</t>
  </si>
  <si>
    <t>2026-07-16NGN</t>
  </si>
  <si>
    <t>2026-07-16NIO</t>
  </si>
  <si>
    <t>2026-07-16NOK</t>
  </si>
  <si>
    <t>2026-07-16NPR</t>
  </si>
  <si>
    <t>2026-07-16NZD</t>
  </si>
  <si>
    <t>2026-07-16OMR</t>
  </si>
  <si>
    <t>2026-07-16PAB</t>
  </si>
  <si>
    <t>2026-07-16PEN</t>
  </si>
  <si>
    <t>2026-07-16PGK</t>
  </si>
  <si>
    <t>2026-07-16PHP</t>
  </si>
  <si>
    <t>2026-07-16PKR</t>
  </si>
  <si>
    <t>2026-07-16PLN</t>
  </si>
  <si>
    <t>2026-07-16PYG</t>
  </si>
  <si>
    <t>2026-07-16QAR</t>
  </si>
  <si>
    <t>2026-07-16RON</t>
  </si>
  <si>
    <t>2026-07-16RSD</t>
  </si>
  <si>
    <t>2026-07-16RUB</t>
  </si>
  <si>
    <t>2026-07-16RWF</t>
  </si>
  <si>
    <t>2026-07-16SAR</t>
  </si>
  <si>
    <t>2026-07-16SBD</t>
  </si>
  <si>
    <t>2026-07-16SCR</t>
  </si>
  <si>
    <t>2026-07-16SDG</t>
  </si>
  <si>
    <t>2026-07-16SEK</t>
  </si>
  <si>
    <t>2026-07-16SGD</t>
  </si>
  <si>
    <t>2026-07-16SHP</t>
  </si>
  <si>
    <t>2026-07-16SLE</t>
  </si>
  <si>
    <t>2026-07-16SLL</t>
  </si>
  <si>
    <t>2026-07-16SOS</t>
  </si>
  <si>
    <t>2026-07-16SRD</t>
  </si>
  <si>
    <t>2026-07-16SSP</t>
  </si>
  <si>
    <t>2026-07-16STN</t>
  </si>
  <si>
    <t>2026-07-16SYP</t>
  </si>
  <si>
    <t>2026-07-16SZL</t>
  </si>
  <si>
    <t>2026-07-16THB</t>
  </si>
  <si>
    <t>2026-07-16TJS</t>
  </si>
  <si>
    <t>2026-07-16TMT</t>
  </si>
  <si>
    <t>2026-07-16TND</t>
  </si>
  <si>
    <t>2026-07-16TOP</t>
  </si>
  <si>
    <t>2026-07-16TRY</t>
  </si>
  <si>
    <t>2026-07-16TTD</t>
  </si>
  <si>
    <t>2026-07-16TVD</t>
  </si>
  <si>
    <t>2026-07-16TWD</t>
  </si>
  <si>
    <t>2026-07-16TZS</t>
  </si>
  <si>
    <t>2026-07-16UAH</t>
  </si>
  <si>
    <t>2026-07-16UGX</t>
  </si>
  <si>
    <t>2026-07-16USD</t>
  </si>
  <si>
    <t>2026-07-16UYU</t>
  </si>
  <si>
    <t>2026-07-16UZS</t>
  </si>
  <si>
    <t>2026-07-16VES</t>
  </si>
  <si>
    <t>2026-07-16VND</t>
  </si>
  <si>
    <t>2026-07-16VUV</t>
  </si>
  <si>
    <t>2026-07-16WST</t>
  </si>
  <si>
    <t>2026-07-16XAF</t>
  </si>
  <si>
    <t>2026-07-16XCD</t>
  </si>
  <si>
    <t>2026-07-16XCG</t>
  </si>
  <si>
    <t>2026-07-16XDR</t>
  </si>
  <si>
    <t>2026-07-16XOF</t>
  </si>
  <si>
    <t>2026-07-16XPF</t>
  </si>
  <si>
    <t>2026-07-16YER</t>
  </si>
  <si>
    <t>2026-07-16ZAR</t>
  </si>
  <si>
    <t>2026-07-16ZMW</t>
  </si>
  <si>
    <t>2026-07-16ZWG</t>
  </si>
  <si>
    <t>2026-07-16ZWL</t>
  </si>
  <si>
    <t>2026-07-17EUR</t>
  </si>
  <si>
    <t>2026-07-17AED</t>
  </si>
  <si>
    <t>2026-07-17AFN</t>
  </si>
  <si>
    <t>2026-07-17ALL</t>
  </si>
  <si>
    <t>2026-07-17AMD</t>
  </si>
  <si>
    <t>2026-07-17ANG</t>
  </si>
  <si>
    <t>2026-07-17AOA</t>
  </si>
  <si>
    <t>2026-07-17ARS</t>
  </si>
  <si>
    <t>2026-07-17AUD</t>
  </si>
  <si>
    <t>2026-07-17AWG</t>
  </si>
  <si>
    <t>2026-07-17AZN</t>
  </si>
  <si>
    <t>2026-07-17BAM</t>
  </si>
  <si>
    <t>2026-07-17BBD</t>
  </si>
  <si>
    <t>2026-07-17BDT</t>
  </si>
  <si>
    <t>2026-07-17BGN</t>
  </si>
  <si>
    <t>2026-07-17BHD</t>
  </si>
  <si>
    <t>2026-07-17BIF</t>
  </si>
  <si>
    <t>2026-07-17BMD</t>
  </si>
  <si>
    <t>2026-07-17BND</t>
  </si>
  <si>
    <t>2026-07-17BOB</t>
  </si>
  <si>
    <t>2026-07-17BRL</t>
  </si>
  <si>
    <t>2026-07-17BSD</t>
  </si>
  <si>
    <t>2026-07-17BTN</t>
  </si>
  <si>
    <t>2026-07-17BWP</t>
  </si>
  <si>
    <t>2026-07-17BYN</t>
  </si>
  <si>
    <t>2026-07-17BZD</t>
  </si>
  <si>
    <t>2026-07-17CAD</t>
  </si>
  <si>
    <t>2026-07-17CDF</t>
  </si>
  <si>
    <t>2026-07-17CHF</t>
  </si>
  <si>
    <t>2026-07-17CLF</t>
  </si>
  <si>
    <t>2026-07-17CLP</t>
  </si>
  <si>
    <t>2026-07-17CNH</t>
  </si>
  <si>
    <t>2026-07-17CNY</t>
  </si>
  <si>
    <t>2026-07-17COP</t>
  </si>
  <si>
    <t>2026-07-17CRC</t>
  </si>
  <si>
    <t>2026-07-17CUP</t>
  </si>
  <si>
    <t>2026-07-17CVE</t>
  </si>
  <si>
    <t>2026-07-17CZK</t>
  </si>
  <si>
    <t>2026-07-17DJF</t>
  </si>
  <si>
    <t>2026-07-17DKK</t>
  </si>
  <si>
    <t>2026-07-17DOP</t>
  </si>
  <si>
    <t>2026-07-17DZD</t>
  </si>
  <si>
    <t>2026-07-17EGP</t>
  </si>
  <si>
    <t>2026-07-17ERN</t>
  </si>
  <si>
    <t>2026-07-17ETB</t>
  </si>
  <si>
    <t>2026-07-17FJD</t>
  </si>
  <si>
    <t>2026-07-17FKP</t>
  </si>
  <si>
    <t>2026-07-17FOK</t>
  </si>
  <si>
    <t>2026-07-17GBP</t>
  </si>
  <si>
    <t>2026-07-17GEL</t>
  </si>
  <si>
    <t>2026-07-17GGP</t>
  </si>
  <si>
    <t>2026-07-17GHS</t>
  </si>
  <si>
    <t>2026-07-17GIP</t>
  </si>
  <si>
    <t>2026-07-17GMD</t>
  </si>
  <si>
    <t>2026-07-17GNF</t>
  </si>
  <si>
    <t>2026-07-17GTQ</t>
  </si>
  <si>
    <t>2026-07-17GYD</t>
  </si>
  <si>
    <t>2026-07-17HKD</t>
  </si>
  <si>
    <t>2026-07-17HNL</t>
  </si>
  <si>
    <t>2026-07-17HRK</t>
  </si>
  <si>
    <t>2026-07-17HTG</t>
  </si>
  <si>
    <t>2026-07-17IDR</t>
  </si>
  <si>
    <t>2026-07-17ILS</t>
  </si>
  <si>
    <t>2026-07-17IMP</t>
  </si>
  <si>
    <t>2026-07-17INR</t>
  </si>
  <si>
    <t>2026-07-17IQD</t>
  </si>
  <si>
    <t>2026-07-17IRR</t>
  </si>
  <si>
    <t>2026-07-17ISK</t>
  </si>
  <si>
    <t>2026-07-17JEP</t>
  </si>
  <si>
    <t>2026-07-17JMD</t>
  </si>
  <si>
    <t>2026-07-17JOD</t>
  </si>
  <si>
    <t>2026-07-17JPY</t>
  </si>
  <si>
    <t>2026-07-17KES</t>
  </si>
  <si>
    <t>2026-07-17KGS</t>
  </si>
  <si>
    <t>2026-07-17KHR</t>
  </si>
  <si>
    <t>2026-07-17KID</t>
  </si>
  <si>
    <t>2026-07-17KMF</t>
  </si>
  <si>
    <t>2026-07-17KRW</t>
  </si>
  <si>
    <t>2026-07-17KWD</t>
  </si>
  <si>
    <t>2026-07-17KYD</t>
  </si>
  <si>
    <t>2026-07-17KZT</t>
  </si>
  <si>
    <t>2026-07-17LAK</t>
  </si>
  <si>
    <t>2026-07-17LBP</t>
  </si>
  <si>
    <t>2026-07-17LKR</t>
  </si>
  <si>
    <t>2026-07-17LRD</t>
  </si>
  <si>
    <t>2026-07-17LSL</t>
  </si>
  <si>
    <t>2026-07-17LYD</t>
  </si>
  <si>
    <t>2026-07-17MAD</t>
  </si>
  <si>
    <t>2026-07-17MDL</t>
  </si>
  <si>
    <t>2026-07-17MGA</t>
  </si>
  <si>
    <t>2026-07-17MKD</t>
  </si>
  <si>
    <t>2026-07-17MMK</t>
  </si>
  <si>
    <t>2026-07-17MNT</t>
  </si>
  <si>
    <t>2026-07-17MOP</t>
  </si>
  <si>
    <t>2026-07-17MRU</t>
  </si>
  <si>
    <t>2026-07-17MUR</t>
  </si>
  <si>
    <t>2026-07-17MVR</t>
  </si>
  <si>
    <t>2026-07-17MWK</t>
  </si>
  <si>
    <t>2026-07-17MXN</t>
  </si>
  <si>
    <t>2026-07-17MYR</t>
  </si>
  <si>
    <t>2026-07-17MZN</t>
  </si>
  <si>
    <t>2026-07-17NAD</t>
  </si>
  <si>
    <t>2026-07-17NGN</t>
  </si>
  <si>
    <t>2026-07-17NIO</t>
  </si>
  <si>
    <t>2026-07-17NOK</t>
  </si>
  <si>
    <t>2026-07-17NPR</t>
  </si>
  <si>
    <t>2026-07-17NZD</t>
  </si>
  <si>
    <t>2026-07-17OMR</t>
  </si>
  <si>
    <t>2026-07-17PAB</t>
  </si>
  <si>
    <t>2026-07-17PEN</t>
  </si>
  <si>
    <t>2026-07-17PGK</t>
  </si>
  <si>
    <t>2026-07-17PHP</t>
  </si>
  <si>
    <t>2026-07-17PKR</t>
  </si>
  <si>
    <t>2026-07-17PLN</t>
  </si>
  <si>
    <t>2026-07-17PYG</t>
  </si>
  <si>
    <t>2026-07-17QAR</t>
  </si>
  <si>
    <t>2026-07-17RON</t>
  </si>
  <si>
    <t>2026-07-17RSD</t>
  </si>
  <si>
    <t>2026-07-17RUB</t>
  </si>
  <si>
    <t>2026-07-17RWF</t>
  </si>
  <si>
    <t>2026-07-17SAR</t>
  </si>
  <si>
    <t>2026-07-17SBD</t>
  </si>
  <si>
    <t>2026-07-17SCR</t>
  </si>
  <si>
    <t>2026-07-17SDG</t>
  </si>
  <si>
    <t>2026-07-17SEK</t>
  </si>
  <si>
    <t>2026-07-17SGD</t>
  </si>
  <si>
    <t>2026-07-17SHP</t>
  </si>
  <si>
    <t>2026-07-17SLE</t>
  </si>
  <si>
    <t>2026-07-17SLL</t>
  </si>
  <si>
    <t>2026-07-17SOS</t>
  </si>
  <si>
    <t>2026-07-17SRD</t>
  </si>
  <si>
    <t>2026-07-17SSP</t>
  </si>
  <si>
    <t>2026-07-17STN</t>
  </si>
  <si>
    <t>2026-07-17SYP</t>
  </si>
  <si>
    <t>2026-07-17SZL</t>
  </si>
  <si>
    <t>2026-07-17THB</t>
  </si>
  <si>
    <t>2026-07-17TJS</t>
  </si>
  <si>
    <t>2026-07-17TMT</t>
  </si>
  <si>
    <t>2026-07-17TND</t>
  </si>
  <si>
    <t>2026-07-17TOP</t>
  </si>
  <si>
    <t>2026-07-17TRY</t>
  </si>
  <si>
    <t>2026-07-17TTD</t>
  </si>
  <si>
    <t>2026-07-17TVD</t>
  </si>
  <si>
    <t>2026-07-17TWD</t>
  </si>
  <si>
    <t>2026-07-17TZS</t>
  </si>
  <si>
    <t>2026-07-17UAH</t>
  </si>
  <si>
    <t>2026-07-17UGX</t>
  </si>
  <si>
    <t>2026-07-17USD</t>
  </si>
  <si>
    <t>2026-07-17UYU</t>
  </si>
  <si>
    <t>2026-07-17UZS</t>
  </si>
  <si>
    <t>2026-07-17VES</t>
  </si>
  <si>
    <t>2026-07-17VND</t>
  </si>
  <si>
    <t>2026-07-17VUV</t>
  </si>
  <si>
    <t>2026-07-17WST</t>
  </si>
  <si>
    <t>2026-07-17XAF</t>
  </si>
  <si>
    <t>2026-07-17XCD</t>
  </si>
  <si>
    <t>2026-07-17XCG</t>
  </si>
  <si>
    <t>2026-07-17XDR</t>
  </si>
  <si>
    <t>2026-07-17XOF</t>
  </si>
  <si>
    <t>2026-07-17XPF</t>
  </si>
  <si>
    <t>2026-07-17YER</t>
  </si>
  <si>
    <t>2026-07-17ZAR</t>
  </si>
  <si>
    <t>2026-07-17ZMW</t>
  </si>
  <si>
    <t>2026-07-17ZWG</t>
  </si>
  <si>
    <t>2026-07-17ZWL</t>
  </si>
  <si>
    <t>2026-07-19EUR</t>
  </si>
  <si>
    <t>2026-07-19AED</t>
  </si>
  <si>
    <t>2026-07-19AFN</t>
  </si>
  <si>
    <t>2026-07-19ALL</t>
  </si>
  <si>
    <t>2026-07-19AMD</t>
  </si>
  <si>
    <t>2026-07-19ANG</t>
  </si>
  <si>
    <t>2026-07-19AOA</t>
  </si>
  <si>
    <t>2026-07-19ARS</t>
  </si>
  <si>
    <t>2026-07-19AUD</t>
  </si>
  <si>
    <t>2026-07-19AWG</t>
  </si>
  <si>
    <t>2026-07-19AZN</t>
  </si>
  <si>
    <t>2026-07-19BAM</t>
  </si>
  <si>
    <t>2026-07-19BBD</t>
  </si>
  <si>
    <t>2026-07-19BDT</t>
  </si>
  <si>
    <t>2026-07-19BGN</t>
  </si>
  <si>
    <t>2026-07-19BHD</t>
  </si>
  <si>
    <t>2026-07-19BIF</t>
  </si>
  <si>
    <t>2026-07-19BMD</t>
  </si>
  <si>
    <t>2026-07-19BND</t>
  </si>
  <si>
    <t>2026-07-19BOB</t>
  </si>
  <si>
    <t>2026-07-19BRL</t>
  </si>
  <si>
    <t>2026-07-19BSD</t>
  </si>
  <si>
    <t>2026-07-19BTN</t>
  </si>
  <si>
    <t>2026-07-19BWP</t>
  </si>
  <si>
    <t>2026-07-19BYN</t>
  </si>
  <si>
    <t>2026-07-19BZD</t>
  </si>
  <si>
    <t>2026-07-19CAD</t>
  </si>
  <si>
    <t>2026-07-19CDF</t>
  </si>
  <si>
    <t>2026-07-19CHF</t>
  </si>
  <si>
    <t>2026-07-19CLF</t>
  </si>
  <si>
    <t>2026-07-19CLP</t>
  </si>
  <si>
    <t>2026-07-19CNH</t>
  </si>
  <si>
    <t>2026-07-19CNY</t>
  </si>
  <si>
    <t>2026-07-19COP</t>
  </si>
  <si>
    <t>2026-07-19CRC</t>
  </si>
  <si>
    <t>2026-07-19CUP</t>
  </si>
  <si>
    <t>2026-07-19CVE</t>
  </si>
  <si>
    <t>2026-07-19CZK</t>
  </si>
  <si>
    <t>2026-07-19DJF</t>
  </si>
  <si>
    <t>2026-07-19DKK</t>
  </si>
  <si>
    <t>2026-07-19DOP</t>
  </si>
  <si>
    <t>2026-07-19DZD</t>
  </si>
  <si>
    <t>2026-07-19EGP</t>
  </si>
  <si>
    <t>2026-07-19ERN</t>
  </si>
  <si>
    <t>2026-07-19ETB</t>
  </si>
  <si>
    <t>2026-07-19FJD</t>
  </si>
  <si>
    <t>2026-07-19FKP</t>
  </si>
  <si>
    <t>2026-07-19FOK</t>
  </si>
  <si>
    <t>2026-07-19GBP</t>
  </si>
  <si>
    <t>2026-07-19GEL</t>
  </si>
  <si>
    <t>2026-07-19GGP</t>
  </si>
  <si>
    <t>2026-07-19GHS</t>
  </si>
  <si>
    <t>2026-07-19GIP</t>
  </si>
  <si>
    <t>2026-07-19GMD</t>
  </si>
  <si>
    <t>2026-07-19GNF</t>
  </si>
  <si>
    <t>2026-07-19GTQ</t>
  </si>
  <si>
    <t>2026-07-19GYD</t>
  </si>
  <si>
    <t>2026-07-19HKD</t>
  </si>
  <si>
    <t>2026-07-19HNL</t>
  </si>
  <si>
    <t>2026-07-19HRK</t>
  </si>
  <si>
    <t>2026-07-19HTG</t>
  </si>
  <si>
    <t>2026-07-19IDR</t>
  </si>
  <si>
    <t>2026-07-19ILS</t>
  </si>
  <si>
    <t>2026-07-19IMP</t>
  </si>
  <si>
    <t>2026-07-19INR</t>
  </si>
  <si>
    <t>2026-07-19IQD</t>
  </si>
  <si>
    <t>2026-07-19IRR</t>
  </si>
  <si>
    <t>2026-07-19ISK</t>
  </si>
  <si>
    <t>2026-07-19JEP</t>
  </si>
  <si>
    <t>2026-07-19JMD</t>
  </si>
  <si>
    <t>2026-07-19JOD</t>
  </si>
  <si>
    <t>2026-07-19JPY</t>
  </si>
  <si>
    <t>2026-07-19KES</t>
  </si>
  <si>
    <t>2026-07-19KGS</t>
  </si>
  <si>
    <t>2026-07-19KHR</t>
  </si>
  <si>
    <t>2026-07-19KID</t>
  </si>
  <si>
    <t>2026-07-19KMF</t>
  </si>
  <si>
    <t>2026-07-19KRW</t>
  </si>
  <si>
    <t>2026-07-19KWD</t>
  </si>
  <si>
    <t>2026-07-19KYD</t>
  </si>
  <si>
    <t>2026-07-19KZT</t>
  </si>
  <si>
    <t>2026-07-19LAK</t>
  </si>
  <si>
    <t>2026-07-19LBP</t>
  </si>
  <si>
    <t>2026-07-19LKR</t>
  </si>
  <si>
    <t>2026-07-19LRD</t>
  </si>
  <si>
    <t>2026-07-19LSL</t>
  </si>
  <si>
    <t>2026-07-19LYD</t>
  </si>
  <si>
    <t>2026-07-19MAD</t>
  </si>
  <si>
    <t>2026-07-19MDL</t>
  </si>
  <si>
    <t>2026-07-19MGA</t>
  </si>
  <si>
    <t>2026-07-19MKD</t>
  </si>
  <si>
    <t>2026-07-19MMK</t>
  </si>
  <si>
    <t>2026-07-19MNT</t>
  </si>
  <si>
    <t>2026-07-19MOP</t>
  </si>
  <si>
    <t>2026-07-19MRU</t>
  </si>
  <si>
    <t>2026-07-19MUR</t>
  </si>
  <si>
    <t>2026-07-19MVR</t>
  </si>
  <si>
    <t>2026-07-19MWK</t>
  </si>
  <si>
    <t>2026-07-19MXN</t>
  </si>
  <si>
    <t>2026-07-19MYR</t>
  </si>
  <si>
    <t>2026-07-19MZN</t>
  </si>
  <si>
    <t>2026-07-19NAD</t>
  </si>
  <si>
    <t>2026-07-19NGN</t>
  </si>
  <si>
    <t>2026-07-19NIO</t>
  </si>
  <si>
    <t>2026-07-19NOK</t>
  </si>
  <si>
    <t>2026-07-19NPR</t>
  </si>
  <si>
    <t>2026-07-19NZD</t>
  </si>
  <si>
    <t>2026-07-19OMR</t>
  </si>
  <si>
    <t>2026-07-19PAB</t>
  </si>
  <si>
    <t>2026-07-19PEN</t>
  </si>
  <si>
    <t>2026-07-19PGK</t>
  </si>
  <si>
    <t>2026-07-19PHP</t>
  </si>
  <si>
    <t>2026-07-19PKR</t>
  </si>
  <si>
    <t>2026-07-19PLN</t>
  </si>
  <si>
    <t>2026-07-19PYG</t>
  </si>
  <si>
    <t>2026-07-19QAR</t>
  </si>
  <si>
    <t>2026-07-19RON</t>
  </si>
  <si>
    <t>2026-07-19RSD</t>
  </si>
  <si>
    <t>2026-07-19RUB</t>
  </si>
  <si>
    <t>2026-07-19RWF</t>
  </si>
  <si>
    <t>2026-07-19SAR</t>
  </si>
  <si>
    <t>2026-07-19SBD</t>
  </si>
  <si>
    <t>2026-07-19SCR</t>
  </si>
  <si>
    <t>2026-07-19SDG</t>
  </si>
  <si>
    <t>2026-07-19SEK</t>
  </si>
  <si>
    <t>2026-07-19SGD</t>
  </si>
  <si>
    <t>2026-07-19SHP</t>
  </si>
  <si>
    <t>2026-07-19SLE</t>
  </si>
  <si>
    <t>2026-07-19SLL</t>
  </si>
  <si>
    <t>2026-07-19SOS</t>
  </si>
  <si>
    <t>2026-07-19SRD</t>
  </si>
  <si>
    <t>2026-07-19SSP</t>
  </si>
  <si>
    <t>2026-07-19STN</t>
  </si>
  <si>
    <t>2026-07-19SYP</t>
  </si>
  <si>
    <t>2026-07-19SZL</t>
  </si>
  <si>
    <t>2026-07-19THB</t>
  </si>
  <si>
    <t>2026-07-19TJS</t>
  </si>
  <si>
    <t>2026-07-19TMT</t>
  </si>
  <si>
    <t>2026-07-19TND</t>
  </si>
  <si>
    <t>2026-07-19TOP</t>
  </si>
  <si>
    <t>2026-07-19TRY</t>
  </si>
  <si>
    <t>2026-07-19TTD</t>
  </si>
  <si>
    <t>2026-07-19TVD</t>
  </si>
  <si>
    <t>2026-07-19TWD</t>
  </si>
  <si>
    <t>2026-07-19TZS</t>
  </si>
  <si>
    <t>2026-07-19UAH</t>
  </si>
  <si>
    <t>2026-07-19UGX</t>
  </si>
  <si>
    <t>2026-07-19USD</t>
  </si>
  <si>
    <t>2026-07-19UYU</t>
  </si>
  <si>
    <t>2026-07-19UZS</t>
  </si>
  <si>
    <t>2026-07-19VES</t>
  </si>
  <si>
    <t>2026-07-19VND</t>
  </si>
  <si>
    <t>2026-07-19VUV</t>
  </si>
  <si>
    <t>2026-07-19WST</t>
  </si>
  <si>
    <t>2026-07-19XAF</t>
  </si>
  <si>
    <t>2026-07-19XCD</t>
  </si>
  <si>
    <t>2026-07-19XCG</t>
  </si>
  <si>
    <t>2026-07-19XDR</t>
  </si>
  <si>
    <t>2026-07-19XOF</t>
  </si>
  <si>
    <t>2026-07-19XPF</t>
  </si>
  <si>
    <t>2026-07-19YER</t>
  </si>
  <si>
    <t>2026-07-19ZAR</t>
  </si>
  <si>
    <t>2026-07-19ZMW</t>
  </si>
  <si>
    <t>2026-07-19ZWG</t>
  </si>
  <si>
    <t>2026-07-19ZWL</t>
  </si>
  <si>
    <t>2026-05-13</t>
  </si>
  <si>
    <t>2026-05-19</t>
  </si>
  <si>
    <t>2026-06-01</t>
  </si>
  <si>
    <t>2026-06-09</t>
  </si>
  <si>
    <t>2026-07-17</t>
  </si>
  <si>
    <t>AUD</t>
  </si>
  <si>
    <t>BRL</t>
  </si>
  <si>
    <t>CAD</t>
  </si>
  <si>
    <t>CHF</t>
  </si>
  <si>
    <t>CNY</t>
  </si>
  <si>
    <t>CZK</t>
  </si>
  <si>
    <t>DKK</t>
  </si>
  <si>
    <t>GBP</t>
  </si>
  <si>
    <t>HKD</t>
  </si>
  <si>
    <t>IDR</t>
  </si>
  <si>
    <t>ILS</t>
  </si>
  <si>
    <t>INR</t>
  </si>
  <si>
    <t>ISK</t>
  </si>
  <si>
    <t>JPY</t>
  </si>
  <si>
    <t>KRW</t>
  </si>
  <si>
    <t>MXN</t>
  </si>
  <si>
    <t>MYR</t>
  </si>
  <si>
    <t>NOK</t>
  </si>
  <si>
    <t>NZD</t>
  </si>
  <si>
    <t>PHP</t>
  </si>
  <si>
    <t>PLN</t>
  </si>
  <si>
    <t>RON</t>
  </si>
  <si>
    <t>SEK</t>
  </si>
  <si>
    <t>SGD</t>
  </si>
  <si>
    <t>THB</t>
  </si>
  <si>
    <t>TRY</t>
  </si>
  <si>
    <t>ZAR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</si>
  <si>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</si>
  <si>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</si>
  <si>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</si>
  <si>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</si>
  <si>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</si>
  <si>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</si>
  <si>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</si>
  <si>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</si>
  <si>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</si>
  <si>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</si>
  <si>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</si>
  <si>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</si>
  <si>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BHD</t>
  </si>
  <si>
    <t>BIF</t>
  </si>
  <si>
    <t>BMD</t>
  </si>
  <si>
    <t>BND</t>
  </si>
  <si>
    <t>BOB</t>
  </si>
  <si>
    <t>BSD</t>
  </si>
  <si>
    <t>BTN</t>
  </si>
  <si>
    <t>BWP</t>
  </si>
  <si>
    <t>BYN</t>
  </si>
  <si>
    <t>BZD</t>
  </si>
  <si>
    <t>CDF</t>
  </si>
  <si>
    <t>CLF</t>
  </si>
  <si>
    <t>CLP</t>
  </si>
  <si>
    <t>CNH</t>
  </si>
  <si>
    <t>COP</t>
  </si>
  <si>
    <t>CRC</t>
  </si>
  <si>
    <t>CUP</t>
  </si>
  <si>
    <t>CVE</t>
  </si>
  <si>
    <t>DJF</t>
  </si>
  <si>
    <t>DOP</t>
  </si>
  <si>
    <t>DZD</t>
  </si>
  <si>
    <t>EGP</t>
  </si>
  <si>
    <t>ERN</t>
  </si>
  <si>
    <t>ETB</t>
  </si>
  <si>
    <t>FJD</t>
  </si>
  <si>
    <t>FKP</t>
  </si>
  <si>
    <t>FOK</t>
  </si>
  <si>
    <t>GEL</t>
  </si>
  <si>
    <t>GGP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</si>
  <si>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</si>
  <si>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</si>
  <si>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</si>
  <si>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</si>
  <si>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</si>
  <si>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</si>
  <si>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</si>
  <si>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</si>
  <si>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</si>
  <si>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IMP</t>
  </si>
  <si>
    <t>IQD</t>
  </si>
  <si>
    <t>IRR</t>
  </si>
  <si>
    <t>JEP</t>
  </si>
  <si>
    <t>JMD</t>
  </si>
  <si>
    <t>JOD</t>
  </si>
  <si>
    <t>KES</t>
  </si>
  <si>
    <t>KGS</t>
  </si>
  <si>
    <t>KHR</t>
  </si>
  <si>
    <t>KID</t>
  </si>
  <si>
    <t>KMF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</si>
  <si>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</si>
  <si>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</si>
  <si>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</si>
  <si>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</si>
  <si>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</si>
  <si>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</si>
  <si>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</si>
  <si>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</si>
  <si>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</si>
  <si>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</si>
  <si>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</si>
  <si>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</si>
  <si>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</si>
  <si>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</si>
  <si>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</si>
  <si>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</si>
  <si>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</si>
  <si>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</si>
  <si>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</si>
  <si>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</si>
  <si>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MZN</t>
  </si>
  <si>
    <t>NAD</t>
  </si>
  <si>
    <t>NGN</t>
  </si>
  <si>
    <t>NIO</t>
  </si>
  <si>
    <t>NPR</t>
  </si>
  <si>
    <t>OMR</t>
  </si>
  <si>
    <t>PAB</t>
  </si>
  <si>
    <t>PEN</t>
  </si>
  <si>
    <t>PGK</t>
  </si>
  <si>
    <t>PKR</t>
  </si>
  <si>
    <t>PYG</t>
  </si>
  <si>
    <t>QAR</t>
  </si>
  <si>
    <t>RSD</t>
  </si>
  <si>
    <t>RUB</t>
  </si>
  <si>
    <t>RWF</t>
  </si>
  <si>
    <t>SAR</t>
  </si>
  <si>
    <t>SBD</t>
  </si>
  <si>
    <t>SCR</t>
  </si>
  <si>
    <t>SDG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</si>
  <si>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</si>
  <si>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</si>
  <si>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</si>
  <si>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</si>
  <si>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</si>
  <si>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</si>
  <si>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</si>
  <si>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</si>
  <si>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</si>
  <si>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TJS</t>
  </si>
  <si>
    <t>TMT</t>
  </si>
  <si>
    <t>TND</t>
  </si>
  <si>
    <t>TOP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</si>
  <si>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</si>
  <si>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</si>
  <si>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</si>
  <si>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</si>
  <si>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</si>
  <si>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</si>
  <si>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</si>
  <si>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</si>
  <si>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</si>
  <si>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</si>
  <si>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</si>
  <si>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</si>
  <si>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</si>
  <si>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</si>
  <si>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</si>
  <si>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</si>
  <si>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</si>
  <si>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</si>
  <si>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</si>
  <si>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ZMW</t>
  </si>
  <si>
    <t>ZWG</t>
  </si>
  <si>
    <t>ZWL</t>
  </si>
  <si>
    <t>Key</t>
  </si>
  <si>
    <t>Value</t>
  </si>
  <si>
    <t>Version</t>
  </si>
  <si>
    <t>1.0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</si>
</sst>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1E293B"/>
        <bgColor indexed="64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164" fontId="0" fillId="3" borderId="1" xfId="0" applyNumberFormat="1" applyFill="1" applyBorder="1"/>
    <xf numFmtId="164" fontId="2" fillId="4" borderId="2" xfId="0" applyNumberFormat="1" applyFont="1" applyFill="1" applyBorder="1"/>
    <xf numFmtId="0" fontId="2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30.7109375" customWidth="1"/>
    <col min="2" max="2" width="25.7109375" customWidth="1"/>
  </cols>
  <sheetData>
    <row r="1" spans="1:2">
      <c r="A1" s="1" t="s">
        <v>0</v>
      </c>
    </row>
    <row r="2" spans="1:2">
      <c r="A2" s="2" t="s">
        <v>1</v>
      </c>
      <c r="B2" s="3">
        <f>SUMIFS('01_Transactions'!I:I, '01_Transactions'!C:C, "Income")</f>
        <v>0</v>
      </c>
    </row>
    <row r="3" spans="1:2">
      <c r="A3" s="2" t="s">
        <v>2</v>
      </c>
      <c r="B3" s="3">
        <f>SUMIFS('01_Transactions'!I:I, '01_Transactions'!C:C, "Expense")</f>
        <v>0</v>
      </c>
    </row>
    <row r="4" spans="1:2">
      <c r="A4" s="2" t="s">
        <v>3</v>
      </c>
      <c r="B4" s="4">
        <f>B2-B3</f>
        <v>0</v>
      </c>
    </row>
    <row r="6" spans="1:2">
      <c r="A6" s="1" t="s">
        <v>4</v>
      </c>
    </row>
    <row r="7" spans="1:2">
      <c r="A7" s="2" t="s">
        <v>5</v>
      </c>
      <c r="B7" s="3">
        <f>SUMIFS('01_Transactions'!I:I, '01_Transactions'!L:L, "&lt;&gt;")</f>
        <v>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6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7.7109375" customWidth="1"/>
    <col min="2" max="2" width="12.7109375" customWidth="1"/>
    <col min="3" max="3" width="10.7109375" customWidth="1"/>
    <col min="4" max="4" width="9.7109375" customWidth="1"/>
    <col min="5" max="5" width="17.7109375" customWidth="1"/>
    <col min="6" max="6" width="16.7109375" customWidth="1"/>
    <col min="7" max="7" width="11.7109375" customWidth="1"/>
    <col min="8" max="8" width="12.7109375" customWidth="1"/>
    <col min="9" max="9" width="14.7109375" customWidth="1"/>
    <col min="10" max="10" width="16.7109375" customWidth="1"/>
    <col min="11" max="11" width="22.7109375" customWidth="1"/>
    <col min="12" max="12" width="14.7109375" customWidth="1"/>
    <col min="13" max="13" width="12.7109375" customWidth="1"/>
    <col min="14" max="14" width="40.7109375" customWidth="1"/>
    <col min="15" max="15" width="11.7109375" customWidth="1"/>
    <col min="16" max="16" width="15.7109375" customWidth="1"/>
    <col min="17" max="17" width="21.7109375" customWidth="1"/>
  </cols>
  <sheetData>
    <row r="1" spans="1:17">
      <c r="A1" s="5" t="s">
        <v>1551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1552</v>
      </c>
      <c r="J1" s="5" t="s">
        <v>1553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1554</v>
      </c>
    </row>
    <row r="2" spans="1:17">
      <c r="A2" t="s">
        <v>23</v>
      </c>
      <c r="B2" t="s">
        <v>628</v>
      </c>
      <c r="C2" t="s">
        <v>978</v>
      </c>
      <c r="D2" t="s">
        <v>981</v>
      </c>
      <c r="E2" t="s">
        <v>982</v>
      </c>
      <c r="G2">
        <v>39591</v>
      </c>
      <c r="H2" t="s">
        <v>995</v>
      </c>
      <c r="I2" s="3">
        <f>G2 * J2</f>
        <v>0</v>
      </c>
      <c r="J2" s="3">
        <f>IF(H2="HUF", 1, IFERROR(VLOOKUP(B2&amp;H2, '22_ExchangeRates'!A:E, 5, FALSE), 1))</f>
        <v>0</v>
      </c>
      <c r="K2" t="s">
        <v>999</v>
      </c>
      <c r="N2" t="s">
        <v>1016</v>
      </c>
      <c r="O2" t="s">
        <v>1497</v>
      </c>
    </row>
    <row r="3" spans="1:17">
      <c r="A3" t="s">
        <v>24</v>
      </c>
      <c r="B3" t="s">
        <v>629</v>
      </c>
      <c r="C3" t="s">
        <v>978</v>
      </c>
      <c r="D3" t="s">
        <v>981</v>
      </c>
      <c r="E3" t="s">
        <v>983</v>
      </c>
      <c r="G3">
        <v>500</v>
      </c>
      <c r="H3" t="s">
        <v>995</v>
      </c>
      <c r="I3" s="3">
        <f>G3 * J3</f>
        <v>0</v>
      </c>
      <c r="J3" s="3">
        <f>IF(H3="HUF", 1, IFERROR(VLOOKUP(B3&amp;H3, '22_ExchangeRates'!A:E, 5, FALSE), 1))</f>
        <v>0</v>
      </c>
      <c r="K3" t="s">
        <v>1000</v>
      </c>
      <c r="N3" t="s">
        <v>1017</v>
      </c>
      <c r="O3" t="s">
        <v>1497</v>
      </c>
    </row>
    <row r="4" spans="1:17">
      <c r="A4" t="s">
        <v>25</v>
      </c>
      <c r="B4" t="s">
        <v>629</v>
      </c>
      <c r="C4" t="s">
        <v>978</v>
      </c>
      <c r="D4" t="s">
        <v>981</v>
      </c>
      <c r="E4" t="s">
        <v>982</v>
      </c>
      <c r="G4">
        <v>220</v>
      </c>
      <c r="H4" t="s">
        <v>995</v>
      </c>
      <c r="I4" s="3">
        <f>G4 * J4</f>
        <v>0</v>
      </c>
      <c r="J4" s="3">
        <f>IF(H4="HUF", 1, IFERROR(VLOOKUP(B4&amp;H4, '22_ExchangeRates'!A:E, 5, FALSE), 1))</f>
        <v>0</v>
      </c>
      <c r="K4" t="s">
        <v>1001</v>
      </c>
      <c r="N4" t="s">
        <v>1018</v>
      </c>
      <c r="O4" t="s">
        <v>1497</v>
      </c>
    </row>
    <row r="5" spans="1:17">
      <c r="A5" t="s">
        <v>26</v>
      </c>
      <c r="B5" t="s">
        <v>629</v>
      </c>
      <c r="C5" t="s">
        <v>978</v>
      </c>
      <c r="D5" t="s">
        <v>981</v>
      </c>
      <c r="E5" t="s">
        <v>982</v>
      </c>
      <c r="G5">
        <v>220</v>
      </c>
      <c r="H5" t="s">
        <v>995</v>
      </c>
      <c r="I5" s="3">
        <f>G5 * J5</f>
        <v>0</v>
      </c>
      <c r="J5" s="3">
        <f>IF(H5="HUF", 1, IFERROR(VLOOKUP(B5&amp;H5, '22_ExchangeRates'!A:E, 5, FALSE), 1))</f>
        <v>0</v>
      </c>
      <c r="K5" t="s">
        <v>1001</v>
      </c>
      <c r="N5" t="s">
        <v>1019</v>
      </c>
      <c r="O5" t="s">
        <v>1497</v>
      </c>
    </row>
    <row r="6" spans="1:17">
      <c r="A6" t="s">
        <v>27</v>
      </c>
      <c r="B6" t="s">
        <v>630</v>
      </c>
      <c r="C6" t="s">
        <v>978</v>
      </c>
      <c r="D6" t="s">
        <v>981</v>
      </c>
      <c r="E6" t="s">
        <v>983</v>
      </c>
      <c r="G6">
        <v>2000</v>
      </c>
      <c r="H6" t="s">
        <v>995</v>
      </c>
      <c r="I6" s="3">
        <f>G6 * J6</f>
        <v>0</v>
      </c>
      <c r="J6" s="3">
        <f>IF(H6="HUF", 1, IFERROR(VLOOKUP(B6&amp;H6, '22_ExchangeRates'!A:E, 5, FALSE), 1))</f>
        <v>0</v>
      </c>
      <c r="K6" t="s">
        <v>1002</v>
      </c>
      <c r="N6" t="s">
        <v>1020</v>
      </c>
      <c r="O6" t="s">
        <v>1497</v>
      </c>
    </row>
    <row r="7" spans="1:17">
      <c r="A7" t="s">
        <v>28</v>
      </c>
      <c r="B7" t="s">
        <v>630</v>
      </c>
      <c r="C7" t="s">
        <v>978</v>
      </c>
      <c r="D7" t="s">
        <v>981</v>
      </c>
      <c r="E7" t="s">
        <v>983</v>
      </c>
      <c r="G7">
        <v>850</v>
      </c>
      <c r="H7" t="s">
        <v>995</v>
      </c>
      <c r="I7" s="3">
        <f>G7 * J7</f>
        <v>0</v>
      </c>
      <c r="J7" s="3">
        <f>IF(H7="HUF", 1, IFERROR(VLOOKUP(B7&amp;H7, '22_ExchangeRates'!A:E, 5, FALSE), 1))</f>
        <v>0</v>
      </c>
      <c r="K7" t="s">
        <v>1003</v>
      </c>
      <c r="N7" t="s">
        <v>1021</v>
      </c>
      <c r="O7" t="s">
        <v>1497</v>
      </c>
    </row>
    <row r="8" spans="1:17">
      <c r="A8" t="s">
        <v>29</v>
      </c>
      <c r="B8" t="s">
        <v>631</v>
      </c>
      <c r="C8" t="s">
        <v>978</v>
      </c>
      <c r="D8" t="s">
        <v>981</v>
      </c>
      <c r="E8" t="s">
        <v>982</v>
      </c>
      <c r="G8">
        <v>220</v>
      </c>
      <c r="H8" t="s">
        <v>995</v>
      </c>
      <c r="I8" s="3">
        <f>G8 * J8</f>
        <v>0</v>
      </c>
      <c r="J8" s="3">
        <f>IF(H8="HUF", 1, IFERROR(VLOOKUP(B8&amp;H8, '22_ExchangeRates'!A:E, 5, FALSE), 1))</f>
        <v>0</v>
      </c>
      <c r="K8" t="s">
        <v>1001</v>
      </c>
      <c r="N8" t="s">
        <v>1018</v>
      </c>
      <c r="O8" t="s">
        <v>1497</v>
      </c>
    </row>
    <row r="9" spans="1:17">
      <c r="A9" t="s">
        <v>30</v>
      </c>
      <c r="B9" t="s">
        <v>632</v>
      </c>
      <c r="C9" t="s">
        <v>979</v>
      </c>
      <c r="D9" t="s">
        <v>981</v>
      </c>
      <c r="E9" t="s">
        <v>982</v>
      </c>
      <c r="G9">
        <v>15000</v>
      </c>
      <c r="H9" t="s">
        <v>995</v>
      </c>
      <c r="I9" s="3">
        <f>G9 * J9</f>
        <v>0</v>
      </c>
      <c r="J9" s="3">
        <f>IF(H9="HUF", 1, IFERROR(VLOOKUP(B9&amp;H9, '22_ExchangeRates'!A:E, 5, FALSE), 1))</f>
        <v>0</v>
      </c>
      <c r="K9" t="s">
        <v>1004</v>
      </c>
      <c r="N9" t="s">
        <v>1022</v>
      </c>
      <c r="O9" t="s">
        <v>1497</v>
      </c>
    </row>
    <row r="10" spans="1:17">
      <c r="A10" t="s">
        <v>31</v>
      </c>
      <c r="B10" t="s">
        <v>633</v>
      </c>
      <c r="C10" t="s">
        <v>979</v>
      </c>
      <c r="D10" t="s">
        <v>981</v>
      </c>
      <c r="E10" t="s">
        <v>983</v>
      </c>
      <c r="G10">
        <v>50000</v>
      </c>
      <c r="H10" t="s">
        <v>995</v>
      </c>
      <c r="I10" s="3">
        <f>G10 * J10</f>
        <v>0</v>
      </c>
      <c r="J10" s="3">
        <f>IF(H10="HUF", 1, IFERROR(VLOOKUP(B10&amp;H10, '22_ExchangeRates'!A:E, 5, FALSE), 1))</f>
        <v>0</v>
      </c>
      <c r="K10" t="s">
        <v>1000</v>
      </c>
      <c r="N10" t="s">
        <v>1023</v>
      </c>
      <c r="O10" t="s">
        <v>1497</v>
      </c>
    </row>
    <row r="11" spans="1:17">
      <c r="A11" t="s">
        <v>32</v>
      </c>
      <c r="B11" t="s">
        <v>633</v>
      </c>
      <c r="C11" t="s">
        <v>979</v>
      </c>
      <c r="D11" t="s">
        <v>981</v>
      </c>
      <c r="E11" t="s">
        <v>983</v>
      </c>
      <c r="G11">
        <v>20000</v>
      </c>
      <c r="H11" t="s">
        <v>995</v>
      </c>
      <c r="I11" s="3">
        <f>G11 * J11</f>
        <v>0</v>
      </c>
      <c r="J11" s="3">
        <f>IF(H11="HUF", 1, IFERROR(VLOOKUP(B11&amp;H11, '22_ExchangeRates'!A:E, 5, FALSE), 1))</f>
        <v>0</v>
      </c>
      <c r="K11" t="s">
        <v>1000</v>
      </c>
      <c r="N11" t="s">
        <v>1024</v>
      </c>
      <c r="O11" t="s">
        <v>1497</v>
      </c>
    </row>
    <row r="12" spans="1:17">
      <c r="A12" t="s">
        <v>33</v>
      </c>
      <c r="B12" t="s">
        <v>634</v>
      </c>
      <c r="C12" t="s">
        <v>978</v>
      </c>
      <c r="D12" t="s">
        <v>981</v>
      </c>
      <c r="E12" t="s">
        <v>983</v>
      </c>
      <c r="G12">
        <v>1500</v>
      </c>
      <c r="H12" t="s">
        <v>995</v>
      </c>
      <c r="I12" s="3">
        <f>G12 * J12</f>
        <v>0</v>
      </c>
      <c r="J12" s="3">
        <f>IF(H12="HUF", 1, IFERROR(VLOOKUP(B12&amp;H12, '22_ExchangeRates'!A:E, 5, FALSE), 1))</f>
        <v>0</v>
      </c>
      <c r="K12" t="s">
        <v>1003</v>
      </c>
      <c r="N12" t="s">
        <v>1025</v>
      </c>
      <c r="O12" t="s">
        <v>1497</v>
      </c>
    </row>
    <row r="13" spans="1:17">
      <c r="A13" t="s">
        <v>34</v>
      </c>
      <c r="B13" t="s">
        <v>634</v>
      </c>
      <c r="C13" t="s">
        <v>978</v>
      </c>
      <c r="D13" t="s">
        <v>981</v>
      </c>
      <c r="E13" t="s">
        <v>983</v>
      </c>
      <c r="G13">
        <v>890</v>
      </c>
      <c r="H13" t="s">
        <v>995</v>
      </c>
      <c r="I13" s="3">
        <f>G13 * J13</f>
        <v>0</v>
      </c>
      <c r="J13" s="3">
        <f>IF(H13="HUF", 1, IFERROR(VLOOKUP(B13&amp;H13, '22_ExchangeRates'!A:E, 5, FALSE), 1))</f>
        <v>0</v>
      </c>
      <c r="K13" t="s">
        <v>1003</v>
      </c>
      <c r="N13" t="s">
        <v>1026</v>
      </c>
      <c r="O13" t="s">
        <v>1497</v>
      </c>
    </row>
    <row r="14" spans="1:17">
      <c r="A14" t="s">
        <v>35</v>
      </c>
      <c r="B14" t="s">
        <v>634</v>
      </c>
      <c r="C14" t="s">
        <v>978</v>
      </c>
      <c r="D14" t="s">
        <v>981</v>
      </c>
      <c r="E14" t="s">
        <v>983</v>
      </c>
      <c r="G14">
        <v>1490</v>
      </c>
      <c r="H14" t="s">
        <v>995</v>
      </c>
      <c r="I14" s="3">
        <f>G14 * J14</f>
        <v>0</v>
      </c>
      <c r="J14" s="3">
        <f>IF(H14="HUF", 1, IFERROR(VLOOKUP(B14&amp;H14, '22_ExchangeRates'!A:E, 5, FALSE), 1))</f>
        <v>0</v>
      </c>
      <c r="K14" t="s">
        <v>1003</v>
      </c>
      <c r="N14" t="s">
        <v>1027</v>
      </c>
      <c r="O14" t="s">
        <v>1497</v>
      </c>
    </row>
    <row r="15" spans="1:17">
      <c r="A15" t="s">
        <v>36</v>
      </c>
      <c r="B15" t="s">
        <v>635</v>
      </c>
      <c r="C15" t="s">
        <v>978</v>
      </c>
      <c r="D15" t="s">
        <v>981</v>
      </c>
      <c r="E15" t="s">
        <v>983</v>
      </c>
      <c r="G15">
        <v>2100</v>
      </c>
      <c r="H15" t="s">
        <v>995</v>
      </c>
      <c r="I15" s="3">
        <f>G15 * J15</f>
        <v>0</v>
      </c>
      <c r="J15" s="3">
        <f>IF(H15="HUF", 1, IFERROR(VLOOKUP(B15&amp;H15, '22_ExchangeRates'!A:E, 5, FALSE), 1))</f>
        <v>0</v>
      </c>
      <c r="K15" t="s">
        <v>1002</v>
      </c>
      <c r="N15" t="s">
        <v>1028</v>
      </c>
      <c r="O15" t="s">
        <v>1497</v>
      </c>
    </row>
    <row r="16" spans="1:17">
      <c r="A16" t="s">
        <v>37</v>
      </c>
      <c r="B16" t="s">
        <v>636</v>
      </c>
      <c r="C16" t="s">
        <v>978</v>
      </c>
      <c r="D16" t="s">
        <v>981</v>
      </c>
      <c r="E16" t="s">
        <v>983</v>
      </c>
      <c r="G16">
        <v>1900</v>
      </c>
      <c r="H16" t="s">
        <v>995</v>
      </c>
      <c r="I16" s="3">
        <f>G16 * J16</f>
        <v>0</v>
      </c>
      <c r="J16" s="3">
        <f>IF(H16="HUF", 1, IFERROR(VLOOKUP(B16&amp;H16, '22_ExchangeRates'!A:E, 5, FALSE), 1))</f>
        <v>0</v>
      </c>
      <c r="K16" t="s">
        <v>1005</v>
      </c>
      <c r="N16" t="s">
        <v>1029</v>
      </c>
      <c r="O16" t="s">
        <v>1497</v>
      </c>
    </row>
    <row r="17" spans="1:15">
      <c r="A17" t="s">
        <v>38</v>
      </c>
      <c r="B17" t="s">
        <v>637</v>
      </c>
      <c r="C17" t="s">
        <v>979</v>
      </c>
      <c r="D17" t="s">
        <v>981</v>
      </c>
      <c r="E17" t="s">
        <v>982</v>
      </c>
      <c r="G17">
        <v>15000</v>
      </c>
      <c r="H17" t="s">
        <v>995</v>
      </c>
      <c r="I17" s="3">
        <f>G17 * J17</f>
        <v>0</v>
      </c>
      <c r="J17" s="3">
        <f>IF(H17="HUF", 1, IFERROR(VLOOKUP(B17&amp;H17, '22_ExchangeRates'!A:E, 5, FALSE), 1))</f>
        <v>0</v>
      </c>
      <c r="K17" t="s">
        <v>1004</v>
      </c>
      <c r="N17" t="s">
        <v>1030</v>
      </c>
      <c r="O17" t="s">
        <v>1497</v>
      </c>
    </row>
    <row r="18" spans="1:15">
      <c r="A18" t="s">
        <v>39</v>
      </c>
      <c r="B18" t="s">
        <v>637</v>
      </c>
      <c r="C18" t="s">
        <v>978</v>
      </c>
      <c r="D18" t="s">
        <v>981</v>
      </c>
      <c r="E18" t="s">
        <v>982</v>
      </c>
      <c r="G18">
        <v>7342</v>
      </c>
      <c r="H18" t="s">
        <v>995</v>
      </c>
      <c r="I18" s="3">
        <f>G18 * J18</f>
        <v>0</v>
      </c>
      <c r="J18" s="3">
        <f>IF(H18="HUF", 1, IFERROR(VLOOKUP(B18&amp;H18, '22_ExchangeRates'!A:E, 5, FALSE), 1))</f>
        <v>0</v>
      </c>
      <c r="K18" t="s">
        <v>1002</v>
      </c>
      <c r="N18" t="s">
        <v>1031</v>
      </c>
      <c r="O18" t="s">
        <v>1497</v>
      </c>
    </row>
    <row r="19" spans="1:15">
      <c r="A19" t="s">
        <v>40</v>
      </c>
      <c r="B19" t="s">
        <v>638</v>
      </c>
      <c r="C19" t="s">
        <v>978</v>
      </c>
      <c r="D19" t="s">
        <v>981</v>
      </c>
      <c r="E19" t="s">
        <v>983</v>
      </c>
      <c r="G19">
        <v>540</v>
      </c>
      <c r="H19" t="s">
        <v>995</v>
      </c>
      <c r="I19" s="3">
        <f>G19 * J19</f>
        <v>0</v>
      </c>
      <c r="J19" s="3">
        <f>IF(H19="HUF", 1, IFERROR(VLOOKUP(B19&amp;H19, '22_ExchangeRates'!A:E, 5, FALSE), 1))</f>
        <v>0</v>
      </c>
      <c r="K19" t="s">
        <v>1001</v>
      </c>
      <c r="N19" t="s">
        <v>1032</v>
      </c>
      <c r="O19" t="s">
        <v>1497</v>
      </c>
    </row>
    <row r="20" spans="1:15">
      <c r="A20" t="s">
        <v>41</v>
      </c>
      <c r="B20" t="s">
        <v>639</v>
      </c>
      <c r="C20" t="s">
        <v>978</v>
      </c>
      <c r="D20" t="s">
        <v>981</v>
      </c>
      <c r="E20" t="s">
        <v>982</v>
      </c>
      <c r="G20">
        <v>220</v>
      </c>
      <c r="H20" t="s">
        <v>995</v>
      </c>
      <c r="I20" s="3">
        <f>G20 * J20</f>
        <v>0</v>
      </c>
      <c r="J20" s="3">
        <f>IF(H20="HUF", 1, IFERROR(VLOOKUP(B20&amp;H20, '22_ExchangeRates'!A:E, 5, FALSE), 1))</f>
        <v>0</v>
      </c>
      <c r="K20" t="s">
        <v>1001</v>
      </c>
      <c r="N20" t="s">
        <v>1033</v>
      </c>
      <c r="O20" t="s">
        <v>1497</v>
      </c>
    </row>
    <row r="21" spans="1:15">
      <c r="A21" t="s">
        <v>42</v>
      </c>
      <c r="B21" t="s">
        <v>640</v>
      </c>
      <c r="C21" t="s">
        <v>978</v>
      </c>
      <c r="D21" t="s">
        <v>981</v>
      </c>
      <c r="E21" t="s">
        <v>982</v>
      </c>
      <c r="G21">
        <v>1912</v>
      </c>
      <c r="H21" t="s">
        <v>995</v>
      </c>
      <c r="I21" s="3">
        <f>G21 * J21</f>
        <v>0</v>
      </c>
      <c r="J21" s="3">
        <f>IF(H21="HUF", 1, IFERROR(VLOOKUP(B21&amp;H21, '22_ExchangeRates'!A:E, 5, FALSE), 1))</f>
        <v>0</v>
      </c>
      <c r="K21" t="s">
        <v>1000</v>
      </c>
      <c r="N21" t="s">
        <v>1034</v>
      </c>
      <c r="O21" t="s">
        <v>1497</v>
      </c>
    </row>
    <row r="22" spans="1:15">
      <c r="A22" t="s">
        <v>43</v>
      </c>
      <c r="B22" t="s">
        <v>641</v>
      </c>
      <c r="C22" t="s">
        <v>978</v>
      </c>
      <c r="D22" t="s">
        <v>981</v>
      </c>
      <c r="E22" t="s">
        <v>982</v>
      </c>
      <c r="G22">
        <v>8596</v>
      </c>
      <c r="H22" t="s">
        <v>995</v>
      </c>
      <c r="I22" s="3">
        <f>G22 * J22</f>
        <v>0</v>
      </c>
      <c r="J22" s="3">
        <f>IF(H22="HUF", 1, IFERROR(VLOOKUP(B22&amp;H22, '22_ExchangeRates'!A:E, 5, FALSE), 1))</f>
        <v>0</v>
      </c>
      <c r="K22" t="s">
        <v>1002</v>
      </c>
      <c r="N22" t="s">
        <v>1035</v>
      </c>
      <c r="O22" t="s">
        <v>1497</v>
      </c>
    </row>
    <row r="23" spans="1:15">
      <c r="A23" t="s">
        <v>44</v>
      </c>
      <c r="B23" t="s">
        <v>642</v>
      </c>
      <c r="C23" t="s">
        <v>978</v>
      </c>
      <c r="D23" t="s">
        <v>981</v>
      </c>
      <c r="E23" t="s">
        <v>982</v>
      </c>
      <c r="G23">
        <v>2587</v>
      </c>
      <c r="H23" t="s">
        <v>995</v>
      </c>
      <c r="I23" s="3">
        <f>G23 * J23</f>
        <v>0</v>
      </c>
      <c r="J23" s="3">
        <f>IF(H23="HUF", 1, IFERROR(VLOOKUP(B23&amp;H23, '22_ExchangeRates'!A:E, 5, FALSE), 1))</f>
        <v>0</v>
      </c>
      <c r="K23" t="s">
        <v>999</v>
      </c>
      <c r="N23" t="s">
        <v>1036</v>
      </c>
      <c r="O23" t="s">
        <v>1497</v>
      </c>
    </row>
    <row r="24" spans="1:15">
      <c r="A24" t="s">
        <v>45</v>
      </c>
      <c r="B24" t="s">
        <v>642</v>
      </c>
      <c r="C24" t="s">
        <v>980</v>
      </c>
      <c r="D24" t="s">
        <v>981</v>
      </c>
      <c r="E24" t="s">
        <v>982</v>
      </c>
      <c r="F24" t="s">
        <v>991</v>
      </c>
      <c r="G24">
        <v>193641.55</v>
      </c>
      <c r="H24" t="s">
        <v>995</v>
      </c>
      <c r="I24" s="3">
        <f>G24 * J24</f>
        <v>0</v>
      </c>
      <c r="J24" s="3">
        <f>IF(H24="HUF", 1, IFERROR(VLOOKUP(B24&amp;H24, '22_ExchangeRates'!A:E, 5, FALSE), 1))</f>
        <v>0</v>
      </c>
      <c r="O24" t="s">
        <v>1497</v>
      </c>
    </row>
    <row r="25" spans="1:15">
      <c r="A25" t="s">
        <v>46</v>
      </c>
      <c r="B25" t="s">
        <v>643</v>
      </c>
      <c r="C25" t="s">
        <v>978</v>
      </c>
      <c r="D25" t="s">
        <v>981</v>
      </c>
      <c r="E25" t="s">
        <v>982</v>
      </c>
      <c r="G25">
        <v>292</v>
      </c>
      <c r="H25" t="s">
        <v>995</v>
      </c>
      <c r="I25" s="3">
        <f>G25 * J25</f>
        <v>0</v>
      </c>
      <c r="J25" s="3">
        <f>IF(H25="HUF", 1, IFERROR(VLOOKUP(B25&amp;H25, '22_ExchangeRates'!A:E, 5, FALSE), 1))</f>
        <v>0</v>
      </c>
      <c r="K25" t="s">
        <v>1006</v>
      </c>
      <c r="N25" t="s">
        <v>1037</v>
      </c>
      <c r="O25" t="s">
        <v>1497</v>
      </c>
    </row>
    <row r="26" spans="1:15">
      <c r="A26" t="s">
        <v>47</v>
      </c>
      <c r="B26" t="s">
        <v>643</v>
      </c>
      <c r="C26" t="s">
        <v>980</v>
      </c>
      <c r="D26" t="s">
        <v>981</v>
      </c>
      <c r="E26" t="s">
        <v>982</v>
      </c>
      <c r="F26" t="s">
        <v>987</v>
      </c>
      <c r="G26">
        <v>50000</v>
      </c>
      <c r="H26" t="s">
        <v>995</v>
      </c>
      <c r="I26" s="3">
        <f>G26 * J26</f>
        <v>0</v>
      </c>
      <c r="J26" s="3">
        <f>IF(H26="HUF", 1, IFERROR(VLOOKUP(B26&amp;H26, '22_ExchangeRates'!A:E, 5, FALSE), 1))</f>
        <v>0</v>
      </c>
      <c r="O26" t="s">
        <v>1497</v>
      </c>
    </row>
    <row r="27" spans="1:15">
      <c r="A27" t="s">
        <v>48</v>
      </c>
      <c r="B27" t="s">
        <v>644</v>
      </c>
      <c r="C27" t="s">
        <v>978</v>
      </c>
      <c r="D27" t="s">
        <v>981</v>
      </c>
      <c r="E27" t="s">
        <v>983</v>
      </c>
      <c r="G27">
        <v>1900</v>
      </c>
      <c r="H27" t="s">
        <v>995</v>
      </c>
      <c r="I27" s="3">
        <f>G27 * J27</f>
        <v>0</v>
      </c>
      <c r="J27" s="3">
        <f>IF(H27="HUF", 1, IFERROR(VLOOKUP(B27&amp;H27, '22_ExchangeRates'!A:E, 5, FALSE), 1))</f>
        <v>0</v>
      </c>
      <c r="K27" t="s">
        <v>1002</v>
      </c>
      <c r="N27" t="s">
        <v>1038</v>
      </c>
      <c r="O27" t="s">
        <v>1497</v>
      </c>
    </row>
    <row r="28" spans="1:15">
      <c r="A28" t="s">
        <v>49</v>
      </c>
      <c r="B28" t="s">
        <v>645</v>
      </c>
      <c r="C28" t="s">
        <v>978</v>
      </c>
      <c r="D28" t="s">
        <v>981</v>
      </c>
      <c r="E28" t="s">
        <v>983</v>
      </c>
      <c r="G28">
        <v>680</v>
      </c>
      <c r="H28" t="s">
        <v>995</v>
      </c>
      <c r="I28" s="3">
        <f>G28 * J28</f>
        <v>0</v>
      </c>
      <c r="J28" s="3">
        <f>IF(H28="HUF", 1, IFERROR(VLOOKUP(B28&amp;H28, '22_ExchangeRates'!A:E, 5, FALSE), 1))</f>
        <v>0</v>
      </c>
      <c r="K28" t="s">
        <v>1003</v>
      </c>
      <c r="O28" t="s">
        <v>1497</v>
      </c>
    </row>
    <row r="29" spans="1:15">
      <c r="A29" t="s">
        <v>50</v>
      </c>
      <c r="B29" t="s">
        <v>646</v>
      </c>
      <c r="C29" t="s">
        <v>978</v>
      </c>
      <c r="D29" t="s">
        <v>981</v>
      </c>
      <c r="E29" t="s">
        <v>983</v>
      </c>
      <c r="G29">
        <v>1600</v>
      </c>
      <c r="H29" t="s">
        <v>995</v>
      </c>
      <c r="I29" s="3">
        <f>G29 * J29</f>
        <v>0</v>
      </c>
      <c r="J29" s="3">
        <f>IF(H29="HUF", 1, IFERROR(VLOOKUP(B29&amp;H29, '22_ExchangeRates'!A:E, 5, FALSE), 1))</f>
        <v>0</v>
      </c>
      <c r="K29" t="s">
        <v>1002</v>
      </c>
      <c r="N29" t="s">
        <v>1039</v>
      </c>
      <c r="O29" t="s">
        <v>1497</v>
      </c>
    </row>
    <row r="30" spans="1:15">
      <c r="A30" t="s">
        <v>51</v>
      </c>
      <c r="B30" t="s">
        <v>646</v>
      </c>
      <c r="C30" t="s">
        <v>978</v>
      </c>
      <c r="D30" t="s">
        <v>981</v>
      </c>
      <c r="E30" t="s">
        <v>983</v>
      </c>
      <c r="G30">
        <v>850</v>
      </c>
      <c r="H30" t="s">
        <v>995</v>
      </c>
      <c r="I30" s="3">
        <f>G30 * J30</f>
        <v>0</v>
      </c>
      <c r="J30" s="3">
        <f>IF(H30="HUF", 1, IFERROR(VLOOKUP(B30&amp;H30, '22_ExchangeRates'!A:E, 5, FALSE), 1))</f>
        <v>0</v>
      </c>
      <c r="K30" t="s">
        <v>1003</v>
      </c>
      <c r="N30" t="s">
        <v>1040</v>
      </c>
      <c r="O30" t="s">
        <v>1497</v>
      </c>
    </row>
    <row r="31" spans="1:15">
      <c r="A31" t="s">
        <v>52</v>
      </c>
      <c r="B31" t="s">
        <v>646</v>
      </c>
      <c r="C31" t="s">
        <v>978</v>
      </c>
      <c r="D31" t="s">
        <v>981</v>
      </c>
      <c r="E31" t="s">
        <v>983</v>
      </c>
      <c r="G31">
        <v>850</v>
      </c>
      <c r="H31" t="s">
        <v>995</v>
      </c>
      <c r="I31" s="3">
        <f>G31 * J31</f>
        <v>0</v>
      </c>
      <c r="J31" s="3">
        <f>IF(H31="HUF", 1, IFERROR(VLOOKUP(B31&amp;H31, '22_ExchangeRates'!A:E, 5, FALSE), 1))</f>
        <v>0</v>
      </c>
      <c r="K31" t="s">
        <v>1003</v>
      </c>
      <c r="N31" t="s">
        <v>1041</v>
      </c>
      <c r="O31" t="s">
        <v>1497</v>
      </c>
    </row>
    <row r="32" spans="1:15">
      <c r="A32" t="s">
        <v>53</v>
      </c>
      <c r="B32" t="s">
        <v>647</v>
      </c>
      <c r="C32" t="s">
        <v>978</v>
      </c>
      <c r="D32" t="s">
        <v>981</v>
      </c>
      <c r="E32" t="s">
        <v>983</v>
      </c>
      <c r="G32">
        <v>20000</v>
      </c>
      <c r="H32" t="s">
        <v>995</v>
      </c>
      <c r="I32" s="3">
        <f>G32 * J32</f>
        <v>0</v>
      </c>
      <c r="J32" s="3">
        <f>IF(H32="HUF", 1, IFERROR(VLOOKUP(B32&amp;H32, '22_ExchangeRates'!A:E, 5, FALSE), 1))</f>
        <v>0</v>
      </c>
      <c r="K32" t="s">
        <v>1002</v>
      </c>
      <c r="N32" t="s">
        <v>1042</v>
      </c>
      <c r="O32" t="s">
        <v>1497</v>
      </c>
    </row>
    <row r="33" spans="1:15">
      <c r="A33" t="s">
        <v>54</v>
      </c>
      <c r="B33" t="s">
        <v>647</v>
      </c>
      <c r="C33" t="s">
        <v>979</v>
      </c>
      <c r="D33" t="s">
        <v>981</v>
      </c>
      <c r="E33" t="s">
        <v>984</v>
      </c>
      <c r="G33">
        <v>225644</v>
      </c>
      <c r="H33" t="s">
        <v>995</v>
      </c>
      <c r="I33" s="3">
        <f>G33 * J33</f>
        <v>0</v>
      </c>
      <c r="J33" s="3">
        <f>IF(H33="HUF", 1, IFERROR(VLOOKUP(B33&amp;H33, '22_ExchangeRates'!A:E, 5, FALSE), 1))</f>
        <v>0</v>
      </c>
      <c r="K33" t="s">
        <v>1007</v>
      </c>
      <c r="O33" t="s">
        <v>1497</v>
      </c>
    </row>
    <row r="34" spans="1:15">
      <c r="A34" t="s">
        <v>55</v>
      </c>
      <c r="B34" t="s">
        <v>647</v>
      </c>
      <c r="C34" t="s">
        <v>979</v>
      </c>
      <c r="D34" t="s">
        <v>981</v>
      </c>
      <c r="E34" t="s">
        <v>983</v>
      </c>
      <c r="G34">
        <v>20000</v>
      </c>
      <c r="H34" t="s">
        <v>995</v>
      </c>
      <c r="I34" s="3">
        <f>G34 * J34</f>
        <v>0</v>
      </c>
      <c r="J34" s="3">
        <f>IF(H34="HUF", 1, IFERROR(VLOOKUP(B34&amp;H34, '22_ExchangeRates'!A:E, 5, FALSE), 1))</f>
        <v>0</v>
      </c>
      <c r="K34" t="s">
        <v>1000</v>
      </c>
      <c r="N34" t="s">
        <v>1043</v>
      </c>
      <c r="O34" t="s">
        <v>1497</v>
      </c>
    </row>
    <row r="35" spans="1:15">
      <c r="A35" t="s">
        <v>56</v>
      </c>
      <c r="B35" t="s">
        <v>648</v>
      </c>
      <c r="C35" t="s">
        <v>980</v>
      </c>
      <c r="D35" t="s">
        <v>981</v>
      </c>
      <c r="E35" t="s">
        <v>984</v>
      </c>
      <c r="F35" t="s">
        <v>982</v>
      </c>
      <c r="G35">
        <v>225644</v>
      </c>
      <c r="H35" t="s">
        <v>995</v>
      </c>
      <c r="I35" s="3">
        <f>G35 * J35</f>
        <v>0</v>
      </c>
      <c r="J35" s="3">
        <f>IF(H35="HUF", 1, IFERROR(VLOOKUP(B35&amp;H35, '22_ExchangeRates'!A:E, 5, FALSE), 1))</f>
        <v>0</v>
      </c>
      <c r="O35" t="s">
        <v>1497</v>
      </c>
    </row>
    <row r="36" spans="1:15">
      <c r="A36" t="s">
        <v>57</v>
      </c>
      <c r="B36" t="s">
        <v>649</v>
      </c>
      <c r="C36" t="s">
        <v>978</v>
      </c>
      <c r="D36" t="s">
        <v>981</v>
      </c>
      <c r="E36" t="s">
        <v>982</v>
      </c>
      <c r="G36">
        <v>190</v>
      </c>
      <c r="H36" t="s">
        <v>995</v>
      </c>
      <c r="I36" s="3">
        <f>G36 * J36</f>
        <v>0</v>
      </c>
      <c r="J36" s="3">
        <f>IF(H36="HUF", 1, IFERROR(VLOOKUP(B36&amp;H36, '22_ExchangeRates'!A:E, 5, FALSE), 1))</f>
        <v>0</v>
      </c>
      <c r="K36" t="s">
        <v>1001</v>
      </c>
      <c r="N36" t="s">
        <v>1044</v>
      </c>
      <c r="O36" t="s">
        <v>1497</v>
      </c>
    </row>
    <row r="37" spans="1:15">
      <c r="A37" t="s">
        <v>58</v>
      </c>
      <c r="B37" t="s">
        <v>649</v>
      </c>
      <c r="C37" t="s">
        <v>978</v>
      </c>
      <c r="D37" t="s">
        <v>981</v>
      </c>
      <c r="E37" t="s">
        <v>982</v>
      </c>
      <c r="G37">
        <v>1590</v>
      </c>
      <c r="H37" t="s">
        <v>995</v>
      </c>
      <c r="I37" s="3">
        <f>G37 * J37</f>
        <v>0</v>
      </c>
      <c r="J37" s="3">
        <f>IF(H37="HUF", 1, IFERROR(VLOOKUP(B37&amp;H37, '22_ExchangeRates'!A:E, 5, FALSE), 1))</f>
        <v>0</v>
      </c>
      <c r="K37" t="s">
        <v>1003</v>
      </c>
      <c r="N37" t="s">
        <v>1045</v>
      </c>
      <c r="O37" t="s">
        <v>1497</v>
      </c>
    </row>
    <row r="38" spans="1:15">
      <c r="A38" t="s">
        <v>59</v>
      </c>
      <c r="B38" t="s">
        <v>650</v>
      </c>
      <c r="C38" t="s">
        <v>978</v>
      </c>
      <c r="D38" t="s">
        <v>981</v>
      </c>
      <c r="E38" t="s">
        <v>982</v>
      </c>
      <c r="G38">
        <v>1790</v>
      </c>
      <c r="H38" t="s">
        <v>995</v>
      </c>
      <c r="I38" s="3">
        <f>G38 * J38</f>
        <v>0</v>
      </c>
      <c r="J38" s="3">
        <f>IF(H38="HUF", 1, IFERROR(VLOOKUP(B38&amp;H38, '22_ExchangeRates'!A:E, 5, FALSE), 1))</f>
        <v>0</v>
      </c>
      <c r="K38" t="s">
        <v>1003</v>
      </c>
      <c r="N38" t="s">
        <v>1046</v>
      </c>
      <c r="O38" t="s">
        <v>1497</v>
      </c>
    </row>
    <row r="39" spans="1:15">
      <c r="A39" t="s">
        <v>60</v>
      </c>
      <c r="B39" t="s">
        <v>651</v>
      </c>
      <c r="C39" t="s">
        <v>979</v>
      </c>
      <c r="D39" t="s">
        <v>981</v>
      </c>
      <c r="E39" t="s">
        <v>985</v>
      </c>
      <c r="G39">
        <v>10000</v>
      </c>
      <c r="H39" t="s">
        <v>995</v>
      </c>
      <c r="I39" s="3">
        <f>G39 * J39</f>
        <v>0</v>
      </c>
      <c r="J39" s="3">
        <f>IF(H39="HUF", 1, IFERROR(VLOOKUP(B39&amp;H39, '22_ExchangeRates'!A:E, 5, FALSE), 1))</f>
        <v>0</v>
      </c>
      <c r="K39" t="s">
        <v>1000</v>
      </c>
      <c r="N39" t="s">
        <v>1047</v>
      </c>
      <c r="O39" t="s">
        <v>1497</v>
      </c>
    </row>
    <row r="40" spans="1:15">
      <c r="A40" t="s">
        <v>61</v>
      </c>
      <c r="B40" t="s">
        <v>651</v>
      </c>
      <c r="C40" t="s">
        <v>978</v>
      </c>
      <c r="D40" t="s">
        <v>981</v>
      </c>
      <c r="E40" t="s">
        <v>983</v>
      </c>
      <c r="G40">
        <v>26000</v>
      </c>
      <c r="H40" t="s">
        <v>995</v>
      </c>
      <c r="I40" s="3">
        <f>G40 * J40</f>
        <v>0</v>
      </c>
      <c r="J40" s="3">
        <f>IF(H40="HUF", 1, IFERROR(VLOOKUP(B40&amp;H40, '22_ExchangeRates'!A:E, 5, FALSE), 1))</f>
        <v>0</v>
      </c>
      <c r="K40" t="s">
        <v>1002</v>
      </c>
      <c r="N40" t="s">
        <v>1048</v>
      </c>
      <c r="O40" t="s">
        <v>1497</v>
      </c>
    </row>
    <row r="41" spans="1:15">
      <c r="A41" t="s">
        <v>62</v>
      </c>
      <c r="B41" t="s">
        <v>652</v>
      </c>
      <c r="C41" t="s">
        <v>979</v>
      </c>
      <c r="D41" t="s">
        <v>981</v>
      </c>
      <c r="E41" t="s">
        <v>982</v>
      </c>
      <c r="G41">
        <v>160000</v>
      </c>
      <c r="H41" t="s">
        <v>995</v>
      </c>
      <c r="I41" s="3">
        <f>G41 * J41</f>
        <v>0</v>
      </c>
      <c r="J41" s="3">
        <f>IF(H41="HUF", 1, IFERROR(VLOOKUP(B41&amp;H41, '22_ExchangeRates'!A:E, 5, FALSE), 1))</f>
        <v>0</v>
      </c>
      <c r="K41" t="s">
        <v>1008</v>
      </c>
      <c r="N41" t="s">
        <v>1049</v>
      </c>
      <c r="O41" t="s">
        <v>1497</v>
      </c>
    </row>
    <row r="42" spans="1:15">
      <c r="A42" t="s">
        <v>63</v>
      </c>
      <c r="B42" t="s">
        <v>652</v>
      </c>
      <c r="C42" t="s">
        <v>978</v>
      </c>
      <c r="D42" t="s">
        <v>981</v>
      </c>
      <c r="E42" t="s">
        <v>983</v>
      </c>
      <c r="G42">
        <v>3700</v>
      </c>
      <c r="H42" t="s">
        <v>995</v>
      </c>
      <c r="I42" s="3">
        <f>G42 * J42</f>
        <v>0</v>
      </c>
      <c r="J42" s="3">
        <f>IF(H42="HUF", 1, IFERROR(VLOOKUP(B42&amp;H42, '22_ExchangeRates'!A:E, 5, FALSE), 1))</f>
        <v>0</v>
      </c>
      <c r="K42" t="s">
        <v>1002</v>
      </c>
      <c r="N42" t="s">
        <v>1050</v>
      </c>
      <c r="O42" t="s">
        <v>1497</v>
      </c>
    </row>
    <row r="43" spans="1:15">
      <c r="A43" t="s">
        <v>64</v>
      </c>
      <c r="B43" t="s">
        <v>652</v>
      </c>
      <c r="C43" t="s">
        <v>978</v>
      </c>
      <c r="D43" t="s">
        <v>981</v>
      </c>
      <c r="E43" t="s">
        <v>983</v>
      </c>
      <c r="G43">
        <v>1900</v>
      </c>
      <c r="H43" t="s">
        <v>995</v>
      </c>
      <c r="I43" s="3">
        <f>G43 * J43</f>
        <v>0</v>
      </c>
      <c r="J43" s="3">
        <f>IF(H43="HUF", 1, IFERROR(VLOOKUP(B43&amp;H43, '22_ExchangeRates'!A:E, 5, FALSE), 1))</f>
        <v>0</v>
      </c>
      <c r="K43" t="s">
        <v>1003</v>
      </c>
      <c r="N43" t="s">
        <v>1051</v>
      </c>
      <c r="O43" t="s">
        <v>1497</v>
      </c>
    </row>
    <row r="44" spans="1:15">
      <c r="A44" t="s">
        <v>65</v>
      </c>
      <c r="B44" t="s">
        <v>653</v>
      </c>
      <c r="C44" t="s">
        <v>978</v>
      </c>
      <c r="D44" t="s">
        <v>981</v>
      </c>
      <c r="E44" t="s">
        <v>982</v>
      </c>
      <c r="G44">
        <v>190</v>
      </c>
      <c r="H44" t="s">
        <v>995</v>
      </c>
      <c r="I44" s="3">
        <f>G44 * J44</f>
        <v>0</v>
      </c>
      <c r="J44" s="3">
        <f>IF(H44="HUF", 1, IFERROR(VLOOKUP(B44&amp;H44, '22_ExchangeRates'!A:E, 5, FALSE), 1))</f>
        <v>0</v>
      </c>
      <c r="K44" t="s">
        <v>1001</v>
      </c>
      <c r="N44" t="s">
        <v>1033</v>
      </c>
      <c r="O44" t="s">
        <v>1497</v>
      </c>
    </row>
    <row r="45" spans="1:15">
      <c r="A45" t="s">
        <v>66</v>
      </c>
      <c r="B45" t="s">
        <v>654</v>
      </c>
      <c r="C45" t="s">
        <v>979</v>
      </c>
      <c r="D45" t="s">
        <v>981</v>
      </c>
      <c r="E45" t="s">
        <v>982</v>
      </c>
      <c r="G45">
        <v>21900</v>
      </c>
      <c r="H45" t="s">
        <v>995</v>
      </c>
      <c r="I45" s="3">
        <f>G45 * J45</f>
        <v>0</v>
      </c>
      <c r="J45" s="3">
        <f>IF(H45="HUF", 1, IFERROR(VLOOKUP(B45&amp;H45, '22_ExchangeRates'!A:E, 5, FALSE), 1))</f>
        <v>0</v>
      </c>
      <c r="K45" t="s">
        <v>1006</v>
      </c>
      <c r="N45" t="s">
        <v>1052</v>
      </c>
      <c r="O45" t="s">
        <v>1497</v>
      </c>
    </row>
    <row r="46" spans="1:15">
      <c r="A46" t="s">
        <v>67</v>
      </c>
      <c r="B46" t="s">
        <v>654</v>
      </c>
      <c r="C46" t="s">
        <v>979</v>
      </c>
      <c r="D46" t="s">
        <v>981</v>
      </c>
      <c r="E46" t="s">
        <v>983</v>
      </c>
      <c r="G46">
        <v>3800</v>
      </c>
      <c r="H46" t="s">
        <v>995</v>
      </c>
      <c r="I46" s="3">
        <f>G46 * J46</f>
        <v>0</v>
      </c>
      <c r="J46" s="3">
        <f>IF(H46="HUF", 1, IFERROR(VLOOKUP(B46&amp;H46, '22_ExchangeRates'!A:E, 5, FALSE), 1))</f>
        <v>0</v>
      </c>
      <c r="K46" t="s">
        <v>1006</v>
      </c>
      <c r="N46" t="s">
        <v>1053</v>
      </c>
      <c r="O46" t="s">
        <v>1497</v>
      </c>
    </row>
    <row r="47" spans="1:15">
      <c r="A47" t="s">
        <v>68</v>
      </c>
      <c r="B47" t="s">
        <v>655</v>
      </c>
      <c r="C47" t="s">
        <v>978</v>
      </c>
      <c r="D47" t="s">
        <v>981</v>
      </c>
      <c r="E47" t="s">
        <v>983</v>
      </c>
      <c r="G47">
        <v>1400</v>
      </c>
      <c r="H47" t="s">
        <v>995</v>
      </c>
      <c r="I47" s="3">
        <f>G47 * J47</f>
        <v>0</v>
      </c>
      <c r="J47" s="3">
        <f>IF(H47="HUF", 1, IFERROR(VLOOKUP(B47&amp;H47, '22_ExchangeRates'!A:E, 5, FALSE), 1))</f>
        <v>0</v>
      </c>
      <c r="K47" t="s">
        <v>1003</v>
      </c>
      <c r="N47" t="s">
        <v>1054</v>
      </c>
      <c r="O47" t="s">
        <v>1497</v>
      </c>
    </row>
    <row r="48" spans="1:15">
      <c r="A48" t="s">
        <v>69</v>
      </c>
      <c r="B48" t="s">
        <v>656</v>
      </c>
      <c r="C48" t="s">
        <v>978</v>
      </c>
      <c r="D48" t="s">
        <v>981</v>
      </c>
      <c r="E48" t="s">
        <v>982</v>
      </c>
      <c r="G48">
        <v>190</v>
      </c>
      <c r="H48" t="s">
        <v>995</v>
      </c>
      <c r="I48" s="3">
        <f>G48 * J48</f>
        <v>0</v>
      </c>
      <c r="J48" s="3">
        <f>IF(H48="HUF", 1, IFERROR(VLOOKUP(B48&amp;H48, '22_ExchangeRates'!A:E, 5, FALSE), 1))</f>
        <v>0</v>
      </c>
      <c r="K48" t="s">
        <v>1001</v>
      </c>
      <c r="O48" t="s">
        <v>1497</v>
      </c>
    </row>
    <row r="49" spans="1:15">
      <c r="A49" t="s">
        <v>70</v>
      </c>
      <c r="B49" t="s">
        <v>657</v>
      </c>
      <c r="C49" t="s">
        <v>980</v>
      </c>
      <c r="D49" t="s">
        <v>981</v>
      </c>
      <c r="E49" t="s">
        <v>985</v>
      </c>
      <c r="F49" t="s">
        <v>983</v>
      </c>
      <c r="G49">
        <v>10000</v>
      </c>
      <c r="H49" t="s">
        <v>995</v>
      </c>
      <c r="I49" s="3">
        <f>G49 * J49</f>
        <v>0</v>
      </c>
      <c r="J49" s="3">
        <f>IF(H49="HUF", 1, IFERROR(VLOOKUP(B49&amp;H49, '22_ExchangeRates'!A:E, 5, FALSE), 1))</f>
        <v>0</v>
      </c>
      <c r="N49" t="s">
        <v>1055</v>
      </c>
      <c r="O49" t="s">
        <v>1497</v>
      </c>
    </row>
    <row r="50" spans="1:15">
      <c r="A50" t="s">
        <v>71</v>
      </c>
      <c r="B50" t="s">
        <v>658</v>
      </c>
      <c r="C50" t="s">
        <v>978</v>
      </c>
      <c r="D50" t="s">
        <v>981</v>
      </c>
      <c r="E50" t="s">
        <v>982</v>
      </c>
      <c r="G50">
        <v>3680</v>
      </c>
      <c r="H50" t="s">
        <v>995</v>
      </c>
      <c r="I50" s="3">
        <f>G50 * J50</f>
        <v>0</v>
      </c>
      <c r="J50" s="3">
        <f>IF(H50="HUF", 1, IFERROR(VLOOKUP(B50&amp;H50, '22_ExchangeRates'!A:E, 5, FALSE), 1))</f>
        <v>0</v>
      </c>
      <c r="K50" t="s">
        <v>1006</v>
      </c>
      <c r="N50" t="s">
        <v>1056</v>
      </c>
      <c r="O50" t="s">
        <v>1497</v>
      </c>
    </row>
    <row r="51" spans="1:15">
      <c r="A51" t="s">
        <v>72</v>
      </c>
      <c r="B51" t="s">
        <v>659</v>
      </c>
      <c r="C51" t="s">
        <v>978</v>
      </c>
      <c r="D51" t="s">
        <v>981</v>
      </c>
      <c r="E51" t="s">
        <v>983</v>
      </c>
      <c r="G51">
        <v>1400</v>
      </c>
      <c r="H51" t="s">
        <v>995</v>
      </c>
      <c r="I51" s="3">
        <f>G51 * J51</f>
        <v>0</v>
      </c>
      <c r="J51" s="3">
        <f>IF(H51="HUF", 1, IFERROR(VLOOKUP(B51&amp;H51, '22_ExchangeRates'!A:E, 5, FALSE), 1))</f>
        <v>0</v>
      </c>
      <c r="K51" t="s">
        <v>1003</v>
      </c>
      <c r="N51" t="s">
        <v>1057</v>
      </c>
      <c r="O51" t="s">
        <v>1497</v>
      </c>
    </row>
    <row r="52" spans="1:15">
      <c r="A52" t="s">
        <v>73</v>
      </c>
      <c r="B52" t="s">
        <v>660</v>
      </c>
      <c r="C52" t="s">
        <v>978</v>
      </c>
      <c r="D52" t="s">
        <v>981</v>
      </c>
      <c r="E52" t="s">
        <v>982</v>
      </c>
      <c r="G52">
        <v>190</v>
      </c>
      <c r="H52" t="s">
        <v>995</v>
      </c>
      <c r="I52" s="3">
        <f>G52 * J52</f>
        <v>0</v>
      </c>
      <c r="J52" s="3">
        <f>IF(H52="HUF", 1, IFERROR(VLOOKUP(B52&amp;H52, '22_ExchangeRates'!A:E, 5, FALSE), 1))</f>
        <v>0</v>
      </c>
      <c r="K52" t="s">
        <v>1001</v>
      </c>
      <c r="O52" t="s">
        <v>1497</v>
      </c>
    </row>
    <row r="53" spans="1:15">
      <c r="A53" t="s">
        <v>74</v>
      </c>
      <c r="B53" t="s">
        <v>661</v>
      </c>
      <c r="C53" t="s">
        <v>979</v>
      </c>
      <c r="D53" t="s">
        <v>981</v>
      </c>
      <c r="E53" t="s">
        <v>983</v>
      </c>
      <c r="G53">
        <v>40000</v>
      </c>
      <c r="H53" t="s">
        <v>995</v>
      </c>
      <c r="I53" s="3">
        <f>G53 * J53</f>
        <v>0</v>
      </c>
      <c r="J53" s="3">
        <f>IF(H53="HUF", 1, IFERROR(VLOOKUP(B53&amp;H53, '22_ExchangeRates'!A:E, 5, FALSE), 1))</f>
        <v>0</v>
      </c>
      <c r="K53" t="s">
        <v>1000</v>
      </c>
      <c r="N53" t="s">
        <v>1058</v>
      </c>
      <c r="O53" t="s">
        <v>1497</v>
      </c>
    </row>
    <row r="54" spans="1:15">
      <c r="A54" t="s">
        <v>75</v>
      </c>
      <c r="B54" t="s">
        <v>661</v>
      </c>
      <c r="C54" t="s">
        <v>979</v>
      </c>
      <c r="D54" t="s">
        <v>981</v>
      </c>
      <c r="E54" t="s">
        <v>983</v>
      </c>
      <c r="G54">
        <v>30000</v>
      </c>
      <c r="H54" t="s">
        <v>995</v>
      </c>
      <c r="I54" s="3">
        <f>G54 * J54</f>
        <v>0</v>
      </c>
      <c r="J54" s="3">
        <f>IF(H54="HUF", 1, IFERROR(VLOOKUP(B54&amp;H54, '22_ExchangeRates'!A:E, 5, FALSE), 1))</f>
        <v>0</v>
      </c>
      <c r="K54" t="s">
        <v>1000</v>
      </c>
      <c r="N54" t="s">
        <v>1059</v>
      </c>
      <c r="O54" t="s">
        <v>1497</v>
      </c>
    </row>
    <row r="55" spans="1:15">
      <c r="A55" t="s">
        <v>76</v>
      </c>
      <c r="B55" t="s">
        <v>662</v>
      </c>
      <c r="C55" t="s">
        <v>978</v>
      </c>
      <c r="D55" t="s">
        <v>981</v>
      </c>
      <c r="E55" t="s">
        <v>983</v>
      </c>
      <c r="G55">
        <v>1900</v>
      </c>
      <c r="H55" t="s">
        <v>995</v>
      </c>
      <c r="I55" s="3">
        <f>G55 * J55</f>
        <v>0</v>
      </c>
      <c r="J55" s="3">
        <f>IF(H55="HUF", 1, IFERROR(VLOOKUP(B55&amp;H55, '22_ExchangeRates'!A:E, 5, FALSE), 1))</f>
        <v>0</v>
      </c>
      <c r="K55" t="s">
        <v>1005</v>
      </c>
      <c r="N55" t="s">
        <v>1060</v>
      </c>
      <c r="O55" t="s">
        <v>1497</v>
      </c>
    </row>
    <row r="56" spans="1:15">
      <c r="A56" t="s">
        <v>77</v>
      </c>
      <c r="B56" t="s">
        <v>663</v>
      </c>
      <c r="C56" t="s">
        <v>978</v>
      </c>
      <c r="D56" t="s">
        <v>981</v>
      </c>
      <c r="E56" t="s">
        <v>983</v>
      </c>
      <c r="G56">
        <v>1900</v>
      </c>
      <c r="H56" t="s">
        <v>995</v>
      </c>
      <c r="I56" s="3">
        <f>G56 * J56</f>
        <v>0</v>
      </c>
      <c r="J56" s="3">
        <f>IF(H56="HUF", 1, IFERROR(VLOOKUP(B56&amp;H56, '22_ExchangeRates'!A:E, 5, FALSE), 1))</f>
        <v>0</v>
      </c>
      <c r="K56" t="s">
        <v>1002</v>
      </c>
      <c r="N56" t="s">
        <v>1061</v>
      </c>
      <c r="O56" t="s">
        <v>1497</v>
      </c>
    </row>
    <row r="57" spans="1:15">
      <c r="A57" t="s">
        <v>78</v>
      </c>
      <c r="B57" t="s">
        <v>664</v>
      </c>
      <c r="C57" t="s">
        <v>979</v>
      </c>
      <c r="D57" t="s">
        <v>981</v>
      </c>
      <c r="E57" t="s">
        <v>982</v>
      </c>
      <c r="G57">
        <v>8900</v>
      </c>
      <c r="H57" t="s">
        <v>995</v>
      </c>
      <c r="I57" s="3">
        <f>G57 * J57</f>
        <v>0</v>
      </c>
      <c r="J57" s="3">
        <f>IF(H57="HUF", 1, IFERROR(VLOOKUP(B57&amp;H57, '22_ExchangeRates'!A:E, 5, FALSE), 1))</f>
        <v>0</v>
      </c>
      <c r="K57" t="s">
        <v>1004</v>
      </c>
      <c r="N57" t="s">
        <v>1062</v>
      </c>
      <c r="O57" t="s">
        <v>1497</v>
      </c>
    </row>
    <row r="58" spans="1:15">
      <c r="A58" t="s">
        <v>79</v>
      </c>
      <c r="B58" t="s">
        <v>665</v>
      </c>
      <c r="C58" t="s">
        <v>979</v>
      </c>
      <c r="D58" t="s">
        <v>981</v>
      </c>
      <c r="E58" t="s">
        <v>982</v>
      </c>
      <c r="G58">
        <v>80000</v>
      </c>
      <c r="H58" t="s">
        <v>995</v>
      </c>
      <c r="I58" s="3">
        <f>G58 * J58</f>
        <v>0</v>
      </c>
      <c r="J58" s="3">
        <f>IF(H58="HUF", 1, IFERROR(VLOOKUP(B58&amp;H58, '22_ExchangeRates'!A:E, 5, FALSE), 1))</f>
        <v>0</v>
      </c>
      <c r="K58" t="s">
        <v>1008</v>
      </c>
      <c r="O58" t="s">
        <v>1497</v>
      </c>
    </row>
    <row r="59" spans="1:15">
      <c r="A59" t="s">
        <v>80</v>
      </c>
      <c r="B59" t="s">
        <v>666</v>
      </c>
      <c r="C59" t="s">
        <v>978</v>
      </c>
      <c r="D59" t="s">
        <v>981</v>
      </c>
      <c r="E59" t="s">
        <v>983</v>
      </c>
      <c r="G59">
        <v>2000</v>
      </c>
      <c r="H59" t="s">
        <v>995</v>
      </c>
      <c r="I59" s="3">
        <f>G59 * J59</f>
        <v>0</v>
      </c>
      <c r="J59" s="3">
        <f>IF(H59="HUF", 1, IFERROR(VLOOKUP(B59&amp;H59, '22_ExchangeRates'!A:E, 5, FALSE), 1))</f>
        <v>0</v>
      </c>
      <c r="K59" t="s">
        <v>1003</v>
      </c>
      <c r="N59" t="s">
        <v>1063</v>
      </c>
      <c r="O59" t="s">
        <v>1497</v>
      </c>
    </row>
    <row r="60" spans="1:15">
      <c r="A60" t="s">
        <v>81</v>
      </c>
      <c r="B60" t="s">
        <v>666</v>
      </c>
      <c r="C60" t="s">
        <v>978</v>
      </c>
      <c r="D60" t="s">
        <v>981</v>
      </c>
      <c r="E60" t="s">
        <v>982</v>
      </c>
      <c r="G60">
        <v>220</v>
      </c>
      <c r="H60" t="s">
        <v>995</v>
      </c>
      <c r="I60" s="3">
        <f>G60 * J60</f>
        <v>0</v>
      </c>
      <c r="J60" s="3">
        <f>IF(H60="HUF", 1, IFERROR(VLOOKUP(B60&amp;H60, '22_ExchangeRates'!A:E, 5, FALSE), 1))</f>
        <v>0</v>
      </c>
      <c r="K60" t="s">
        <v>1001</v>
      </c>
      <c r="O60" t="s">
        <v>1497</v>
      </c>
    </row>
    <row r="61" spans="1:15">
      <c r="A61" t="s">
        <v>82</v>
      </c>
      <c r="B61" t="s">
        <v>666</v>
      </c>
      <c r="C61" t="s">
        <v>978</v>
      </c>
      <c r="D61" t="s">
        <v>981</v>
      </c>
      <c r="E61" t="s">
        <v>982</v>
      </c>
      <c r="G61">
        <v>1350</v>
      </c>
      <c r="H61" t="s">
        <v>995</v>
      </c>
      <c r="I61" s="3">
        <f>G61 * J61</f>
        <v>0</v>
      </c>
      <c r="J61" s="3">
        <f>IF(H61="HUF", 1, IFERROR(VLOOKUP(B61&amp;H61, '22_ExchangeRates'!A:E, 5, FALSE), 1))</f>
        <v>0</v>
      </c>
      <c r="K61" t="s">
        <v>1002</v>
      </c>
      <c r="N61" t="s">
        <v>1064</v>
      </c>
      <c r="O61" t="s">
        <v>1497</v>
      </c>
    </row>
    <row r="62" spans="1:15">
      <c r="A62" t="s">
        <v>83</v>
      </c>
      <c r="B62" t="s">
        <v>667</v>
      </c>
      <c r="C62" t="s">
        <v>978</v>
      </c>
      <c r="D62" t="s">
        <v>981</v>
      </c>
      <c r="E62" t="s">
        <v>982</v>
      </c>
      <c r="G62">
        <v>1615</v>
      </c>
      <c r="H62" t="s">
        <v>995</v>
      </c>
      <c r="I62" s="3">
        <f>G62 * J62</f>
        <v>0</v>
      </c>
      <c r="J62" s="3">
        <f>IF(H62="HUF", 1, IFERROR(VLOOKUP(B62&amp;H62, '22_ExchangeRates'!A:E, 5, FALSE), 1))</f>
        <v>0</v>
      </c>
      <c r="K62" t="s">
        <v>1002</v>
      </c>
      <c r="N62" t="s">
        <v>1065</v>
      </c>
      <c r="O62" t="s">
        <v>1497</v>
      </c>
    </row>
    <row r="63" spans="1:15">
      <c r="A63" t="s">
        <v>84</v>
      </c>
      <c r="B63" t="s">
        <v>668</v>
      </c>
      <c r="C63" t="s">
        <v>978</v>
      </c>
      <c r="D63" t="s">
        <v>981</v>
      </c>
      <c r="E63" t="s">
        <v>983</v>
      </c>
      <c r="G63">
        <v>1000</v>
      </c>
      <c r="H63" t="s">
        <v>995</v>
      </c>
      <c r="I63" s="3">
        <f>G63 * J63</f>
        <v>0</v>
      </c>
      <c r="J63" s="3">
        <f>IF(H63="HUF", 1, IFERROR(VLOOKUP(B63&amp;H63, '22_ExchangeRates'!A:E, 5, FALSE), 1))</f>
        <v>0</v>
      </c>
      <c r="K63" t="s">
        <v>1003</v>
      </c>
      <c r="N63" t="s">
        <v>1066</v>
      </c>
      <c r="O63" t="s">
        <v>1497</v>
      </c>
    </row>
    <row r="64" spans="1:15">
      <c r="A64" t="s">
        <v>85</v>
      </c>
      <c r="B64" t="s">
        <v>668</v>
      </c>
      <c r="C64" t="s">
        <v>978</v>
      </c>
      <c r="D64" t="s">
        <v>981</v>
      </c>
      <c r="E64" t="s">
        <v>983</v>
      </c>
      <c r="G64">
        <v>1470</v>
      </c>
      <c r="H64" t="s">
        <v>995</v>
      </c>
      <c r="I64" s="3">
        <f>G64 * J64</f>
        <v>0</v>
      </c>
      <c r="J64" s="3">
        <f>IF(H64="HUF", 1, IFERROR(VLOOKUP(B64&amp;H64, '22_ExchangeRates'!A:E, 5, FALSE), 1))</f>
        <v>0</v>
      </c>
      <c r="K64" t="s">
        <v>1003</v>
      </c>
      <c r="N64" t="s">
        <v>1067</v>
      </c>
      <c r="O64" t="s">
        <v>1497</v>
      </c>
    </row>
    <row r="65" spans="1:15">
      <c r="A65" t="s">
        <v>86</v>
      </c>
      <c r="B65" t="s">
        <v>668</v>
      </c>
      <c r="C65" t="s">
        <v>978</v>
      </c>
      <c r="D65" t="s">
        <v>981</v>
      </c>
      <c r="E65" t="s">
        <v>982</v>
      </c>
      <c r="G65">
        <v>2570</v>
      </c>
      <c r="H65" t="s">
        <v>995</v>
      </c>
      <c r="I65" s="3">
        <f>G65 * J65</f>
        <v>0</v>
      </c>
      <c r="J65" s="3">
        <f>IF(H65="HUF", 1, IFERROR(VLOOKUP(B65&amp;H65, '22_ExchangeRates'!A:E, 5, FALSE), 1))</f>
        <v>0</v>
      </c>
      <c r="K65" t="s">
        <v>1003</v>
      </c>
      <c r="N65" t="s">
        <v>1068</v>
      </c>
      <c r="O65" t="s">
        <v>1497</v>
      </c>
    </row>
    <row r="66" spans="1:15">
      <c r="A66" t="s">
        <v>87</v>
      </c>
      <c r="B66" t="s">
        <v>668</v>
      </c>
      <c r="C66" t="s">
        <v>978</v>
      </c>
      <c r="D66" t="s">
        <v>981</v>
      </c>
      <c r="E66" t="s">
        <v>983</v>
      </c>
      <c r="G66">
        <v>800</v>
      </c>
      <c r="H66" t="s">
        <v>995</v>
      </c>
      <c r="I66" s="3">
        <f>G66 * J66</f>
        <v>0</v>
      </c>
      <c r="J66" s="3">
        <f>IF(H66="HUF", 1, IFERROR(VLOOKUP(B66&amp;H66, '22_ExchangeRates'!A:E, 5, FALSE), 1))</f>
        <v>0</v>
      </c>
      <c r="K66" t="s">
        <v>1003</v>
      </c>
      <c r="N66" t="s">
        <v>1069</v>
      </c>
      <c r="O66" t="s">
        <v>1497</v>
      </c>
    </row>
    <row r="67" spans="1:15">
      <c r="A67" t="s">
        <v>88</v>
      </c>
      <c r="B67" t="s">
        <v>668</v>
      </c>
      <c r="C67" t="s">
        <v>978</v>
      </c>
      <c r="D67" t="s">
        <v>981</v>
      </c>
      <c r="E67" t="s">
        <v>983</v>
      </c>
      <c r="G67">
        <v>1040</v>
      </c>
      <c r="H67" t="s">
        <v>995</v>
      </c>
      <c r="I67" s="3">
        <f>G67 * J67</f>
        <v>0</v>
      </c>
      <c r="J67" s="3">
        <f>IF(H67="HUF", 1, IFERROR(VLOOKUP(B67&amp;H67, '22_ExchangeRates'!A:E, 5, FALSE), 1))</f>
        <v>0</v>
      </c>
      <c r="K67" t="s">
        <v>1003</v>
      </c>
      <c r="N67" t="s">
        <v>1070</v>
      </c>
      <c r="O67" t="s">
        <v>1497</v>
      </c>
    </row>
    <row r="68" spans="1:15">
      <c r="A68" t="s">
        <v>89</v>
      </c>
      <c r="B68" t="s">
        <v>669</v>
      </c>
      <c r="C68" t="s">
        <v>978</v>
      </c>
      <c r="D68" t="s">
        <v>981</v>
      </c>
      <c r="E68" t="s">
        <v>983</v>
      </c>
      <c r="G68">
        <v>2900</v>
      </c>
      <c r="H68" t="s">
        <v>995</v>
      </c>
      <c r="I68" s="3">
        <f>G68 * J68</f>
        <v>0</v>
      </c>
      <c r="J68" s="3">
        <f>IF(H68="HUF", 1, IFERROR(VLOOKUP(B68&amp;H68, '22_ExchangeRates'!A:E, 5, FALSE), 1))</f>
        <v>0</v>
      </c>
      <c r="K68" t="s">
        <v>1003</v>
      </c>
      <c r="N68" t="s">
        <v>1071</v>
      </c>
      <c r="O68" t="s">
        <v>1497</v>
      </c>
    </row>
    <row r="69" spans="1:15">
      <c r="A69" t="s">
        <v>90</v>
      </c>
      <c r="B69" t="s">
        <v>669</v>
      </c>
      <c r="C69" t="s">
        <v>978</v>
      </c>
      <c r="D69" t="s">
        <v>981</v>
      </c>
      <c r="E69" t="s">
        <v>983</v>
      </c>
      <c r="G69">
        <v>1850</v>
      </c>
      <c r="H69" t="s">
        <v>995</v>
      </c>
      <c r="I69" s="3">
        <f>G69 * J69</f>
        <v>0</v>
      </c>
      <c r="J69" s="3">
        <f>IF(H69="HUF", 1, IFERROR(VLOOKUP(B69&amp;H69, '22_ExchangeRates'!A:E, 5, FALSE), 1))</f>
        <v>0</v>
      </c>
      <c r="K69" t="s">
        <v>1002</v>
      </c>
      <c r="N69" t="s">
        <v>1072</v>
      </c>
      <c r="O69" t="s">
        <v>1497</v>
      </c>
    </row>
    <row r="70" spans="1:15">
      <c r="A70" t="s">
        <v>91</v>
      </c>
      <c r="B70" t="s">
        <v>670</v>
      </c>
      <c r="C70" t="s">
        <v>978</v>
      </c>
      <c r="D70" t="s">
        <v>981</v>
      </c>
      <c r="E70" t="s">
        <v>982</v>
      </c>
      <c r="G70">
        <v>900</v>
      </c>
      <c r="H70" t="s">
        <v>995</v>
      </c>
      <c r="I70" s="3">
        <f>G70 * J70</f>
        <v>0</v>
      </c>
      <c r="J70" s="3">
        <f>IF(H70="HUF", 1, IFERROR(VLOOKUP(B70&amp;H70, '22_ExchangeRates'!A:E, 5, FALSE), 1))</f>
        <v>0</v>
      </c>
      <c r="K70" t="s">
        <v>1002</v>
      </c>
      <c r="N70" t="s">
        <v>1073</v>
      </c>
      <c r="O70" t="s">
        <v>1497</v>
      </c>
    </row>
    <row r="71" spans="1:15">
      <c r="A71" t="s">
        <v>92</v>
      </c>
      <c r="B71" t="s">
        <v>671</v>
      </c>
      <c r="C71" t="s">
        <v>978</v>
      </c>
      <c r="D71" t="s">
        <v>981</v>
      </c>
      <c r="E71" t="s">
        <v>982</v>
      </c>
      <c r="G71">
        <v>9460</v>
      </c>
      <c r="H71" t="s">
        <v>995</v>
      </c>
      <c r="I71" s="3">
        <f>G71 * J71</f>
        <v>0</v>
      </c>
      <c r="J71" s="3">
        <f>IF(H71="HUF", 1, IFERROR(VLOOKUP(B71&amp;H71, '22_ExchangeRates'!A:E, 5, FALSE), 1))</f>
        <v>0</v>
      </c>
      <c r="K71" t="s">
        <v>1000</v>
      </c>
      <c r="N71" t="s">
        <v>1074</v>
      </c>
      <c r="O71" t="s">
        <v>1497</v>
      </c>
    </row>
    <row r="72" spans="1:15">
      <c r="A72" t="s">
        <v>93</v>
      </c>
      <c r="B72" t="s">
        <v>672</v>
      </c>
      <c r="C72" t="s">
        <v>979</v>
      </c>
      <c r="D72" t="s">
        <v>981</v>
      </c>
      <c r="E72" t="s">
        <v>982</v>
      </c>
      <c r="G72">
        <v>80000</v>
      </c>
      <c r="H72" t="s">
        <v>995</v>
      </c>
      <c r="I72" s="3">
        <f>G72 * J72</f>
        <v>0</v>
      </c>
      <c r="J72" s="3">
        <f>IF(H72="HUF", 1, IFERROR(VLOOKUP(B72&amp;H72, '22_ExchangeRates'!A:E, 5, FALSE), 1))</f>
        <v>0</v>
      </c>
      <c r="K72" t="s">
        <v>1008</v>
      </c>
      <c r="O72" t="s">
        <v>1497</v>
      </c>
    </row>
    <row r="73" spans="1:15">
      <c r="A73" t="s">
        <v>94</v>
      </c>
      <c r="B73" t="s">
        <v>673</v>
      </c>
      <c r="C73" t="s">
        <v>978</v>
      </c>
      <c r="D73" t="s">
        <v>981</v>
      </c>
      <c r="E73" t="s">
        <v>982</v>
      </c>
      <c r="G73">
        <v>330</v>
      </c>
      <c r="H73" t="s">
        <v>995</v>
      </c>
      <c r="I73" s="3">
        <f>G73 * J73</f>
        <v>0</v>
      </c>
      <c r="J73" s="3">
        <f>IF(H73="HUF", 1, IFERROR(VLOOKUP(B73&amp;H73, '22_ExchangeRates'!A:E, 5, FALSE), 1))</f>
        <v>0</v>
      </c>
      <c r="K73" t="s">
        <v>1002</v>
      </c>
      <c r="N73" t="s">
        <v>1075</v>
      </c>
      <c r="O73" t="s">
        <v>1497</v>
      </c>
    </row>
    <row r="74" spans="1:15">
      <c r="A74" t="s">
        <v>95</v>
      </c>
      <c r="B74" t="s">
        <v>674</v>
      </c>
      <c r="C74" t="s">
        <v>978</v>
      </c>
      <c r="D74" t="s">
        <v>981</v>
      </c>
      <c r="E74" t="s">
        <v>983</v>
      </c>
      <c r="G74">
        <v>1600</v>
      </c>
      <c r="H74" t="s">
        <v>995</v>
      </c>
      <c r="I74" s="3">
        <f>G74 * J74</f>
        <v>0</v>
      </c>
      <c r="J74" s="3">
        <f>IF(H74="HUF", 1, IFERROR(VLOOKUP(B74&amp;H74, '22_ExchangeRates'!A:E, 5, FALSE), 1))</f>
        <v>0</v>
      </c>
      <c r="K74" t="s">
        <v>1003</v>
      </c>
      <c r="N74" t="s">
        <v>1076</v>
      </c>
      <c r="O74" t="s">
        <v>1497</v>
      </c>
    </row>
    <row r="75" spans="1:15">
      <c r="A75" t="s">
        <v>96</v>
      </c>
      <c r="B75" t="s">
        <v>675</v>
      </c>
      <c r="C75" t="s">
        <v>978</v>
      </c>
      <c r="D75" t="s">
        <v>981</v>
      </c>
      <c r="E75" t="s">
        <v>983</v>
      </c>
      <c r="G75">
        <v>720</v>
      </c>
      <c r="H75" t="s">
        <v>995</v>
      </c>
      <c r="I75" s="3">
        <f>G75 * J75</f>
        <v>0</v>
      </c>
      <c r="J75" s="3">
        <f>IF(H75="HUF", 1, IFERROR(VLOOKUP(B75&amp;H75, '22_ExchangeRates'!A:E, 5, FALSE), 1))</f>
        <v>0</v>
      </c>
      <c r="K75" t="s">
        <v>1002</v>
      </c>
      <c r="N75" t="s">
        <v>1077</v>
      </c>
      <c r="O75" t="s">
        <v>1497</v>
      </c>
    </row>
    <row r="76" spans="1:15">
      <c r="A76" t="s">
        <v>97</v>
      </c>
      <c r="B76" t="s">
        <v>675</v>
      </c>
      <c r="C76" t="s">
        <v>978</v>
      </c>
      <c r="D76" t="s">
        <v>981</v>
      </c>
      <c r="E76" t="s">
        <v>983</v>
      </c>
      <c r="G76">
        <v>2000</v>
      </c>
      <c r="H76" t="s">
        <v>995</v>
      </c>
      <c r="I76" s="3">
        <f>G76 * J76</f>
        <v>0</v>
      </c>
      <c r="J76" s="3">
        <f>IF(H76="HUF", 1, IFERROR(VLOOKUP(B76&amp;H76, '22_ExchangeRates'!A:E, 5, FALSE), 1))</f>
        <v>0</v>
      </c>
      <c r="K76" t="s">
        <v>1000</v>
      </c>
      <c r="N76" t="s">
        <v>1078</v>
      </c>
      <c r="O76" t="s">
        <v>1497</v>
      </c>
    </row>
    <row r="77" spans="1:15">
      <c r="A77" t="s">
        <v>98</v>
      </c>
      <c r="B77" t="s">
        <v>675</v>
      </c>
      <c r="C77" t="s">
        <v>978</v>
      </c>
      <c r="D77" t="s">
        <v>981</v>
      </c>
      <c r="E77" t="s">
        <v>983</v>
      </c>
      <c r="G77">
        <v>1900</v>
      </c>
      <c r="H77" t="s">
        <v>995</v>
      </c>
      <c r="I77" s="3">
        <f>G77 * J77</f>
        <v>0</v>
      </c>
      <c r="J77" s="3">
        <f>IF(H77="HUF", 1, IFERROR(VLOOKUP(B77&amp;H77, '22_ExchangeRates'!A:E, 5, FALSE), 1))</f>
        <v>0</v>
      </c>
      <c r="K77" t="s">
        <v>1002</v>
      </c>
      <c r="N77" t="s">
        <v>1079</v>
      </c>
      <c r="O77" t="s">
        <v>1497</v>
      </c>
    </row>
    <row r="78" spans="1:15">
      <c r="A78" t="s">
        <v>99</v>
      </c>
      <c r="B78" t="s">
        <v>675</v>
      </c>
      <c r="C78" t="s">
        <v>978</v>
      </c>
      <c r="D78" t="s">
        <v>981</v>
      </c>
      <c r="E78" t="s">
        <v>983</v>
      </c>
      <c r="G78">
        <v>6000</v>
      </c>
      <c r="H78" t="s">
        <v>995</v>
      </c>
      <c r="I78" s="3">
        <f>G78 * J78</f>
        <v>0</v>
      </c>
      <c r="J78" s="3">
        <f>IF(H78="HUF", 1, IFERROR(VLOOKUP(B78&amp;H78, '22_ExchangeRates'!A:E, 5, FALSE), 1))</f>
        <v>0</v>
      </c>
      <c r="K78" t="s">
        <v>1003</v>
      </c>
      <c r="N78" t="s">
        <v>1080</v>
      </c>
      <c r="O78" t="s">
        <v>1497</v>
      </c>
    </row>
    <row r="79" spans="1:15">
      <c r="A79" t="s">
        <v>100</v>
      </c>
      <c r="B79" t="s">
        <v>675</v>
      </c>
      <c r="C79" t="s">
        <v>978</v>
      </c>
      <c r="D79" t="s">
        <v>981</v>
      </c>
      <c r="E79" t="s">
        <v>983</v>
      </c>
      <c r="G79">
        <v>6000</v>
      </c>
      <c r="H79" t="s">
        <v>995</v>
      </c>
      <c r="I79" s="3">
        <f>G79 * J79</f>
        <v>0</v>
      </c>
      <c r="J79" s="3">
        <f>IF(H79="HUF", 1, IFERROR(VLOOKUP(B79&amp;H79, '22_ExchangeRates'!A:E, 5, FALSE), 1))</f>
        <v>0</v>
      </c>
      <c r="K79" t="s">
        <v>1000</v>
      </c>
      <c r="N79" t="s">
        <v>1081</v>
      </c>
      <c r="O79" t="s">
        <v>1497</v>
      </c>
    </row>
    <row r="80" spans="1:15">
      <c r="A80" t="s">
        <v>101</v>
      </c>
      <c r="B80" t="s">
        <v>676</v>
      </c>
      <c r="C80" t="s">
        <v>978</v>
      </c>
      <c r="D80" t="s">
        <v>981</v>
      </c>
      <c r="E80" t="s">
        <v>982</v>
      </c>
      <c r="G80">
        <v>8500</v>
      </c>
      <c r="H80" t="s">
        <v>995</v>
      </c>
      <c r="I80" s="3">
        <f>G80 * J80</f>
        <v>0</v>
      </c>
      <c r="J80" s="3">
        <f>IF(H80="HUF", 1, IFERROR(VLOOKUP(B80&amp;H80, '22_ExchangeRates'!A:E, 5, FALSE), 1))</f>
        <v>0</v>
      </c>
      <c r="K80" t="s">
        <v>1003</v>
      </c>
      <c r="N80" t="s">
        <v>1082</v>
      </c>
      <c r="O80" t="s">
        <v>1497</v>
      </c>
    </row>
    <row r="81" spans="1:15">
      <c r="A81" t="s">
        <v>102</v>
      </c>
      <c r="B81" t="s">
        <v>677</v>
      </c>
      <c r="C81" t="s">
        <v>978</v>
      </c>
      <c r="D81" t="s">
        <v>981</v>
      </c>
      <c r="E81" t="s">
        <v>982</v>
      </c>
      <c r="G81">
        <v>3100</v>
      </c>
      <c r="H81" t="s">
        <v>995</v>
      </c>
      <c r="I81" s="3">
        <f>G81 * J81</f>
        <v>0</v>
      </c>
      <c r="J81" s="3">
        <f>IF(H81="HUF", 1, IFERROR(VLOOKUP(B81&amp;H81, '22_ExchangeRates'!A:E, 5, FALSE), 1))</f>
        <v>0</v>
      </c>
      <c r="K81" t="s">
        <v>1003</v>
      </c>
      <c r="N81" t="s">
        <v>1083</v>
      </c>
      <c r="O81" t="s">
        <v>1497</v>
      </c>
    </row>
    <row r="82" spans="1:15">
      <c r="A82" t="s">
        <v>103</v>
      </c>
      <c r="B82" t="s">
        <v>677</v>
      </c>
      <c r="C82" t="s">
        <v>978</v>
      </c>
      <c r="D82" t="s">
        <v>981</v>
      </c>
      <c r="E82" t="s">
        <v>982</v>
      </c>
      <c r="G82">
        <v>3000</v>
      </c>
      <c r="H82" t="s">
        <v>995</v>
      </c>
      <c r="I82" s="3">
        <f>G82 * J82</f>
        <v>0</v>
      </c>
      <c r="J82" s="3">
        <f>IF(H82="HUF", 1, IFERROR(VLOOKUP(B82&amp;H82, '22_ExchangeRates'!A:E, 5, FALSE), 1))</f>
        <v>0</v>
      </c>
      <c r="K82" t="s">
        <v>1002</v>
      </c>
      <c r="N82" t="s">
        <v>1084</v>
      </c>
      <c r="O82" t="s">
        <v>1497</v>
      </c>
    </row>
    <row r="83" spans="1:15">
      <c r="A83" t="s">
        <v>104</v>
      </c>
      <c r="B83" t="s">
        <v>678</v>
      </c>
      <c r="C83" t="s">
        <v>979</v>
      </c>
      <c r="D83" t="s">
        <v>981</v>
      </c>
      <c r="E83" t="s">
        <v>982</v>
      </c>
      <c r="G83">
        <v>11900</v>
      </c>
      <c r="H83" t="s">
        <v>995</v>
      </c>
      <c r="I83" s="3">
        <f>G83 * J83</f>
        <v>0</v>
      </c>
      <c r="J83" s="3">
        <f>IF(H83="HUF", 1, IFERROR(VLOOKUP(B83&amp;H83, '22_ExchangeRates'!A:E, 5, FALSE), 1))</f>
        <v>0</v>
      </c>
      <c r="K83" t="s">
        <v>1004</v>
      </c>
      <c r="N83" t="s">
        <v>1085</v>
      </c>
      <c r="O83" t="s">
        <v>1497</v>
      </c>
    </row>
    <row r="84" spans="1:15">
      <c r="A84" t="s">
        <v>105</v>
      </c>
      <c r="B84" t="s">
        <v>679</v>
      </c>
      <c r="C84" t="s">
        <v>978</v>
      </c>
      <c r="D84" t="s">
        <v>981</v>
      </c>
      <c r="E84" t="s">
        <v>982</v>
      </c>
      <c r="G84">
        <v>1300</v>
      </c>
      <c r="H84" t="s">
        <v>995</v>
      </c>
      <c r="I84" s="3">
        <f>G84 * J84</f>
        <v>0</v>
      </c>
      <c r="J84" s="3">
        <f>IF(H84="HUF", 1, IFERROR(VLOOKUP(B84&amp;H84, '22_ExchangeRates'!A:E, 5, FALSE), 1))</f>
        <v>0</v>
      </c>
      <c r="K84" t="s">
        <v>1003</v>
      </c>
      <c r="N84" t="s">
        <v>1086</v>
      </c>
      <c r="O84" t="s">
        <v>1497</v>
      </c>
    </row>
    <row r="85" spans="1:15">
      <c r="A85" t="s">
        <v>106</v>
      </c>
      <c r="B85" t="s">
        <v>680</v>
      </c>
      <c r="C85" t="s">
        <v>978</v>
      </c>
      <c r="D85" t="s">
        <v>981</v>
      </c>
      <c r="E85" t="s">
        <v>982</v>
      </c>
      <c r="G85">
        <v>31197</v>
      </c>
      <c r="H85" t="s">
        <v>995</v>
      </c>
      <c r="I85" s="3">
        <f>G85 * J85</f>
        <v>0</v>
      </c>
      <c r="J85" s="3">
        <f>IF(H85="HUF", 1, IFERROR(VLOOKUP(B85&amp;H85, '22_ExchangeRates'!A:E, 5, FALSE), 1))</f>
        <v>0</v>
      </c>
      <c r="K85" t="s">
        <v>1003</v>
      </c>
      <c r="N85" t="s">
        <v>1087</v>
      </c>
      <c r="O85" t="s">
        <v>1497</v>
      </c>
    </row>
    <row r="86" spans="1:15">
      <c r="A86" t="s">
        <v>107</v>
      </c>
      <c r="B86" t="s">
        <v>681</v>
      </c>
      <c r="C86" t="s">
        <v>979</v>
      </c>
      <c r="D86" t="s">
        <v>981</v>
      </c>
      <c r="E86" t="s">
        <v>982</v>
      </c>
      <c r="G86">
        <v>15000</v>
      </c>
      <c r="H86" t="s">
        <v>995</v>
      </c>
      <c r="I86" s="3">
        <f>G86 * J86</f>
        <v>0</v>
      </c>
      <c r="J86" s="3">
        <f>IF(H86="HUF", 1, IFERROR(VLOOKUP(B86&amp;H86, '22_ExchangeRates'!A:E, 5, FALSE), 1))</f>
        <v>0</v>
      </c>
      <c r="K86" t="s">
        <v>1004</v>
      </c>
      <c r="N86" t="s">
        <v>1088</v>
      </c>
      <c r="O86" t="s">
        <v>1497</v>
      </c>
    </row>
    <row r="87" spans="1:15">
      <c r="A87" t="s">
        <v>108</v>
      </c>
      <c r="B87" t="s">
        <v>682</v>
      </c>
      <c r="C87" t="s">
        <v>978</v>
      </c>
      <c r="D87" t="s">
        <v>981</v>
      </c>
      <c r="E87" t="s">
        <v>982</v>
      </c>
      <c r="G87">
        <v>500</v>
      </c>
      <c r="H87" t="s">
        <v>995</v>
      </c>
      <c r="I87" s="3">
        <f>G87 * J87</f>
        <v>0</v>
      </c>
      <c r="J87" s="3">
        <f>IF(H87="HUF", 1, IFERROR(VLOOKUP(B87&amp;H87, '22_ExchangeRates'!A:E, 5, FALSE), 1))</f>
        <v>0</v>
      </c>
      <c r="K87" t="s">
        <v>1001</v>
      </c>
      <c r="N87" t="s">
        <v>1089</v>
      </c>
      <c r="O87" t="s">
        <v>1497</v>
      </c>
    </row>
    <row r="88" spans="1:15">
      <c r="A88" t="s">
        <v>109</v>
      </c>
      <c r="B88" t="s">
        <v>683</v>
      </c>
      <c r="C88" t="s">
        <v>978</v>
      </c>
      <c r="D88" t="s">
        <v>981</v>
      </c>
      <c r="E88" t="s">
        <v>982</v>
      </c>
      <c r="G88">
        <v>220</v>
      </c>
      <c r="H88" t="s">
        <v>995</v>
      </c>
      <c r="I88" s="3">
        <f>G88 * J88</f>
        <v>0</v>
      </c>
      <c r="J88" s="3">
        <f>IF(H88="HUF", 1, IFERROR(VLOOKUP(B88&amp;H88, '22_ExchangeRates'!A:E, 5, FALSE), 1))</f>
        <v>0</v>
      </c>
      <c r="K88" t="s">
        <v>1001</v>
      </c>
      <c r="N88" t="s">
        <v>1090</v>
      </c>
      <c r="O88" t="s">
        <v>1497</v>
      </c>
    </row>
    <row r="89" spans="1:15">
      <c r="A89" t="s">
        <v>110</v>
      </c>
      <c r="B89" t="s">
        <v>684</v>
      </c>
      <c r="C89" t="s">
        <v>978</v>
      </c>
      <c r="D89" t="s">
        <v>981</v>
      </c>
      <c r="E89" t="s">
        <v>982</v>
      </c>
      <c r="G89">
        <v>75370</v>
      </c>
      <c r="H89" t="s">
        <v>995</v>
      </c>
      <c r="I89" s="3">
        <f>G89 * J89</f>
        <v>0</v>
      </c>
      <c r="J89" s="3">
        <f>IF(H89="HUF", 1, IFERROR(VLOOKUP(B89&amp;H89, '22_ExchangeRates'!A:E, 5, FALSE), 1))</f>
        <v>0</v>
      </c>
      <c r="K89" t="s">
        <v>1001</v>
      </c>
      <c r="N89" t="s">
        <v>1091</v>
      </c>
      <c r="O89" t="s">
        <v>1497</v>
      </c>
    </row>
    <row r="90" spans="1:15">
      <c r="A90" t="s">
        <v>111</v>
      </c>
      <c r="B90" t="s">
        <v>684</v>
      </c>
      <c r="C90" t="s">
        <v>979</v>
      </c>
      <c r="D90" t="s">
        <v>981</v>
      </c>
      <c r="E90" t="s">
        <v>982</v>
      </c>
      <c r="G90">
        <v>37685</v>
      </c>
      <c r="H90" t="s">
        <v>995</v>
      </c>
      <c r="I90" s="3">
        <f>G90 * J90</f>
        <v>0</v>
      </c>
      <c r="J90" s="3">
        <f>IF(H90="HUF", 1, IFERROR(VLOOKUP(B90&amp;H90, '22_ExchangeRates'!A:E, 5, FALSE), 1))</f>
        <v>0</v>
      </c>
      <c r="K90" t="s">
        <v>1006</v>
      </c>
      <c r="N90" t="s">
        <v>1092</v>
      </c>
      <c r="O90" t="s">
        <v>1497</v>
      </c>
    </row>
    <row r="91" spans="1:15">
      <c r="A91" t="s">
        <v>112</v>
      </c>
      <c r="B91" t="s">
        <v>685</v>
      </c>
      <c r="C91" t="s">
        <v>978</v>
      </c>
      <c r="D91" t="s">
        <v>981</v>
      </c>
      <c r="E91" t="s">
        <v>982</v>
      </c>
      <c r="G91">
        <v>220</v>
      </c>
      <c r="H91" t="s">
        <v>995</v>
      </c>
      <c r="I91" s="3">
        <f>G91 * J91</f>
        <v>0</v>
      </c>
      <c r="J91" s="3">
        <f>IF(H91="HUF", 1, IFERROR(VLOOKUP(B91&amp;H91, '22_ExchangeRates'!A:E, 5, FALSE), 1))</f>
        <v>0</v>
      </c>
      <c r="K91" t="s">
        <v>1001</v>
      </c>
      <c r="N91" t="s">
        <v>1093</v>
      </c>
      <c r="O91" t="s">
        <v>1497</v>
      </c>
    </row>
    <row r="92" spans="1:15">
      <c r="A92" t="s">
        <v>113</v>
      </c>
      <c r="B92" t="s">
        <v>685</v>
      </c>
      <c r="C92" t="s">
        <v>978</v>
      </c>
      <c r="D92" t="s">
        <v>981</v>
      </c>
      <c r="E92" t="s">
        <v>983</v>
      </c>
      <c r="G92">
        <v>1900</v>
      </c>
      <c r="H92" t="s">
        <v>995</v>
      </c>
      <c r="I92" s="3">
        <f>G92 * J92</f>
        <v>0</v>
      </c>
      <c r="J92" s="3">
        <f>IF(H92="HUF", 1, IFERROR(VLOOKUP(B92&amp;H92, '22_ExchangeRates'!A:E, 5, FALSE), 1))</f>
        <v>0</v>
      </c>
      <c r="K92" t="s">
        <v>1005</v>
      </c>
      <c r="N92" t="s">
        <v>1094</v>
      </c>
      <c r="O92" t="s">
        <v>1497</v>
      </c>
    </row>
    <row r="93" spans="1:15">
      <c r="A93" t="s">
        <v>114</v>
      </c>
      <c r="B93" t="s">
        <v>685</v>
      </c>
      <c r="C93" t="s">
        <v>978</v>
      </c>
      <c r="D93" t="s">
        <v>981</v>
      </c>
      <c r="E93" t="s">
        <v>983</v>
      </c>
      <c r="G93">
        <v>820</v>
      </c>
      <c r="H93" t="s">
        <v>995</v>
      </c>
      <c r="I93" s="3">
        <f>G93 * J93</f>
        <v>0</v>
      </c>
      <c r="J93" s="3">
        <f>IF(H93="HUF", 1, IFERROR(VLOOKUP(B93&amp;H93, '22_ExchangeRates'!A:E, 5, FALSE), 1))</f>
        <v>0</v>
      </c>
      <c r="K93" t="s">
        <v>1002</v>
      </c>
      <c r="N93" t="s">
        <v>1095</v>
      </c>
      <c r="O93" t="s">
        <v>1497</v>
      </c>
    </row>
    <row r="94" spans="1:15">
      <c r="A94" t="s">
        <v>115</v>
      </c>
      <c r="B94" t="s">
        <v>686</v>
      </c>
      <c r="C94" t="s">
        <v>979</v>
      </c>
      <c r="D94" t="s">
        <v>981</v>
      </c>
      <c r="E94" t="s">
        <v>982</v>
      </c>
      <c r="G94">
        <v>80000</v>
      </c>
      <c r="H94" t="s">
        <v>995</v>
      </c>
      <c r="I94" s="3">
        <f>G94 * J94</f>
        <v>0</v>
      </c>
      <c r="J94" s="3">
        <f>IF(H94="HUF", 1, IFERROR(VLOOKUP(B94&amp;H94, '22_ExchangeRates'!A:E, 5, FALSE), 1))</f>
        <v>0</v>
      </c>
      <c r="K94" t="s">
        <v>1008</v>
      </c>
      <c r="O94" t="s">
        <v>1497</v>
      </c>
    </row>
    <row r="95" spans="1:15">
      <c r="A95" t="s">
        <v>116</v>
      </c>
      <c r="B95" t="s">
        <v>687</v>
      </c>
      <c r="C95" t="s">
        <v>979</v>
      </c>
      <c r="D95" t="s">
        <v>981</v>
      </c>
      <c r="E95" t="s">
        <v>983</v>
      </c>
      <c r="G95">
        <v>20000</v>
      </c>
      <c r="H95" t="s">
        <v>995</v>
      </c>
      <c r="I95" s="3">
        <f>G95 * J95</f>
        <v>0</v>
      </c>
      <c r="J95" s="3">
        <f>IF(H95="HUF", 1, IFERROR(VLOOKUP(B95&amp;H95, '22_ExchangeRates'!A:E, 5, FALSE), 1))</f>
        <v>0</v>
      </c>
      <c r="K95" t="s">
        <v>1006</v>
      </c>
      <c r="N95" t="s">
        <v>1096</v>
      </c>
      <c r="O95" t="s">
        <v>1497</v>
      </c>
    </row>
    <row r="96" spans="1:15">
      <c r="A96" t="s">
        <v>117</v>
      </c>
      <c r="B96" t="s">
        <v>687</v>
      </c>
      <c r="C96" t="s">
        <v>978</v>
      </c>
      <c r="D96" t="s">
        <v>981</v>
      </c>
      <c r="E96" t="s">
        <v>983</v>
      </c>
      <c r="G96">
        <v>12900</v>
      </c>
      <c r="H96" t="s">
        <v>995</v>
      </c>
      <c r="I96" s="3">
        <f>G96 * J96</f>
        <v>0</v>
      </c>
      <c r="J96" s="3">
        <f>IF(H96="HUF", 1, IFERROR(VLOOKUP(B96&amp;H96, '22_ExchangeRates'!A:E, 5, FALSE), 1))</f>
        <v>0</v>
      </c>
      <c r="K96" t="s">
        <v>1009</v>
      </c>
      <c r="N96" t="s">
        <v>1097</v>
      </c>
      <c r="O96" t="s">
        <v>1497</v>
      </c>
    </row>
    <row r="97" spans="1:15">
      <c r="A97" t="s">
        <v>118</v>
      </c>
      <c r="B97" t="s">
        <v>688</v>
      </c>
      <c r="C97" t="s">
        <v>978</v>
      </c>
      <c r="D97" t="s">
        <v>981</v>
      </c>
      <c r="E97" t="s">
        <v>983</v>
      </c>
      <c r="G97">
        <v>500</v>
      </c>
      <c r="H97" t="s">
        <v>995</v>
      </c>
      <c r="I97" s="3">
        <f>G97 * J97</f>
        <v>0</v>
      </c>
      <c r="J97" s="3">
        <f>IF(H97="HUF", 1, IFERROR(VLOOKUP(B97&amp;H97, '22_ExchangeRates'!A:E, 5, FALSE), 1))</f>
        <v>0</v>
      </c>
      <c r="K97" t="s">
        <v>1003</v>
      </c>
      <c r="N97" t="s">
        <v>1098</v>
      </c>
      <c r="O97" t="s">
        <v>1497</v>
      </c>
    </row>
    <row r="98" spans="1:15">
      <c r="A98" t="s">
        <v>119</v>
      </c>
      <c r="B98" t="s">
        <v>688</v>
      </c>
      <c r="C98" t="s">
        <v>978</v>
      </c>
      <c r="D98" t="s">
        <v>981</v>
      </c>
      <c r="E98" t="s">
        <v>983</v>
      </c>
      <c r="G98">
        <v>1400</v>
      </c>
      <c r="H98" t="s">
        <v>995</v>
      </c>
      <c r="I98" s="3">
        <f>G98 * J98</f>
        <v>0</v>
      </c>
      <c r="J98" s="3">
        <f>IF(H98="HUF", 1, IFERROR(VLOOKUP(B98&amp;H98, '22_ExchangeRates'!A:E, 5, FALSE), 1))</f>
        <v>0</v>
      </c>
      <c r="K98" t="s">
        <v>1003</v>
      </c>
      <c r="N98" t="s">
        <v>1099</v>
      </c>
      <c r="O98" t="s">
        <v>1497</v>
      </c>
    </row>
    <row r="99" spans="1:15">
      <c r="A99" t="s">
        <v>120</v>
      </c>
      <c r="B99" t="s">
        <v>688</v>
      </c>
      <c r="C99" t="s">
        <v>978</v>
      </c>
      <c r="D99" t="s">
        <v>981</v>
      </c>
      <c r="E99" t="s">
        <v>983</v>
      </c>
      <c r="G99">
        <v>700</v>
      </c>
      <c r="H99" t="s">
        <v>995</v>
      </c>
      <c r="I99" s="3">
        <f>G99 * J99</f>
        <v>0</v>
      </c>
      <c r="J99" s="3">
        <f>IF(H99="HUF", 1, IFERROR(VLOOKUP(B99&amp;H99, '22_ExchangeRates'!A:E, 5, FALSE), 1))</f>
        <v>0</v>
      </c>
      <c r="K99" t="s">
        <v>1003</v>
      </c>
      <c r="N99" t="s">
        <v>1100</v>
      </c>
      <c r="O99" t="s">
        <v>1497</v>
      </c>
    </row>
    <row r="100" spans="1:15">
      <c r="A100" t="s">
        <v>121</v>
      </c>
      <c r="B100" t="s">
        <v>688</v>
      </c>
      <c r="C100" t="s">
        <v>978</v>
      </c>
      <c r="D100" t="s">
        <v>981</v>
      </c>
      <c r="E100" t="s">
        <v>983</v>
      </c>
      <c r="G100">
        <v>800</v>
      </c>
      <c r="H100" t="s">
        <v>995</v>
      </c>
      <c r="I100" s="3">
        <f>G100 * J100</f>
        <v>0</v>
      </c>
      <c r="J100" s="3">
        <f>IF(H100="HUF", 1, IFERROR(VLOOKUP(B100&amp;H100, '22_ExchangeRates'!A:E, 5, FALSE), 1))</f>
        <v>0</v>
      </c>
      <c r="K100" t="s">
        <v>1003</v>
      </c>
      <c r="N100" t="s">
        <v>1101</v>
      </c>
      <c r="O100" t="s">
        <v>1497</v>
      </c>
    </row>
    <row r="101" spans="1:15">
      <c r="A101" t="s">
        <v>122</v>
      </c>
      <c r="B101" t="s">
        <v>689</v>
      </c>
      <c r="C101" t="s">
        <v>978</v>
      </c>
      <c r="D101" t="s">
        <v>981</v>
      </c>
      <c r="E101" t="s">
        <v>982</v>
      </c>
      <c r="G101">
        <v>45876</v>
      </c>
      <c r="H101" t="s">
        <v>995</v>
      </c>
      <c r="I101" s="3">
        <f>G101 * J101</f>
        <v>0</v>
      </c>
      <c r="J101" s="3">
        <f>IF(H101="HUF", 1, IFERROR(VLOOKUP(B101&amp;H101, '22_ExchangeRates'!A:E, 5, FALSE), 1))</f>
        <v>0</v>
      </c>
      <c r="K101" t="s">
        <v>1001</v>
      </c>
      <c r="N101" t="s">
        <v>1102</v>
      </c>
      <c r="O101" t="s">
        <v>1497</v>
      </c>
    </row>
    <row r="102" spans="1:15">
      <c r="A102" t="s">
        <v>123</v>
      </c>
      <c r="B102" t="s">
        <v>690</v>
      </c>
      <c r="C102" t="s">
        <v>978</v>
      </c>
      <c r="D102" t="s">
        <v>981</v>
      </c>
      <c r="E102" t="s">
        <v>983</v>
      </c>
      <c r="G102">
        <v>3000</v>
      </c>
      <c r="H102" t="s">
        <v>995</v>
      </c>
      <c r="I102" s="3">
        <f>G102 * J102</f>
        <v>0</v>
      </c>
      <c r="J102" s="3">
        <f>IF(H102="HUF", 1, IFERROR(VLOOKUP(B102&amp;H102, '22_ExchangeRates'!A:E, 5, FALSE), 1))</f>
        <v>0</v>
      </c>
      <c r="K102" t="s">
        <v>1006</v>
      </c>
      <c r="N102" t="s">
        <v>1103</v>
      </c>
      <c r="O102" t="s">
        <v>1497</v>
      </c>
    </row>
    <row r="103" spans="1:15">
      <c r="A103" t="s">
        <v>124</v>
      </c>
      <c r="B103" t="s">
        <v>690</v>
      </c>
      <c r="C103" t="s">
        <v>978</v>
      </c>
      <c r="D103" t="s">
        <v>981</v>
      </c>
      <c r="E103" t="s">
        <v>983</v>
      </c>
      <c r="G103">
        <v>1400</v>
      </c>
      <c r="H103" t="s">
        <v>995</v>
      </c>
      <c r="I103" s="3">
        <f>G103 * J103</f>
        <v>0</v>
      </c>
      <c r="J103" s="3">
        <f>IF(H103="HUF", 1, IFERROR(VLOOKUP(B103&amp;H103, '22_ExchangeRates'!A:E, 5, FALSE), 1))</f>
        <v>0</v>
      </c>
      <c r="K103" t="s">
        <v>1000</v>
      </c>
      <c r="N103" t="s">
        <v>1104</v>
      </c>
      <c r="O103" t="s">
        <v>1497</v>
      </c>
    </row>
    <row r="104" spans="1:15">
      <c r="A104" t="s">
        <v>125</v>
      </c>
      <c r="B104" t="s">
        <v>690</v>
      </c>
      <c r="C104" t="s">
        <v>978</v>
      </c>
      <c r="D104" t="s">
        <v>981</v>
      </c>
      <c r="E104" t="s">
        <v>982</v>
      </c>
      <c r="G104">
        <v>220</v>
      </c>
      <c r="H104" t="s">
        <v>995</v>
      </c>
      <c r="I104" s="3">
        <f>G104 * J104</f>
        <v>0</v>
      </c>
      <c r="J104" s="3">
        <f>IF(H104="HUF", 1, IFERROR(VLOOKUP(B104&amp;H104, '22_ExchangeRates'!A:E, 5, FALSE), 1))</f>
        <v>0</v>
      </c>
      <c r="K104" t="s">
        <v>1001</v>
      </c>
      <c r="N104" t="s">
        <v>1105</v>
      </c>
      <c r="O104" t="s">
        <v>1497</v>
      </c>
    </row>
    <row r="105" spans="1:15">
      <c r="A105" t="s">
        <v>126</v>
      </c>
      <c r="B105" t="s">
        <v>690</v>
      </c>
      <c r="C105" t="s">
        <v>978</v>
      </c>
      <c r="D105" t="s">
        <v>981</v>
      </c>
      <c r="E105" t="s">
        <v>982</v>
      </c>
      <c r="G105">
        <v>220</v>
      </c>
      <c r="H105" t="s">
        <v>995</v>
      </c>
      <c r="I105" s="3">
        <f>G105 * J105</f>
        <v>0</v>
      </c>
      <c r="J105" s="3">
        <f>IF(H105="HUF", 1, IFERROR(VLOOKUP(B105&amp;H105, '22_ExchangeRates'!A:E, 5, FALSE), 1))</f>
        <v>0</v>
      </c>
      <c r="K105" t="s">
        <v>1001</v>
      </c>
      <c r="N105" t="s">
        <v>1105</v>
      </c>
      <c r="O105" t="s">
        <v>1497</v>
      </c>
    </row>
    <row r="106" spans="1:15">
      <c r="A106" t="s">
        <v>127</v>
      </c>
      <c r="B106" t="s">
        <v>690</v>
      </c>
      <c r="C106" t="s">
        <v>979</v>
      </c>
      <c r="D106" t="s">
        <v>981</v>
      </c>
      <c r="E106" t="s">
        <v>982</v>
      </c>
      <c r="G106">
        <v>3000</v>
      </c>
      <c r="H106" t="s">
        <v>995</v>
      </c>
      <c r="I106" s="3">
        <f>G106 * J106</f>
        <v>0</v>
      </c>
      <c r="J106" s="3">
        <f>IF(H106="HUF", 1, IFERROR(VLOOKUP(B106&amp;H106, '22_ExchangeRates'!A:E, 5, FALSE), 1))</f>
        <v>0</v>
      </c>
      <c r="K106" t="s">
        <v>1006</v>
      </c>
      <c r="N106" t="s">
        <v>1106</v>
      </c>
      <c r="O106" t="s">
        <v>1497</v>
      </c>
    </row>
    <row r="107" spans="1:15">
      <c r="A107" t="s">
        <v>128</v>
      </c>
      <c r="B107" t="s">
        <v>691</v>
      </c>
      <c r="C107" t="s">
        <v>978</v>
      </c>
      <c r="D107" t="s">
        <v>981</v>
      </c>
      <c r="E107" t="s">
        <v>983</v>
      </c>
      <c r="G107">
        <v>1470</v>
      </c>
      <c r="H107" t="s">
        <v>995</v>
      </c>
      <c r="I107" s="3">
        <f>G107 * J107</f>
        <v>0</v>
      </c>
      <c r="J107" s="3">
        <f>IF(H107="HUF", 1, IFERROR(VLOOKUP(B107&amp;H107, '22_ExchangeRates'!A:E, 5, FALSE), 1))</f>
        <v>0</v>
      </c>
      <c r="K107" t="s">
        <v>1003</v>
      </c>
      <c r="N107" t="s">
        <v>1107</v>
      </c>
      <c r="O107" t="s">
        <v>1497</v>
      </c>
    </row>
    <row r="108" spans="1:15">
      <c r="A108" t="s">
        <v>129</v>
      </c>
      <c r="B108" t="s">
        <v>692</v>
      </c>
      <c r="C108" t="s">
        <v>979</v>
      </c>
      <c r="D108" t="s">
        <v>981</v>
      </c>
      <c r="E108" t="s">
        <v>983</v>
      </c>
      <c r="G108">
        <v>10000</v>
      </c>
      <c r="H108" t="s">
        <v>995</v>
      </c>
      <c r="I108" s="3">
        <f>G108 * J108</f>
        <v>0</v>
      </c>
      <c r="J108" s="3">
        <f>IF(H108="HUF", 1, IFERROR(VLOOKUP(B108&amp;H108, '22_ExchangeRates'!A:E, 5, FALSE), 1))</f>
        <v>0</v>
      </c>
      <c r="K108" t="s">
        <v>1000</v>
      </c>
      <c r="N108" t="s">
        <v>1108</v>
      </c>
      <c r="O108" t="s">
        <v>1497</v>
      </c>
    </row>
    <row r="109" spans="1:15">
      <c r="A109" t="s">
        <v>130</v>
      </c>
      <c r="B109" t="s">
        <v>693</v>
      </c>
      <c r="C109" t="s">
        <v>978</v>
      </c>
      <c r="D109" t="s">
        <v>981</v>
      </c>
      <c r="E109" t="s">
        <v>983</v>
      </c>
      <c r="G109">
        <v>3900</v>
      </c>
      <c r="H109" t="s">
        <v>995</v>
      </c>
      <c r="I109" s="3">
        <f>G109 * J109</f>
        <v>0</v>
      </c>
      <c r="J109" s="3">
        <f>IF(H109="HUF", 1, IFERROR(VLOOKUP(B109&amp;H109, '22_ExchangeRates'!A:E, 5, FALSE), 1))</f>
        <v>0</v>
      </c>
      <c r="K109" t="s">
        <v>1003</v>
      </c>
      <c r="N109" t="s">
        <v>1109</v>
      </c>
      <c r="O109" t="s">
        <v>1497</v>
      </c>
    </row>
    <row r="110" spans="1:15">
      <c r="A110" t="s">
        <v>131</v>
      </c>
      <c r="B110" t="s">
        <v>693</v>
      </c>
      <c r="C110" t="s">
        <v>978</v>
      </c>
      <c r="D110" t="s">
        <v>981</v>
      </c>
      <c r="E110" t="s">
        <v>983</v>
      </c>
      <c r="G110">
        <v>3900</v>
      </c>
      <c r="H110" t="s">
        <v>995</v>
      </c>
      <c r="I110" s="3">
        <f>G110 * J110</f>
        <v>0</v>
      </c>
      <c r="J110" s="3">
        <f>IF(H110="HUF", 1, IFERROR(VLOOKUP(B110&amp;H110, '22_ExchangeRates'!A:E, 5, FALSE), 1))</f>
        <v>0</v>
      </c>
      <c r="K110" t="s">
        <v>1000</v>
      </c>
      <c r="N110" t="s">
        <v>1110</v>
      </c>
      <c r="O110" t="s">
        <v>1497</v>
      </c>
    </row>
    <row r="111" spans="1:15">
      <c r="A111" t="s">
        <v>132</v>
      </c>
      <c r="B111" t="s">
        <v>693</v>
      </c>
      <c r="C111" t="s">
        <v>978</v>
      </c>
      <c r="D111" t="s">
        <v>981</v>
      </c>
      <c r="E111" t="s">
        <v>982</v>
      </c>
      <c r="G111">
        <v>2700</v>
      </c>
      <c r="H111" t="s">
        <v>995</v>
      </c>
      <c r="I111" s="3">
        <f>G111 * J111</f>
        <v>0</v>
      </c>
      <c r="J111" s="3">
        <f>IF(H111="HUF", 1, IFERROR(VLOOKUP(B111&amp;H111, '22_ExchangeRates'!A:E, 5, FALSE), 1))</f>
        <v>0</v>
      </c>
      <c r="K111" t="s">
        <v>1002</v>
      </c>
      <c r="N111" t="s">
        <v>1111</v>
      </c>
      <c r="O111" t="s">
        <v>1497</v>
      </c>
    </row>
    <row r="112" spans="1:15">
      <c r="A112" t="s">
        <v>133</v>
      </c>
      <c r="B112" t="s">
        <v>693</v>
      </c>
      <c r="C112" t="s">
        <v>978</v>
      </c>
      <c r="D112" t="s">
        <v>981</v>
      </c>
      <c r="E112" t="s">
        <v>982</v>
      </c>
      <c r="G112">
        <v>3000</v>
      </c>
      <c r="H112" t="s">
        <v>995</v>
      </c>
      <c r="I112" s="3">
        <f>G112 * J112</f>
        <v>0</v>
      </c>
      <c r="J112" s="3">
        <f>IF(H112="HUF", 1, IFERROR(VLOOKUP(B112&amp;H112, '22_ExchangeRates'!A:E, 5, FALSE), 1))</f>
        <v>0</v>
      </c>
      <c r="K112" t="s">
        <v>1000</v>
      </c>
      <c r="N112" t="s">
        <v>1112</v>
      </c>
      <c r="O112" t="s">
        <v>1497</v>
      </c>
    </row>
    <row r="113" spans="1:15">
      <c r="A113" t="s">
        <v>134</v>
      </c>
      <c r="B113" t="s">
        <v>694</v>
      </c>
      <c r="C113" t="s">
        <v>979</v>
      </c>
      <c r="D113" t="s">
        <v>981</v>
      </c>
      <c r="E113" t="s">
        <v>982</v>
      </c>
      <c r="G113">
        <v>60000</v>
      </c>
      <c r="H113" t="s">
        <v>995</v>
      </c>
      <c r="I113" s="3">
        <f>G113 * J113</f>
        <v>0</v>
      </c>
      <c r="J113" s="3">
        <f>IF(H113="HUF", 1, IFERROR(VLOOKUP(B113&amp;H113, '22_ExchangeRates'!A:E, 5, FALSE), 1))</f>
        <v>0</v>
      </c>
      <c r="K113" t="s">
        <v>1000</v>
      </c>
      <c r="N113" t="s">
        <v>1113</v>
      </c>
      <c r="O113" t="s">
        <v>1497</v>
      </c>
    </row>
    <row r="114" spans="1:15">
      <c r="A114" t="s">
        <v>135</v>
      </c>
      <c r="B114" t="s">
        <v>694</v>
      </c>
      <c r="C114" t="s">
        <v>978</v>
      </c>
      <c r="D114" t="s">
        <v>981</v>
      </c>
      <c r="E114" t="s">
        <v>983</v>
      </c>
      <c r="G114">
        <v>80000</v>
      </c>
      <c r="H114" t="s">
        <v>995</v>
      </c>
      <c r="I114" s="3">
        <f>G114 * J114</f>
        <v>0</v>
      </c>
      <c r="J114" s="3">
        <f>IF(H114="HUF", 1, IFERROR(VLOOKUP(B114&amp;H114, '22_ExchangeRates'!A:E, 5, FALSE), 1))</f>
        <v>0</v>
      </c>
      <c r="K114" t="s">
        <v>1006</v>
      </c>
      <c r="N114" t="s">
        <v>1114</v>
      </c>
      <c r="O114" t="s">
        <v>1497</v>
      </c>
    </row>
    <row r="115" spans="1:15">
      <c r="A115" t="s">
        <v>136</v>
      </c>
      <c r="B115" t="s">
        <v>694</v>
      </c>
      <c r="C115" t="s">
        <v>979</v>
      </c>
      <c r="D115" t="s">
        <v>981</v>
      </c>
      <c r="E115" t="s">
        <v>982</v>
      </c>
      <c r="G115">
        <v>80000</v>
      </c>
      <c r="H115" t="s">
        <v>995</v>
      </c>
      <c r="I115" s="3">
        <f>G115 * J115</f>
        <v>0</v>
      </c>
      <c r="J115" s="3">
        <f>IF(H115="HUF", 1, IFERROR(VLOOKUP(B115&amp;H115, '22_ExchangeRates'!A:E, 5, FALSE), 1))</f>
        <v>0</v>
      </c>
      <c r="K115" t="s">
        <v>1006</v>
      </c>
      <c r="N115" t="s">
        <v>1115</v>
      </c>
      <c r="O115" t="s">
        <v>1497</v>
      </c>
    </row>
    <row r="116" spans="1:15">
      <c r="A116" t="s">
        <v>137</v>
      </c>
      <c r="B116" t="s">
        <v>695</v>
      </c>
      <c r="C116" t="s">
        <v>978</v>
      </c>
      <c r="D116" t="s">
        <v>981</v>
      </c>
      <c r="E116" t="s">
        <v>982</v>
      </c>
      <c r="G116">
        <v>190</v>
      </c>
      <c r="H116" t="s">
        <v>995</v>
      </c>
      <c r="I116" s="3">
        <f>G116 * J116</f>
        <v>0</v>
      </c>
      <c r="J116" s="3">
        <f>IF(H116="HUF", 1, IFERROR(VLOOKUP(B116&amp;H116, '22_ExchangeRates'!A:E, 5, FALSE), 1))</f>
        <v>0</v>
      </c>
      <c r="K116" t="s">
        <v>1001</v>
      </c>
      <c r="N116" t="s">
        <v>1033</v>
      </c>
      <c r="O116" t="s">
        <v>1497</v>
      </c>
    </row>
    <row r="117" spans="1:15">
      <c r="A117" t="s">
        <v>138</v>
      </c>
      <c r="B117" t="s">
        <v>695</v>
      </c>
      <c r="C117" t="s">
        <v>978</v>
      </c>
      <c r="D117" t="s">
        <v>981</v>
      </c>
      <c r="E117" t="s">
        <v>983</v>
      </c>
      <c r="G117">
        <v>4000</v>
      </c>
      <c r="H117" t="s">
        <v>995</v>
      </c>
      <c r="I117" s="3">
        <f>G117 * J117</f>
        <v>0</v>
      </c>
      <c r="J117" s="3">
        <f>IF(H117="HUF", 1, IFERROR(VLOOKUP(B117&amp;H117, '22_ExchangeRates'!A:E, 5, FALSE), 1))</f>
        <v>0</v>
      </c>
      <c r="K117" t="s">
        <v>1003</v>
      </c>
      <c r="N117" t="s">
        <v>1116</v>
      </c>
      <c r="O117" t="s">
        <v>1497</v>
      </c>
    </row>
    <row r="118" spans="1:15">
      <c r="A118" t="s">
        <v>139</v>
      </c>
      <c r="B118" t="s">
        <v>696</v>
      </c>
      <c r="C118" t="s">
        <v>978</v>
      </c>
      <c r="D118" t="s">
        <v>981</v>
      </c>
      <c r="E118" t="s">
        <v>983</v>
      </c>
      <c r="G118">
        <v>1500</v>
      </c>
      <c r="H118" t="s">
        <v>995</v>
      </c>
      <c r="I118" s="3">
        <f>G118 * J118</f>
        <v>0</v>
      </c>
      <c r="J118" s="3">
        <f>IF(H118="HUF", 1, IFERROR(VLOOKUP(B118&amp;H118, '22_ExchangeRates'!A:E, 5, FALSE), 1))</f>
        <v>0</v>
      </c>
      <c r="K118" t="s">
        <v>1000</v>
      </c>
      <c r="N118" t="s">
        <v>1117</v>
      </c>
      <c r="O118" t="s">
        <v>1497</v>
      </c>
    </row>
    <row r="119" spans="1:15">
      <c r="A119" t="s">
        <v>140</v>
      </c>
      <c r="B119" t="s">
        <v>697</v>
      </c>
      <c r="C119" t="s">
        <v>979</v>
      </c>
      <c r="D119" t="s">
        <v>981</v>
      </c>
      <c r="E119" t="s">
        <v>983</v>
      </c>
      <c r="G119">
        <v>20000</v>
      </c>
      <c r="H119" t="s">
        <v>995</v>
      </c>
      <c r="I119" s="3">
        <f>G119 * J119</f>
        <v>0</v>
      </c>
      <c r="J119" s="3">
        <f>IF(H119="HUF", 1, IFERROR(VLOOKUP(B119&amp;H119, '22_ExchangeRates'!A:E, 5, FALSE), 1))</f>
        <v>0</v>
      </c>
      <c r="K119" t="s">
        <v>1000</v>
      </c>
      <c r="N119" t="s">
        <v>1118</v>
      </c>
      <c r="O119" t="s">
        <v>1497</v>
      </c>
    </row>
    <row r="120" spans="1:15">
      <c r="A120" t="s">
        <v>141</v>
      </c>
      <c r="B120" t="s">
        <v>697</v>
      </c>
      <c r="C120" t="s">
        <v>979</v>
      </c>
      <c r="D120" t="s">
        <v>981</v>
      </c>
      <c r="E120" t="s">
        <v>983</v>
      </c>
      <c r="G120">
        <v>50000</v>
      </c>
      <c r="H120" t="s">
        <v>995</v>
      </c>
      <c r="I120" s="3">
        <f>G120 * J120</f>
        <v>0</v>
      </c>
      <c r="J120" s="3">
        <f>IF(H120="HUF", 1, IFERROR(VLOOKUP(B120&amp;H120, '22_ExchangeRates'!A:E, 5, FALSE), 1))</f>
        <v>0</v>
      </c>
      <c r="K120" t="s">
        <v>1000</v>
      </c>
      <c r="N120" t="s">
        <v>1119</v>
      </c>
      <c r="O120" t="s">
        <v>1497</v>
      </c>
    </row>
    <row r="121" spans="1:15">
      <c r="A121" t="s">
        <v>142</v>
      </c>
      <c r="B121" t="s">
        <v>698</v>
      </c>
      <c r="C121" t="s">
        <v>978</v>
      </c>
      <c r="D121" t="s">
        <v>981</v>
      </c>
      <c r="E121" t="s">
        <v>982</v>
      </c>
      <c r="G121">
        <v>2221</v>
      </c>
      <c r="H121" t="s">
        <v>995</v>
      </c>
      <c r="I121" s="3">
        <f>G121 * J121</f>
        <v>0</v>
      </c>
      <c r="J121" s="3">
        <f>IF(H121="HUF", 1, IFERROR(VLOOKUP(B121&amp;H121, '22_ExchangeRates'!A:E, 5, FALSE), 1))</f>
        <v>0</v>
      </c>
      <c r="K121" t="s">
        <v>1000</v>
      </c>
      <c r="N121" t="s">
        <v>1120</v>
      </c>
      <c r="O121" t="s">
        <v>1497</v>
      </c>
    </row>
    <row r="122" spans="1:15">
      <c r="A122" t="s">
        <v>143</v>
      </c>
      <c r="B122" t="s">
        <v>698</v>
      </c>
      <c r="C122" t="s">
        <v>978</v>
      </c>
      <c r="D122" t="s">
        <v>981</v>
      </c>
      <c r="E122" t="s">
        <v>982</v>
      </c>
      <c r="G122">
        <v>5335.97</v>
      </c>
      <c r="H122" t="s">
        <v>995</v>
      </c>
      <c r="I122" s="3">
        <f>G122 * J122</f>
        <v>0</v>
      </c>
      <c r="J122" s="3">
        <f>IF(H122="HUF", 1, IFERROR(VLOOKUP(B122&amp;H122, '22_ExchangeRates'!A:E, 5, FALSE), 1))</f>
        <v>0</v>
      </c>
      <c r="K122" t="s">
        <v>1006</v>
      </c>
      <c r="N122" t="s">
        <v>1121</v>
      </c>
      <c r="O122" t="s">
        <v>1497</v>
      </c>
    </row>
    <row r="123" spans="1:15">
      <c r="A123" t="s">
        <v>144</v>
      </c>
      <c r="B123" t="s">
        <v>699</v>
      </c>
      <c r="C123" t="s">
        <v>978</v>
      </c>
      <c r="D123" t="s">
        <v>981</v>
      </c>
      <c r="E123" t="s">
        <v>982</v>
      </c>
      <c r="G123">
        <v>38321</v>
      </c>
      <c r="H123" t="s">
        <v>995</v>
      </c>
      <c r="I123" s="3">
        <f>G123 * J123</f>
        <v>0</v>
      </c>
      <c r="J123" s="3">
        <f>IF(H123="HUF", 1, IFERROR(VLOOKUP(B123&amp;H123, '22_ExchangeRates'!A:E, 5, FALSE), 1))</f>
        <v>0</v>
      </c>
      <c r="K123" t="s">
        <v>1001</v>
      </c>
      <c r="N123" t="s">
        <v>1122</v>
      </c>
      <c r="O123" t="s">
        <v>1497</v>
      </c>
    </row>
    <row r="124" spans="1:15">
      <c r="A124" t="s">
        <v>145</v>
      </c>
      <c r="B124" t="s">
        <v>700</v>
      </c>
      <c r="C124" t="s">
        <v>978</v>
      </c>
      <c r="D124" t="s">
        <v>981</v>
      </c>
      <c r="E124" t="s">
        <v>986</v>
      </c>
      <c r="G124">
        <v>1.46</v>
      </c>
      <c r="H124" t="s">
        <v>996</v>
      </c>
      <c r="I124" s="3">
        <f>G124 * J124</f>
        <v>0</v>
      </c>
      <c r="J124" s="3">
        <f>IF(H124="HUF", 1, IFERROR(VLOOKUP(B124&amp;H124, '22_ExchangeRates'!A:E, 5, FALSE), 1))</f>
        <v>0</v>
      </c>
      <c r="K124" t="s">
        <v>1006</v>
      </c>
      <c r="N124" t="s">
        <v>1123</v>
      </c>
      <c r="O124" t="s">
        <v>1497</v>
      </c>
    </row>
    <row r="125" spans="1:15">
      <c r="A125" t="s">
        <v>146</v>
      </c>
      <c r="B125" t="s">
        <v>700</v>
      </c>
      <c r="C125" t="s">
        <v>980</v>
      </c>
      <c r="D125" t="s">
        <v>981</v>
      </c>
      <c r="E125" t="s">
        <v>983</v>
      </c>
      <c r="F125" t="s">
        <v>986</v>
      </c>
      <c r="G125">
        <v>60000</v>
      </c>
      <c r="H125" t="s">
        <v>995</v>
      </c>
      <c r="I125" s="3">
        <f>G125 * J125</f>
        <v>0</v>
      </c>
      <c r="J125" s="3">
        <f>IF(H125="HUF", 1, IFERROR(VLOOKUP(B125&amp;H125, '22_ExchangeRates'!A:E, 5, FALSE), 1))</f>
        <v>0</v>
      </c>
      <c r="N125" t="s">
        <v>1124</v>
      </c>
      <c r="O125" t="s">
        <v>1497</v>
      </c>
    </row>
    <row r="126" spans="1:15">
      <c r="A126" t="s">
        <v>147</v>
      </c>
      <c r="B126" t="s">
        <v>700</v>
      </c>
      <c r="C126" t="s">
        <v>979</v>
      </c>
      <c r="D126" t="s">
        <v>981</v>
      </c>
      <c r="E126" t="s">
        <v>983</v>
      </c>
      <c r="G126">
        <v>30000</v>
      </c>
      <c r="H126" t="s">
        <v>995</v>
      </c>
      <c r="I126" s="3">
        <f>G126 * J126</f>
        <v>0</v>
      </c>
      <c r="J126" s="3">
        <f>IF(H126="HUF", 1, IFERROR(VLOOKUP(B126&amp;H126, '22_ExchangeRates'!A:E, 5, FALSE), 1))</f>
        <v>0</v>
      </c>
      <c r="K126" t="s">
        <v>1006</v>
      </c>
      <c r="N126" t="s">
        <v>1125</v>
      </c>
      <c r="O126" t="s">
        <v>1497</v>
      </c>
    </row>
    <row r="127" spans="1:15">
      <c r="A127" t="s">
        <v>148</v>
      </c>
      <c r="B127" t="s">
        <v>701</v>
      </c>
      <c r="C127" t="s">
        <v>979</v>
      </c>
      <c r="D127" t="s">
        <v>981</v>
      </c>
      <c r="E127" t="s">
        <v>982</v>
      </c>
      <c r="G127">
        <v>36100</v>
      </c>
      <c r="H127" t="s">
        <v>995</v>
      </c>
      <c r="I127" s="3">
        <f>G127 * J127</f>
        <v>0</v>
      </c>
      <c r="J127" s="3">
        <f>IF(H127="HUF", 1, IFERROR(VLOOKUP(B127&amp;H127, '22_ExchangeRates'!A:E, 5, FALSE), 1))</f>
        <v>0</v>
      </c>
      <c r="K127" t="s">
        <v>1006</v>
      </c>
      <c r="N127" t="s">
        <v>1126</v>
      </c>
      <c r="O127" t="s">
        <v>1497</v>
      </c>
    </row>
    <row r="128" spans="1:15">
      <c r="A128" t="s">
        <v>149</v>
      </c>
      <c r="B128" t="s">
        <v>701</v>
      </c>
      <c r="C128" t="s">
        <v>980</v>
      </c>
      <c r="D128" t="s">
        <v>981</v>
      </c>
      <c r="E128" t="s">
        <v>987</v>
      </c>
      <c r="F128" t="s">
        <v>982</v>
      </c>
      <c r="G128">
        <v>50000</v>
      </c>
      <c r="H128" t="s">
        <v>995</v>
      </c>
      <c r="I128" s="3">
        <f>G128 * J128</f>
        <v>0</v>
      </c>
      <c r="J128" s="3">
        <f>IF(H128="HUF", 1, IFERROR(VLOOKUP(B128&amp;H128, '22_ExchangeRates'!A:E, 5, FALSE), 1))</f>
        <v>0</v>
      </c>
      <c r="O128" t="s">
        <v>1497</v>
      </c>
    </row>
    <row r="129" spans="1:15">
      <c r="A129" t="s">
        <v>150</v>
      </c>
      <c r="B129" t="s">
        <v>702</v>
      </c>
      <c r="C129" t="s">
        <v>978</v>
      </c>
      <c r="D129" t="s">
        <v>981</v>
      </c>
      <c r="E129" t="s">
        <v>982</v>
      </c>
      <c r="G129">
        <v>3990</v>
      </c>
      <c r="H129" t="s">
        <v>995</v>
      </c>
      <c r="I129" s="3">
        <f>G129 * J129</f>
        <v>0</v>
      </c>
      <c r="J129" s="3">
        <f>IF(H129="HUF", 1, IFERROR(VLOOKUP(B129&amp;H129, '22_ExchangeRates'!A:E, 5, FALSE), 1))</f>
        <v>0</v>
      </c>
      <c r="K129" t="s">
        <v>1005</v>
      </c>
      <c r="N129" t="s">
        <v>1127</v>
      </c>
      <c r="O129" t="s">
        <v>1497</v>
      </c>
    </row>
    <row r="130" spans="1:15">
      <c r="A130" t="s">
        <v>151</v>
      </c>
      <c r="B130" t="s">
        <v>702</v>
      </c>
      <c r="C130" t="s">
        <v>978</v>
      </c>
      <c r="D130" t="s">
        <v>981</v>
      </c>
      <c r="E130" t="s">
        <v>983</v>
      </c>
      <c r="G130">
        <v>3540</v>
      </c>
      <c r="H130" t="s">
        <v>995</v>
      </c>
      <c r="I130" s="3">
        <f>G130 * J130</f>
        <v>0</v>
      </c>
      <c r="J130" s="3">
        <f>IF(H130="HUF", 1, IFERROR(VLOOKUP(B130&amp;H130, '22_ExchangeRates'!A:E, 5, FALSE), 1))</f>
        <v>0</v>
      </c>
      <c r="K130" t="s">
        <v>1005</v>
      </c>
      <c r="N130" t="s">
        <v>1128</v>
      </c>
      <c r="O130" t="s">
        <v>1497</v>
      </c>
    </row>
    <row r="131" spans="1:15">
      <c r="A131" t="s">
        <v>152</v>
      </c>
      <c r="B131" t="s">
        <v>703</v>
      </c>
      <c r="C131" t="s">
        <v>978</v>
      </c>
      <c r="D131" t="s">
        <v>981</v>
      </c>
      <c r="E131" t="s">
        <v>982</v>
      </c>
      <c r="G131">
        <v>8641</v>
      </c>
      <c r="H131" t="s">
        <v>995</v>
      </c>
      <c r="I131" s="3">
        <f>G131 * J131</f>
        <v>0</v>
      </c>
      <c r="J131" s="3">
        <f>IF(H131="HUF", 1, IFERROR(VLOOKUP(B131&amp;H131, '22_ExchangeRates'!A:E, 5, FALSE), 1))</f>
        <v>0</v>
      </c>
      <c r="K131" t="s">
        <v>1000</v>
      </c>
      <c r="N131" t="s">
        <v>1129</v>
      </c>
      <c r="O131" t="s">
        <v>1497</v>
      </c>
    </row>
    <row r="132" spans="1:15">
      <c r="A132" t="s">
        <v>153</v>
      </c>
      <c r="B132" t="s">
        <v>704</v>
      </c>
      <c r="C132" t="s">
        <v>979</v>
      </c>
      <c r="D132" t="s">
        <v>981</v>
      </c>
      <c r="E132" t="s">
        <v>983</v>
      </c>
      <c r="G132">
        <v>20000</v>
      </c>
      <c r="H132" t="s">
        <v>995</v>
      </c>
      <c r="I132" s="3">
        <f>G132 * J132</f>
        <v>0</v>
      </c>
      <c r="J132" s="3">
        <f>IF(H132="HUF", 1, IFERROR(VLOOKUP(B132&amp;H132, '22_ExchangeRates'!A:E, 5, FALSE), 1))</f>
        <v>0</v>
      </c>
      <c r="K132" t="s">
        <v>1000</v>
      </c>
      <c r="N132" t="s">
        <v>1130</v>
      </c>
      <c r="O132" t="s">
        <v>1497</v>
      </c>
    </row>
    <row r="133" spans="1:15">
      <c r="A133" t="s">
        <v>154</v>
      </c>
      <c r="B133" t="s">
        <v>705</v>
      </c>
      <c r="C133" t="s">
        <v>980</v>
      </c>
      <c r="D133" t="s">
        <v>981</v>
      </c>
      <c r="E133" t="s">
        <v>986</v>
      </c>
      <c r="F133" t="s">
        <v>988</v>
      </c>
      <c r="G133">
        <v>20</v>
      </c>
      <c r="H133" t="s">
        <v>996</v>
      </c>
      <c r="I133" s="3">
        <f>G133 * J133</f>
        <v>0</v>
      </c>
      <c r="J133" s="3">
        <f>IF(H133="HUF", 1, IFERROR(VLOOKUP(B133&amp;H133, '22_ExchangeRates'!A:E, 5, FALSE), 1))</f>
        <v>0</v>
      </c>
      <c r="N133" t="s">
        <v>1131</v>
      </c>
      <c r="O133" t="s">
        <v>1497</v>
      </c>
    </row>
    <row r="134" spans="1:15">
      <c r="A134" t="s">
        <v>155</v>
      </c>
      <c r="B134" t="s">
        <v>705</v>
      </c>
      <c r="C134" t="s">
        <v>978</v>
      </c>
      <c r="D134" t="s">
        <v>981</v>
      </c>
      <c r="E134" t="s">
        <v>988</v>
      </c>
      <c r="G134">
        <v>4.5</v>
      </c>
      <c r="H134" t="s">
        <v>997</v>
      </c>
      <c r="I134" s="3">
        <f>G134 * J134</f>
        <v>0</v>
      </c>
      <c r="J134" s="3">
        <f>IF(H134="HUF", 1, IFERROR(VLOOKUP(B134&amp;H134, '22_ExchangeRates'!A:E, 5, FALSE), 1))</f>
        <v>0</v>
      </c>
      <c r="K134" t="s">
        <v>1002</v>
      </c>
      <c r="N134" t="s">
        <v>1132</v>
      </c>
      <c r="O134" t="s">
        <v>1497</v>
      </c>
    </row>
    <row r="135" spans="1:15">
      <c r="A135" t="s">
        <v>156</v>
      </c>
      <c r="B135" t="s">
        <v>705</v>
      </c>
      <c r="C135" t="s">
        <v>978</v>
      </c>
      <c r="D135" t="s">
        <v>981</v>
      </c>
      <c r="E135" t="s">
        <v>988</v>
      </c>
      <c r="G135">
        <v>27.1</v>
      </c>
      <c r="H135" t="s">
        <v>997</v>
      </c>
      <c r="I135" s="3">
        <f>G135 * J135</f>
        <v>0</v>
      </c>
      <c r="J135" s="3">
        <f>IF(H135="HUF", 1, IFERROR(VLOOKUP(B135&amp;H135, '22_ExchangeRates'!A:E, 5, FALSE), 1))</f>
        <v>0</v>
      </c>
      <c r="K135" t="s">
        <v>1002</v>
      </c>
      <c r="N135" t="s">
        <v>1133</v>
      </c>
      <c r="O135" t="s">
        <v>1497</v>
      </c>
    </row>
    <row r="136" spans="1:15">
      <c r="A136" t="s">
        <v>157</v>
      </c>
      <c r="B136" t="s">
        <v>705</v>
      </c>
      <c r="C136" t="s">
        <v>978</v>
      </c>
      <c r="D136" t="s">
        <v>981</v>
      </c>
      <c r="E136" t="s">
        <v>982</v>
      </c>
      <c r="G136">
        <v>3694.55</v>
      </c>
      <c r="H136" t="s">
        <v>995</v>
      </c>
      <c r="I136" s="3">
        <f>G136 * J136</f>
        <v>0</v>
      </c>
      <c r="J136" s="3">
        <f>IF(H136="HUF", 1, IFERROR(VLOOKUP(B136&amp;H136, '22_ExchangeRates'!A:E, 5, FALSE), 1))</f>
        <v>0</v>
      </c>
      <c r="K136" t="s">
        <v>1002</v>
      </c>
      <c r="N136" t="s">
        <v>1134</v>
      </c>
      <c r="O136" t="s">
        <v>1497</v>
      </c>
    </row>
    <row r="137" spans="1:15">
      <c r="A137" t="s">
        <v>158</v>
      </c>
      <c r="B137" t="s">
        <v>705</v>
      </c>
      <c r="C137" t="s">
        <v>978</v>
      </c>
      <c r="D137" t="s">
        <v>981</v>
      </c>
      <c r="E137" t="s">
        <v>988</v>
      </c>
      <c r="G137">
        <v>12</v>
      </c>
      <c r="H137" t="s">
        <v>997</v>
      </c>
      <c r="I137" s="3">
        <f>G137 * J137</f>
        <v>0</v>
      </c>
      <c r="J137" s="3">
        <f>IF(H137="HUF", 1, IFERROR(VLOOKUP(B137&amp;H137, '22_ExchangeRates'!A:E, 5, FALSE), 1))</f>
        <v>0</v>
      </c>
      <c r="K137" t="s">
        <v>1003</v>
      </c>
      <c r="N137" t="s">
        <v>1135</v>
      </c>
      <c r="O137" t="s">
        <v>1497</v>
      </c>
    </row>
    <row r="138" spans="1:15">
      <c r="A138" t="s">
        <v>159</v>
      </c>
      <c r="B138" t="s">
        <v>705</v>
      </c>
      <c r="C138" t="s">
        <v>978</v>
      </c>
      <c r="D138" t="s">
        <v>981</v>
      </c>
      <c r="E138" t="s">
        <v>988</v>
      </c>
      <c r="G138">
        <v>30.9</v>
      </c>
      <c r="H138" t="s">
        <v>997</v>
      </c>
      <c r="I138" s="3">
        <f>G138 * J138</f>
        <v>0</v>
      </c>
      <c r="J138" s="3">
        <f>IF(H138="HUF", 1, IFERROR(VLOOKUP(B138&amp;H138, '22_ExchangeRates'!A:E, 5, FALSE), 1))</f>
        <v>0</v>
      </c>
      <c r="K138" t="s">
        <v>1002</v>
      </c>
      <c r="N138" t="s">
        <v>1136</v>
      </c>
      <c r="O138" t="s">
        <v>1497</v>
      </c>
    </row>
    <row r="139" spans="1:15">
      <c r="A139" t="s">
        <v>160</v>
      </c>
      <c r="B139" t="s">
        <v>705</v>
      </c>
      <c r="C139" t="s">
        <v>978</v>
      </c>
      <c r="D139" t="s">
        <v>981</v>
      </c>
      <c r="E139" t="s">
        <v>988</v>
      </c>
      <c r="G139">
        <v>3</v>
      </c>
      <c r="H139" t="s">
        <v>997</v>
      </c>
      <c r="I139" s="3">
        <f>G139 * J139</f>
        <v>0</v>
      </c>
      <c r="J139" s="3">
        <f>IF(H139="HUF", 1, IFERROR(VLOOKUP(B139&amp;H139, '22_ExchangeRates'!A:E, 5, FALSE), 1))</f>
        <v>0</v>
      </c>
      <c r="K139" t="s">
        <v>1001</v>
      </c>
      <c r="N139" t="s">
        <v>1137</v>
      </c>
      <c r="O139" t="s">
        <v>1497</v>
      </c>
    </row>
    <row r="140" spans="1:15">
      <c r="A140" t="s">
        <v>161</v>
      </c>
      <c r="B140" t="s">
        <v>705</v>
      </c>
      <c r="C140" t="s">
        <v>980</v>
      </c>
      <c r="D140" t="s">
        <v>981</v>
      </c>
      <c r="E140" t="s">
        <v>986</v>
      </c>
      <c r="F140" t="s">
        <v>988</v>
      </c>
      <c r="G140">
        <v>130</v>
      </c>
      <c r="H140" t="s">
        <v>996</v>
      </c>
      <c r="I140" s="3">
        <f>G140 * J140</f>
        <v>0</v>
      </c>
      <c r="J140" s="3">
        <f>IF(H140="HUF", 1, IFERROR(VLOOKUP(B140&amp;H140, '22_ExchangeRates'!A:E, 5, FALSE), 1))</f>
        <v>0</v>
      </c>
      <c r="N140" t="s">
        <v>1138</v>
      </c>
      <c r="O140" t="s">
        <v>1497</v>
      </c>
    </row>
    <row r="141" spans="1:15">
      <c r="A141" t="s">
        <v>162</v>
      </c>
      <c r="B141" t="s">
        <v>706</v>
      </c>
      <c r="C141" t="s">
        <v>978</v>
      </c>
      <c r="D141" t="s">
        <v>981</v>
      </c>
      <c r="E141" t="s">
        <v>988</v>
      </c>
      <c r="G141">
        <v>41</v>
      </c>
      <c r="H141" t="s">
        <v>997</v>
      </c>
      <c r="I141" s="3">
        <f>G141 * J141</f>
        <v>0</v>
      </c>
      <c r="J141" s="3">
        <f>IF(H141="HUF", 1, IFERROR(VLOOKUP(B141&amp;H141, '22_ExchangeRates'!A:E, 5, FALSE), 1))</f>
        <v>0</v>
      </c>
      <c r="K141" t="s">
        <v>1002</v>
      </c>
      <c r="N141" t="s">
        <v>1139</v>
      </c>
      <c r="O141" t="s">
        <v>1497</v>
      </c>
    </row>
    <row r="142" spans="1:15">
      <c r="A142" t="s">
        <v>163</v>
      </c>
      <c r="B142" t="s">
        <v>706</v>
      </c>
      <c r="C142" t="s">
        <v>978</v>
      </c>
      <c r="D142" t="s">
        <v>981</v>
      </c>
      <c r="E142" t="s">
        <v>988</v>
      </c>
      <c r="G142">
        <v>3</v>
      </c>
      <c r="H142" t="s">
        <v>997</v>
      </c>
      <c r="I142" s="3">
        <f>G142 * J142</f>
        <v>0</v>
      </c>
      <c r="J142" s="3">
        <f>IF(H142="HUF", 1, IFERROR(VLOOKUP(B142&amp;H142, '22_ExchangeRates'!A:E, 5, FALSE), 1))</f>
        <v>0</v>
      </c>
      <c r="K142" t="s">
        <v>1001</v>
      </c>
      <c r="N142" t="s">
        <v>1140</v>
      </c>
      <c r="O142" t="s">
        <v>1497</v>
      </c>
    </row>
    <row r="143" spans="1:15">
      <c r="A143" t="s">
        <v>164</v>
      </c>
      <c r="B143" t="s">
        <v>706</v>
      </c>
      <c r="C143" t="s">
        <v>978</v>
      </c>
      <c r="D143" t="s">
        <v>981</v>
      </c>
      <c r="E143" t="s">
        <v>988</v>
      </c>
      <c r="G143">
        <v>4.85</v>
      </c>
      <c r="H143" t="s">
        <v>997</v>
      </c>
      <c r="I143" s="3">
        <f>G143 * J143</f>
        <v>0</v>
      </c>
      <c r="J143" s="3">
        <f>IF(H143="HUF", 1, IFERROR(VLOOKUP(B143&amp;H143, '22_ExchangeRates'!A:E, 5, FALSE), 1))</f>
        <v>0</v>
      </c>
      <c r="K143" t="s">
        <v>1002</v>
      </c>
      <c r="N143" t="s">
        <v>1141</v>
      </c>
      <c r="O143" t="s">
        <v>1497</v>
      </c>
    </row>
    <row r="144" spans="1:15">
      <c r="A144" t="s">
        <v>165</v>
      </c>
      <c r="B144" t="s">
        <v>706</v>
      </c>
      <c r="C144" t="s">
        <v>978</v>
      </c>
      <c r="D144" t="s">
        <v>981</v>
      </c>
      <c r="E144" t="s">
        <v>982</v>
      </c>
      <c r="G144">
        <v>6350.78</v>
      </c>
      <c r="H144" t="s">
        <v>995</v>
      </c>
      <c r="I144" s="3">
        <f>G144 * J144</f>
        <v>0</v>
      </c>
      <c r="J144" s="3">
        <f>IF(H144="HUF", 1, IFERROR(VLOOKUP(B144&amp;H144, '22_ExchangeRates'!A:E, 5, FALSE), 1))</f>
        <v>0</v>
      </c>
      <c r="K144" t="s">
        <v>1002</v>
      </c>
      <c r="N144" t="s">
        <v>1142</v>
      </c>
      <c r="O144" t="s">
        <v>1497</v>
      </c>
    </row>
    <row r="145" spans="1:15">
      <c r="A145" t="s">
        <v>166</v>
      </c>
      <c r="B145" t="s">
        <v>706</v>
      </c>
      <c r="C145" t="s">
        <v>978</v>
      </c>
      <c r="D145" t="s">
        <v>981</v>
      </c>
      <c r="E145" t="s">
        <v>988</v>
      </c>
      <c r="G145">
        <v>10</v>
      </c>
      <c r="H145" t="s">
        <v>997</v>
      </c>
      <c r="I145" s="3">
        <f>G145 * J145</f>
        <v>0</v>
      </c>
      <c r="J145" s="3">
        <f>IF(H145="HUF", 1, IFERROR(VLOOKUP(B145&amp;H145, '22_ExchangeRates'!A:E, 5, FALSE), 1))</f>
        <v>0</v>
      </c>
      <c r="K145" t="s">
        <v>1003</v>
      </c>
      <c r="N145" t="s">
        <v>1143</v>
      </c>
      <c r="O145" t="s">
        <v>1497</v>
      </c>
    </row>
    <row r="146" spans="1:15">
      <c r="A146" t="s">
        <v>167</v>
      </c>
      <c r="B146" t="s">
        <v>706</v>
      </c>
      <c r="C146" t="s">
        <v>978</v>
      </c>
      <c r="D146" t="s">
        <v>981</v>
      </c>
      <c r="E146" t="s">
        <v>988</v>
      </c>
      <c r="G146">
        <v>32</v>
      </c>
      <c r="H146" t="s">
        <v>997</v>
      </c>
      <c r="I146" s="3">
        <f>G146 * J146</f>
        <v>0</v>
      </c>
      <c r="J146" s="3">
        <f>IF(H146="HUF", 1, IFERROR(VLOOKUP(B146&amp;H146, '22_ExchangeRates'!A:E, 5, FALSE), 1))</f>
        <v>0</v>
      </c>
      <c r="K146" t="s">
        <v>1003</v>
      </c>
      <c r="N146" t="s">
        <v>1144</v>
      </c>
      <c r="O146" t="s">
        <v>1497</v>
      </c>
    </row>
    <row r="147" spans="1:15">
      <c r="A147" t="s">
        <v>168</v>
      </c>
      <c r="B147" t="s">
        <v>706</v>
      </c>
      <c r="C147" t="s">
        <v>978</v>
      </c>
      <c r="D147" t="s">
        <v>981</v>
      </c>
      <c r="E147" t="s">
        <v>988</v>
      </c>
      <c r="G147">
        <v>9</v>
      </c>
      <c r="H147" t="s">
        <v>997</v>
      </c>
      <c r="I147" s="3">
        <f>G147 * J147</f>
        <v>0</v>
      </c>
      <c r="J147" s="3">
        <f>IF(H147="HUF", 1, IFERROR(VLOOKUP(B147&amp;H147, '22_ExchangeRates'!A:E, 5, FALSE), 1))</f>
        <v>0</v>
      </c>
      <c r="K147" t="s">
        <v>1003</v>
      </c>
      <c r="N147" t="s">
        <v>1145</v>
      </c>
      <c r="O147" t="s">
        <v>1497</v>
      </c>
    </row>
    <row r="148" spans="1:15">
      <c r="A148" t="s">
        <v>169</v>
      </c>
      <c r="B148" t="s">
        <v>707</v>
      </c>
      <c r="C148" t="s">
        <v>978</v>
      </c>
      <c r="D148" t="s">
        <v>981</v>
      </c>
      <c r="E148" t="s">
        <v>988</v>
      </c>
      <c r="G148">
        <v>16</v>
      </c>
      <c r="H148" t="s">
        <v>997</v>
      </c>
      <c r="I148" s="3">
        <f>G148 * J148</f>
        <v>0</v>
      </c>
      <c r="J148" s="3">
        <f>IF(H148="HUF", 1, IFERROR(VLOOKUP(B148&amp;H148, '22_ExchangeRates'!A:E, 5, FALSE), 1))</f>
        <v>0</v>
      </c>
      <c r="K148" t="s">
        <v>1001</v>
      </c>
      <c r="N148" t="s">
        <v>1146</v>
      </c>
      <c r="O148" t="s">
        <v>1497</v>
      </c>
    </row>
    <row r="149" spans="1:15">
      <c r="A149" t="s">
        <v>170</v>
      </c>
      <c r="B149" t="s">
        <v>707</v>
      </c>
      <c r="C149" t="s">
        <v>978</v>
      </c>
      <c r="D149" t="s">
        <v>981</v>
      </c>
      <c r="E149" t="s">
        <v>988</v>
      </c>
      <c r="G149">
        <v>3.6</v>
      </c>
      <c r="H149" t="s">
        <v>997</v>
      </c>
      <c r="I149" s="3">
        <f>G149 * J149</f>
        <v>0</v>
      </c>
      <c r="J149" s="3">
        <f>IF(H149="HUF", 1, IFERROR(VLOOKUP(B149&amp;H149, '22_ExchangeRates'!A:E, 5, FALSE), 1))</f>
        <v>0</v>
      </c>
      <c r="K149" t="s">
        <v>1002</v>
      </c>
      <c r="N149" t="s">
        <v>1147</v>
      </c>
      <c r="O149" t="s">
        <v>1497</v>
      </c>
    </row>
    <row r="150" spans="1:15">
      <c r="A150" t="s">
        <v>171</v>
      </c>
      <c r="B150" t="s">
        <v>707</v>
      </c>
      <c r="C150" t="s">
        <v>978</v>
      </c>
      <c r="D150" t="s">
        <v>981</v>
      </c>
      <c r="E150" t="s">
        <v>988</v>
      </c>
      <c r="G150">
        <v>8</v>
      </c>
      <c r="H150" t="s">
        <v>997</v>
      </c>
      <c r="I150" s="3">
        <f>G150 * J150</f>
        <v>0</v>
      </c>
      <c r="J150" s="3">
        <f>IF(H150="HUF", 1, IFERROR(VLOOKUP(B150&amp;H150, '22_ExchangeRates'!A:E, 5, FALSE), 1))</f>
        <v>0</v>
      </c>
      <c r="K150" t="s">
        <v>1006</v>
      </c>
      <c r="N150" t="s">
        <v>1148</v>
      </c>
      <c r="O150" t="s">
        <v>1497</v>
      </c>
    </row>
    <row r="151" spans="1:15">
      <c r="A151" t="s">
        <v>172</v>
      </c>
      <c r="B151" t="s">
        <v>707</v>
      </c>
      <c r="C151" t="s">
        <v>978</v>
      </c>
      <c r="D151" t="s">
        <v>981</v>
      </c>
      <c r="E151" t="s">
        <v>988</v>
      </c>
      <c r="G151">
        <v>16</v>
      </c>
      <c r="H151" t="s">
        <v>997</v>
      </c>
      <c r="I151" s="3">
        <f>G151 * J151</f>
        <v>0</v>
      </c>
      <c r="J151" s="3">
        <f>IF(H151="HUF", 1, IFERROR(VLOOKUP(B151&amp;H151, '22_ExchangeRates'!A:E, 5, FALSE), 1))</f>
        <v>0</v>
      </c>
      <c r="K151" t="s">
        <v>1001</v>
      </c>
      <c r="N151" t="s">
        <v>1149</v>
      </c>
      <c r="O151" t="s">
        <v>1497</v>
      </c>
    </row>
    <row r="152" spans="1:15">
      <c r="A152" t="s">
        <v>173</v>
      </c>
      <c r="B152" t="s">
        <v>707</v>
      </c>
      <c r="C152" t="s">
        <v>978</v>
      </c>
      <c r="D152" t="s">
        <v>981</v>
      </c>
      <c r="E152" t="s">
        <v>988</v>
      </c>
      <c r="G152">
        <v>3</v>
      </c>
      <c r="H152" t="s">
        <v>997</v>
      </c>
      <c r="I152" s="3">
        <f>G152 * J152</f>
        <v>0</v>
      </c>
      <c r="J152" s="3">
        <f>IF(H152="HUF", 1, IFERROR(VLOOKUP(B152&amp;H152, '22_ExchangeRates'!A:E, 5, FALSE), 1))</f>
        <v>0</v>
      </c>
      <c r="K152" t="s">
        <v>1000</v>
      </c>
      <c r="N152" t="s">
        <v>1150</v>
      </c>
      <c r="O152" t="s">
        <v>1497</v>
      </c>
    </row>
    <row r="153" spans="1:15">
      <c r="A153" t="s">
        <v>174</v>
      </c>
      <c r="B153" t="s">
        <v>708</v>
      </c>
      <c r="C153" t="s">
        <v>978</v>
      </c>
      <c r="D153" t="s">
        <v>981</v>
      </c>
      <c r="E153" t="s">
        <v>988</v>
      </c>
      <c r="G153">
        <v>15.65</v>
      </c>
      <c r="H153" t="s">
        <v>997</v>
      </c>
      <c r="I153" s="3">
        <f>G153 * J153</f>
        <v>0</v>
      </c>
      <c r="J153" s="3">
        <f>IF(H153="HUF", 1, IFERROR(VLOOKUP(B153&amp;H153, '22_ExchangeRates'!A:E, 5, FALSE), 1))</f>
        <v>0</v>
      </c>
      <c r="K153" t="s">
        <v>1000</v>
      </c>
      <c r="N153" t="s">
        <v>1151</v>
      </c>
      <c r="O153" t="s">
        <v>1497</v>
      </c>
    </row>
    <row r="154" spans="1:15">
      <c r="A154" t="s">
        <v>175</v>
      </c>
      <c r="B154" t="s">
        <v>708</v>
      </c>
      <c r="C154" t="s">
        <v>978</v>
      </c>
      <c r="D154" t="s">
        <v>981</v>
      </c>
      <c r="E154" t="s">
        <v>988</v>
      </c>
      <c r="G154">
        <v>8</v>
      </c>
      <c r="H154" t="s">
        <v>997</v>
      </c>
      <c r="I154" s="3">
        <f>G154 * J154</f>
        <v>0</v>
      </c>
      <c r="J154" s="3">
        <f>IF(H154="HUF", 1, IFERROR(VLOOKUP(B154&amp;H154, '22_ExchangeRates'!A:E, 5, FALSE), 1))</f>
        <v>0</v>
      </c>
      <c r="K154" t="s">
        <v>1003</v>
      </c>
      <c r="N154" t="s">
        <v>1152</v>
      </c>
      <c r="O154" t="s">
        <v>1497</v>
      </c>
    </row>
    <row r="155" spans="1:15">
      <c r="A155" t="s">
        <v>176</v>
      </c>
      <c r="B155" t="s">
        <v>708</v>
      </c>
      <c r="C155" t="s">
        <v>978</v>
      </c>
      <c r="D155" t="s">
        <v>981</v>
      </c>
      <c r="E155" t="s">
        <v>988</v>
      </c>
      <c r="G155">
        <v>3</v>
      </c>
      <c r="H155" t="s">
        <v>997</v>
      </c>
      <c r="I155" s="3">
        <f>G155 * J155</f>
        <v>0</v>
      </c>
      <c r="J155" s="3">
        <f>IF(H155="HUF", 1, IFERROR(VLOOKUP(B155&amp;H155, '22_ExchangeRates'!A:E, 5, FALSE), 1))</f>
        <v>0</v>
      </c>
      <c r="K155" t="s">
        <v>1001</v>
      </c>
      <c r="N155" t="s">
        <v>1153</v>
      </c>
      <c r="O155" t="s">
        <v>1497</v>
      </c>
    </row>
    <row r="156" spans="1:15">
      <c r="A156" t="s">
        <v>177</v>
      </c>
      <c r="B156" t="s">
        <v>708</v>
      </c>
      <c r="C156" t="s">
        <v>978</v>
      </c>
      <c r="D156" t="s">
        <v>981</v>
      </c>
      <c r="E156" t="s">
        <v>988</v>
      </c>
      <c r="G156">
        <v>25.9</v>
      </c>
      <c r="H156" t="s">
        <v>997</v>
      </c>
      <c r="I156" s="3">
        <f>G156 * J156</f>
        <v>0</v>
      </c>
      <c r="J156" s="3">
        <f>IF(H156="HUF", 1, IFERROR(VLOOKUP(B156&amp;H156, '22_ExchangeRates'!A:E, 5, FALSE), 1))</f>
        <v>0</v>
      </c>
      <c r="K156" t="s">
        <v>1002</v>
      </c>
      <c r="N156" t="s">
        <v>1154</v>
      </c>
      <c r="O156" t="s">
        <v>1497</v>
      </c>
    </row>
    <row r="157" spans="1:15">
      <c r="A157" t="s">
        <v>178</v>
      </c>
      <c r="B157" t="s">
        <v>708</v>
      </c>
      <c r="C157" t="s">
        <v>978</v>
      </c>
      <c r="D157" t="s">
        <v>981</v>
      </c>
      <c r="E157" t="s">
        <v>988</v>
      </c>
      <c r="G157">
        <v>4</v>
      </c>
      <c r="H157" t="s">
        <v>997</v>
      </c>
      <c r="I157" s="3">
        <f>G157 * J157</f>
        <v>0</v>
      </c>
      <c r="J157" s="3">
        <f>IF(H157="HUF", 1, IFERROR(VLOOKUP(B157&amp;H157, '22_ExchangeRates'!A:E, 5, FALSE), 1))</f>
        <v>0</v>
      </c>
      <c r="K157" t="s">
        <v>1002</v>
      </c>
      <c r="N157" t="s">
        <v>1155</v>
      </c>
      <c r="O157" t="s">
        <v>1497</v>
      </c>
    </row>
    <row r="158" spans="1:15">
      <c r="A158" t="s">
        <v>179</v>
      </c>
      <c r="B158" t="s">
        <v>709</v>
      </c>
      <c r="C158" t="s">
        <v>978</v>
      </c>
      <c r="D158" t="s">
        <v>981</v>
      </c>
      <c r="E158" t="s">
        <v>982</v>
      </c>
      <c r="G158">
        <v>220</v>
      </c>
      <c r="H158" t="s">
        <v>995</v>
      </c>
      <c r="I158" s="3">
        <f>G158 * J158</f>
        <v>0</v>
      </c>
      <c r="J158" s="3">
        <f>IF(H158="HUF", 1, IFERROR(VLOOKUP(B158&amp;H158, '22_ExchangeRates'!A:E, 5, FALSE), 1))</f>
        <v>0</v>
      </c>
      <c r="K158" t="s">
        <v>1001</v>
      </c>
      <c r="N158" t="s">
        <v>1093</v>
      </c>
      <c r="O158" t="s">
        <v>1497</v>
      </c>
    </row>
    <row r="159" spans="1:15">
      <c r="A159" t="s">
        <v>180</v>
      </c>
      <c r="B159" t="s">
        <v>710</v>
      </c>
      <c r="C159" t="s">
        <v>979</v>
      </c>
      <c r="D159" t="s">
        <v>981</v>
      </c>
      <c r="E159" t="s">
        <v>982</v>
      </c>
      <c r="G159">
        <v>9034</v>
      </c>
      <c r="H159" t="s">
        <v>995</v>
      </c>
      <c r="I159" s="3">
        <f>G159 * J159</f>
        <v>0</v>
      </c>
      <c r="J159" s="3">
        <f>IF(H159="HUF", 1, IFERROR(VLOOKUP(B159&amp;H159, '22_ExchangeRates'!A:E, 5, FALSE), 1))</f>
        <v>0</v>
      </c>
      <c r="K159" t="s">
        <v>1004</v>
      </c>
      <c r="N159" t="s">
        <v>1156</v>
      </c>
      <c r="O159" t="s">
        <v>1497</v>
      </c>
    </row>
    <row r="160" spans="1:15">
      <c r="A160" t="s">
        <v>181</v>
      </c>
      <c r="B160" t="s">
        <v>711</v>
      </c>
      <c r="C160" t="s">
        <v>978</v>
      </c>
      <c r="D160" t="s">
        <v>981</v>
      </c>
      <c r="E160" t="s">
        <v>982</v>
      </c>
      <c r="G160">
        <v>220</v>
      </c>
      <c r="H160" t="s">
        <v>995</v>
      </c>
      <c r="I160" s="3">
        <f>G160 * J160</f>
        <v>0</v>
      </c>
      <c r="J160" s="3">
        <f>IF(H160="HUF", 1, IFERROR(VLOOKUP(B160&amp;H160, '22_ExchangeRates'!A:E, 5, FALSE), 1))</f>
        <v>0</v>
      </c>
      <c r="K160" t="s">
        <v>1001</v>
      </c>
      <c r="N160" t="s">
        <v>1105</v>
      </c>
      <c r="O160" t="s">
        <v>1497</v>
      </c>
    </row>
    <row r="161" spans="1:15">
      <c r="A161" t="s">
        <v>182</v>
      </c>
      <c r="B161" t="s">
        <v>712</v>
      </c>
      <c r="C161" t="s">
        <v>978</v>
      </c>
      <c r="D161" t="s">
        <v>981</v>
      </c>
      <c r="E161" t="s">
        <v>983</v>
      </c>
      <c r="G161">
        <v>700</v>
      </c>
      <c r="H161" t="s">
        <v>995</v>
      </c>
      <c r="I161" s="3">
        <f>G161 * J161</f>
        <v>0</v>
      </c>
      <c r="J161" s="3">
        <f>IF(H161="HUF", 1, IFERROR(VLOOKUP(B161&amp;H161, '22_ExchangeRates'!A:E, 5, FALSE), 1))</f>
        <v>0</v>
      </c>
      <c r="K161" t="s">
        <v>1003</v>
      </c>
      <c r="N161" t="s">
        <v>1157</v>
      </c>
      <c r="O161" t="s">
        <v>1497</v>
      </c>
    </row>
    <row r="162" spans="1:15">
      <c r="A162" t="s">
        <v>183</v>
      </c>
      <c r="B162" t="s">
        <v>713</v>
      </c>
      <c r="C162" t="s">
        <v>979</v>
      </c>
      <c r="D162" t="s">
        <v>981</v>
      </c>
      <c r="E162" t="s">
        <v>982</v>
      </c>
      <c r="G162">
        <v>10400</v>
      </c>
      <c r="H162" t="s">
        <v>995</v>
      </c>
      <c r="I162" s="3">
        <f>G162 * J162</f>
        <v>0</v>
      </c>
      <c r="J162" s="3">
        <f>IF(H162="HUF", 1, IFERROR(VLOOKUP(B162&amp;H162, '22_ExchangeRates'!A:E, 5, FALSE), 1))</f>
        <v>0</v>
      </c>
      <c r="K162" t="s">
        <v>1006</v>
      </c>
      <c r="N162" t="s">
        <v>1158</v>
      </c>
      <c r="O162" t="s">
        <v>1497</v>
      </c>
    </row>
    <row r="163" spans="1:15">
      <c r="A163" t="s">
        <v>184</v>
      </c>
      <c r="B163" t="s">
        <v>713</v>
      </c>
      <c r="C163" t="s">
        <v>980</v>
      </c>
      <c r="D163" t="s">
        <v>981</v>
      </c>
      <c r="E163" t="s">
        <v>982</v>
      </c>
      <c r="F163" t="s">
        <v>991</v>
      </c>
      <c r="G163">
        <v>390625</v>
      </c>
      <c r="H163" t="s">
        <v>995</v>
      </c>
      <c r="I163" s="3">
        <f>G163 * J163</f>
        <v>0</v>
      </c>
      <c r="J163" s="3">
        <f>IF(H163="HUF", 1, IFERROR(VLOOKUP(B163&amp;H163, '22_ExchangeRates'!A:E, 5, FALSE), 1))</f>
        <v>0</v>
      </c>
      <c r="O163" t="s">
        <v>1497</v>
      </c>
    </row>
    <row r="164" spans="1:15">
      <c r="A164" t="s">
        <v>185</v>
      </c>
      <c r="B164" t="s">
        <v>714</v>
      </c>
      <c r="C164" t="s">
        <v>978</v>
      </c>
      <c r="D164" t="s">
        <v>981</v>
      </c>
      <c r="E164" t="s">
        <v>983</v>
      </c>
      <c r="G164">
        <v>3940</v>
      </c>
      <c r="H164" t="s">
        <v>995</v>
      </c>
      <c r="I164" s="3">
        <f>G164 * J164</f>
        <v>0</v>
      </c>
      <c r="J164" s="3">
        <f>IF(H164="HUF", 1, IFERROR(VLOOKUP(B164&amp;H164, '22_ExchangeRates'!A:E, 5, FALSE), 1))</f>
        <v>0</v>
      </c>
      <c r="K164" t="s">
        <v>1002</v>
      </c>
      <c r="N164" t="s">
        <v>1159</v>
      </c>
      <c r="O164" t="s">
        <v>1497</v>
      </c>
    </row>
    <row r="165" spans="1:15">
      <c r="A165" t="s">
        <v>186</v>
      </c>
      <c r="B165" t="s">
        <v>714</v>
      </c>
      <c r="C165" t="s">
        <v>978</v>
      </c>
      <c r="D165" t="s">
        <v>981</v>
      </c>
      <c r="E165" t="s">
        <v>982</v>
      </c>
      <c r="G165">
        <v>5500</v>
      </c>
      <c r="H165" t="s">
        <v>995</v>
      </c>
      <c r="I165" s="3">
        <f>G165 * J165</f>
        <v>0</v>
      </c>
      <c r="J165" s="3">
        <f>IF(H165="HUF", 1, IFERROR(VLOOKUP(B165&amp;H165, '22_ExchangeRates'!A:E, 5, FALSE), 1))</f>
        <v>0</v>
      </c>
      <c r="K165" t="s">
        <v>1006</v>
      </c>
      <c r="N165" t="s">
        <v>1160</v>
      </c>
      <c r="O165" t="s">
        <v>1497</v>
      </c>
    </row>
    <row r="166" spans="1:15">
      <c r="A166" t="s">
        <v>187</v>
      </c>
      <c r="B166" t="s">
        <v>715</v>
      </c>
      <c r="C166" t="s">
        <v>980</v>
      </c>
      <c r="D166" t="s">
        <v>981</v>
      </c>
      <c r="E166" t="s">
        <v>989</v>
      </c>
      <c r="F166" t="s">
        <v>991</v>
      </c>
      <c r="G166">
        <v>516.22</v>
      </c>
      <c r="H166" t="s">
        <v>998</v>
      </c>
      <c r="I166" s="3">
        <f>G166 * J166</f>
        <v>0</v>
      </c>
      <c r="J166" s="3">
        <f>IF(H166="HUF", 1, IFERROR(VLOOKUP(B166&amp;H166, '22_ExchangeRates'!A:E, 5, FALSE), 1))</f>
        <v>0</v>
      </c>
      <c r="N166" t="s">
        <v>1161</v>
      </c>
      <c r="O166" t="s">
        <v>1497</v>
      </c>
    </row>
    <row r="167" spans="1:15">
      <c r="A167" t="s">
        <v>188</v>
      </c>
      <c r="B167" t="s">
        <v>716</v>
      </c>
      <c r="C167" t="s">
        <v>979</v>
      </c>
      <c r="D167" t="s">
        <v>981</v>
      </c>
      <c r="E167" t="s">
        <v>982</v>
      </c>
      <c r="G167">
        <v>10011</v>
      </c>
      <c r="H167" t="s">
        <v>995</v>
      </c>
      <c r="I167" s="3">
        <f>G167 * J167</f>
        <v>0</v>
      </c>
      <c r="J167" s="3">
        <f>IF(H167="HUF", 1, IFERROR(VLOOKUP(B167&amp;H167, '22_ExchangeRates'!A:E, 5, FALSE), 1))</f>
        <v>0</v>
      </c>
      <c r="K167" t="s">
        <v>1004</v>
      </c>
      <c r="N167" t="s">
        <v>1162</v>
      </c>
      <c r="O167" t="s">
        <v>1497</v>
      </c>
    </row>
    <row r="168" spans="1:15">
      <c r="A168" t="s">
        <v>189</v>
      </c>
      <c r="B168" t="s">
        <v>717</v>
      </c>
      <c r="C168" t="s">
        <v>978</v>
      </c>
      <c r="D168" t="s">
        <v>981</v>
      </c>
      <c r="E168" t="s">
        <v>982</v>
      </c>
      <c r="G168">
        <v>1044</v>
      </c>
      <c r="H168" t="s">
        <v>995</v>
      </c>
      <c r="I168" s="3">
        <f>G168 * J168</f>
        <v>0</v>
      </c>
      <c r="J168" s="3">
        <f>IF(H168="HUF", 1, IFERROR(VLOOKUP(B168&amp;H168, '22_ExchangeRates'!A:E, 5, FALSE), 1))</f>
        <v>0</v>
      </c>
      <c r="K168" t="s">
        <v>1003</v>
      </c>
      <c r="N168" t="s">
        <v>1163</v>
      </c>
      <c r="O168" t="s">
        <v>1497</v>
      </c>
    </row>
    <row r="169" spans="1:15">
      <c r="A169" t="s">
        <v>190</v>
      </c>
      <c r="B169" t="s">
        <v>718</v>
      </c>
      <c r="C169" t="s">
        <v>979</v>
      </c>
      <c r="D169" t="s">
        <v>981</v>
      </c>
      <c r="E169" t="s">
        <v>983</v>
      </c>
      <c r="G169">
        <v>30000</v>
      </c>
      <c r="H169" t="s">
        <v>995</v>
      </c>
      <c r="I169" s="3">
        <f>G169 * J169</f>
        <v>0</v>
      </c>
      <c r="J169" s="3">
        <f>IF(H169="HUF", 1, IFERROR(VLOOKUP(B169&amp;H169, '22_ExchangeRates'!A:E, 5, FALSE), 1))</f>
        <v>0</v>
      </c>
      <c r="K169" t="s">
        <v>1000</v>
      </c>
      <c r="N169" t="s">
        <v>1164</v>
      </c>
      <c r="O169" t="s">
        <v>1497</v>
      </c>
    </row>
    <row r="170" spans="1:15">
      <c r="A170" t="s">
        <v>191</v>
      </c>
      <c r="B170" t="s">
        <v>718</v>
      </c>
      <c r="C170" t="s">
        <v>979</v>
      </c>
      <c r="D170" t="s">
        <v>981</v>
      </c>
      <c r="E170" t="s">
        <v>983</v>
      </c>
      <c r="G170">
        <v>2500</v>
      </c>
      <c r="H170" t="s">
        <v>995</v>
      </c>
      <c r="I170" s="3">
        <f>G170 * J170</f>
        <v>0</v>
      </c>
      <c r="J170" s="3">
        <f>IF(H170="HUF", 1, IFERROR(VLOOKUP(B170&amp;H170, '22_ExchangeRates'!A:E, 5, FALSE), 1))</f>
        <v>0</v>
      </c>
      <c r="K170" t="s">
        <v>1000</v>
      </c>
      <c r="N170" t="s">
        <v>1165</v>
      </c>
      <c r="O170" t="s">
        <v>1497</v>
      </c>
    </row>
    <row r="171" spans="1:15">
      <c r="A171" t="s">
        <v>192</v>
      </c>
      <c r="B171" t="s">
        <v>719</v>
      </c>
      <c r="C171" t="s">
        <v>978</v>
      </c>
      <c r="D171" t="s">
        <v>981</v>
      </c>
      <c r="E171" t="s">
        <v>982</v>
      </c>
      <c r="G171">
        <v>2090</v>
      </c>
      <c r="H171" t="s">
        <v>995</v>
      </c>
      <c r="I171" s="3">
        <f>G171 * J171</f>
        <v>0</v>
      </c>
      <c r="J171" s="3">
        <f>IF(H171="HUF", 1, IFERROR(VLOOKUP(B171&amp;H171, '22_ExchangeRates'!A:E, 5, FALSE), 1))</f>
        <v>0</v>
      </c>
      <c r="K171" t="s">
        <v>1002</v>
      </c>
      <c r="N171" t="s">
        <v>1166</v>
      </c>
      <c r="O171" t="s">
        <v>1497</v>
      </c>
    </row>
    <row r="172" spans="1:15">
      <c r="A172" t="s">
        <v>193</v>
      </c>
      <c r="B172" t="s">
        <v>719</v>
      </c>
      <c r="C172" t="s">
        <v>978</v>
      </c>
      <c r="D172" t="s">
        <v>981</v>
      </c>
      <c r="E172" t="s">
        <v>982</v>
      </c>
      <c r="G172">
        <v>2720</v>
      </c>
      <c r="H172" t="s">
        <v>995</v>
      </c>
      <c r="I172" s="3">
        <f>G172 * J172</f>
        <v>0</v>
      </c>
      <c r="J172" s="3">
        <f>IF(H172="HUF", 1, IFERROR(VLOOKUP(B172&amp;H172, '22_ExchangeRates'!A:E, 5, FALSE), 1))</f>
        <v>0</v>
      </c>
      <c r="K172" t="s">
        <v>1003</v>
      </c>
      <c r="N172" t="s">
        <v>1167</v>
      </c>
      <c r="O172" t="s">
        <v>1497</v>
      </c>
    </row>
    <row r="173" spans="1:15">
      <c r="A173" t="s">
        <v>194</v>
      </c>
      <c r="B173" t="s">
        <v>719</v>
      </c>
      <c r="C173" t="s">
        <v>978</v>
      </c>
      <c r="D173" t="s">
        <v>981</v>
      </c>
      <c r="E173" t="s">
        <v>983</v>
      </c>
      <c r="G173">
        <v>5150</v>
      </c>
      <c r="H173" t="s">
        <v>995</v>
      </c>
      <c r="I173" s="3">
        <f>G173 * J173</f>
        <v>0</v>
      </c>
      <c r="J173" s="3">
        <f>IF(H173="HUF", 1, IFERROR(VLOOKUP(B173&amp;H173, '22_ExchangeRates'!A:E, 5, FALSE), 1))</f>
        <v>0</v>
      </c>
      <c r="K173" t="s">
        <v>1002</v>
      </c>
      <c r="N173" t="s">
        <v>1168</v>
      </c>
      <c r="O173" t="s">
        <v>1497</v>
      </c>
    </row>
    <row r="174" spans="1:15">
      <c r="A174" t="s">
        <v>195</v>
      </c>
      <c r="B174" t="s">
        <v>719</v>
      </c>
      <c r="C174" t="s">
        <v>978</v>
      </c>
      <c r="D174" t="s">
        <v>981</v>
      </c>
      <c r="E174" t="s">
        <v>983</v>
      </c>
      <c r="G174">
        <v>5200</v>
      </c>
      <c r="H174" t="s">
        <v>995</v>
      </c>
      <c r="I174" s="3">
        <f>G174 * J174</f>
        <v>0</v>
      </c>
      <c r="J174" s="3">
        <f>IF(H174="HUF", 1, IFERROR(VLOOKUP(B174&amp;H174, '22_ExchangeRates'!A:E, 5, FALSE), 1))</f>
        <v>0</v>
      </c>
      <c r="K174" t="s">
        <v>1002</v>
      </c>
      <c r="N174" t="s">
        <v>1169</v>
      </c>
      <c r="O174" t="s">
        <v>1497</v>
      </c>
    </row>
    <row r="175" spans="1:15">
      <c r="A175" t="s">
        <v>196</v>
      </c>
      <c r="B175" t="s">
        <v>719</v>
      </c>
      <c r="C175" t="s">
        <v>980</v>
      </c>
      <c r="D175" t="s">
        <v>981</v>
      </c>
      <c r="E175" t="s">
        <v>983</v>
      </c>
      <c r="F175" t="s">
        <v>982</v>
      </c>
      <c r="G175">
        <v>4039</v>
      </c>
      <c r="H175" t="s">
        <v>995</v>
      </c>
      <c r="I175" s="3">
        <f>G175 * J175</f>
        <v>0</v>
      </c>
      <c r="J175" s="3">
        <f>IF(H175="HUF", 1, IFERROR(VLOOKUP(B175&amp;H175, '22_ExchangeRates'!A:E, 5, FALSE), 1))</f>
        <v>0</v>
      </c>
      <c r="N175" t="s">
        <v>1170</v>
      </c>
      <c r="O175" t="s">
        <v>1497</v>
      </c>
    </row>
    <row r="176" spans="1:15">
      <c r="A176" t="s">
        <v>197</v>
      </c>
      <c r="B176" t="s">
        <v>720</v>
      </c>
      <c r="C176" t="s">
        <v>978</v>
      </c>
      <c r="D176" t="s">
        <v>981</v>
      </c>
      <c r="E176" t="s">
        <v>983</v>
      </c>
      <c r="G176">
        <v>1300</v>
      </c>
      <c r="H176" t="s">
        <v>995</v>
      </c>
      <c r="I176" s="3">
        <f>G176 * J176</f>
        <v>0</v>
      </c>
      <c r="J176" s="3">
        <f>IF(H176="HUF", 1, IFERROR(VLOOKUP(B176&amp;H176, '22_ExchangeRates'!A:E, 5, FALSE), 1))</f>
        <v>0</v>
      </c>
      <c r="K176" t="s">
        <v>1003</v>
      </c>
      <c r="N176" t="s">
        <v>1171</v>
      </c>
      <c r="O176" t="s">
        <v>1497</v>
      </c>
    </row>
    <row r="177" spans="1:15">
      <c r="A177" t="s">
        <v>198</v>
      </c>
      <c r="B177" t="s">
        <v>721</v>
      </c>
      <c r="C177" t="s">
        <v>978</v>
      </c>
      <c r="D177" t="s">
        <v>981</v>
      </c>
      <c r="E177" t="s">
        <v>982</v>
      </c>
      <c r="G177">
        <v>1870</v>
      </c>
      <c r="H177" t="s">
        <v>995</v>
      </c>
      <c r="I177" s="3">
        <f>G177 * J177</f>
        <v>0</v>
      </c>
      <c r="J177" s="3">
        <f>IF(H177="HUF", 1, IFERROR(VLOOKUP(B177&amp;H177, '22_ExchangeRates'!A:E, 5, FALSE), 1))</f>
        <v>0</v>
      </c>
      <c r="K177" t="s">
        <v>1002</v>
      </c>
      <c r="N177" t="s">
        <v>1172</v>
      </c>
      <c r="O177" t="s">
        <v>1497</v>
      </c>
    </row>
    <row r="178" spans="1:15">
      <c r="A178" t="s">
        <v>199</v>
      </c>
      <c r="B178" t="s">
        <v>721</v>
      </c>
      <c r="C178" t="s">
        <v>978</v>
      </c>
      <c r="D178" t="s">
        <v>981</v>
      </c>
      <c r="E178" t="s">
        <v>983</v>
      </c>
      <c r="G178">
        <v>2200</v>
      </c>
      <c r="H178" t="s">
        <v>995</v>
      </c>
      <c r="I178" s="3">
        <f>G178 * J178</f>
        <v>0</v>
      </c>
      <c r="J178" s="3">
        <f>IF(H178="HUF", 1, IFERROR(VLOOKUP(B178&amp;H178, '22_ExchangeRates'!A:E, 5, FALSE), 1))</f>
        <v>0</v>
      </c>
      <c r="K178" t="s">
        <v>1003</v>
      </c>
      <c r="N178" t="s">
        <v>1173</v>
      </c>
      <c r="O178" t="s">
        <v>1497</v>
      </c>
    </row>
    <row r="179" spans="1:15">
      <c r="A179" t="s">
        <v>200</v>
      </c>
      <c r="B179" t="s">
        <v>721</v>
      </c>
      <c r="C179" t="s">
        <v>978</v>
      </c>
      <c r="D179" t="s">
        <v>981</v>
      </c>
      <c r="E179" t="s">
        <v>983</v>
      </c>
      <c r="G179">
        <v>1300</v>
      </c>
      <c r="H179" t="s">
        <v>995</v>
      </c>
      <c r="I179" s="3">
        <f>G179 * J179</f>
        <v>0</v>
      </c>
      <c r="J179" s="3">
        <f>IF(H179="HUF", 1, IFERROR(VLOOKUP(B179&amp;H179, '22_ExchangeRates'!A:E, 5, FALSE), 1))</f>
        <v>0</v>
      </c>
      <c r="K179" t="s">
        <v>1003</v>
      </c>
      <c r="N179" t="s">
        <v>1171</v>
      </c>
      <c r="O179" t="s">
        <v>1497</v>
      </c>
    </row>
    <row r="180" spans="1:15">
      <c r="A180" t="s">
        <v>201</v>
      </c>
      <c r="B180" t="s">
        <v>721</v>
      </c>
      <c r="C180" t="s">
        <v>978</v>
      </c>
      <c r="D180" t="s">
        <v>981</v>
      </c>
      <c r="E180" t="s">
        <v>983</v>
      </c>
      <c r="G180">
        <v>3390</v>
      </c>
      <c r="H180" t="s">
        <v>995</v>
      </c>
      <c r="I180" s="3">
        <f>G180 * J180</f>
        <v>0</v>
      </c>
      <c r="J180" s="3">
        <f>IF(H180="HUF", 1, IFERROR(VLOOKUP(B180&amp;H180, '22_ExchangeRates'!A:E, 5, FALSE), 1))</f>
        <v>0</v>
      </c>
      <c r="K180" t="s">
        <v>1002</v>
      </c>
      <c r="N180" t="s">
        <v>1174</v>
      </c>
      <c r="O180" t="s">
        <v>1497</v>
      </c>
    </row>
    <row r="181" spans="1:15">
      <c r="A181" t="s">
        <v>202</v>
      </c>
      <c r="B181" t="s">
        <v>721</v>
      </c>
      <c r="C181" t="s">
        <v>978</v>
      </c>
      <c r="D181" t="s">
        <v>981</v>
      </c>
      <c r="E181" t="s">
        <v>983</v>
      </c>
      <c r="G181">
        <v>2100</v>
      </c>
      <c r="H181" t="s">
        <v>995</v>
      </c>
      <c r="I181" s="3">
        <f>G181 * J181</f>
        <v>0</v>
      </c>
      <c r="J181" s="3">
        <f>IF(H181="HUF", 1, IFERROR(VLOOKUP(B181&amp;H181, '22_ExchangeRates'!A:E, 5, FALSE), 1))</f>
        <v>0</v>
      </c>
      <c r="K181" t="s">
        <v>1002</v>
      </c>
      <c r="N181" t="s">
        <v>1175</v>
      </c>
      <c r="O181" t="s">
        <v>1497</v>
      </c>
    </row>
    <row r="182" spans="1:15">
      <c r="A182" t="s">
        <v>203</v>
      </c>
      <c r="B182" t="s">
        <v>721</v>
      </c>
      <c r="C182" t="s">
        <v>978</v>
      </c>
      <c r="D182" t="s">
        <v>981</v>
      </c>
      <c r="E182" t="s">
        <v>983</v>
      </c>
      <c r="G182">
        <v>1200</v>
      </c>
      <c r="H182" t="s">
        <v>995</v>
      </c>
      <c r="I182" s="3">
        <f>G182 * J182</f>
        <v>0</v>
      </c>
      <c r="J182" s="3">
        <f>IF(H182="HUF", 1, IFERROR(VLOOKUP(B182&amp;H182, '22_ExchangeRates'!A:E, 5, FALSE), 1))</f>
        <v>0</v>
      </c>
      <c r="K182" t="s">
        <v>1003</v>
      </c>
      <c r="N182" t="s">
        <v>1176</v>
      </c>
      <c r="O182" t="s">
        <v>1497</v>
      </c>
    </row>
    <row r="183" spans="1:15">
      <c r="A183" t="s">
        <v>204</v>
      </c>
      <c r="B183" t="s">
        <v>722</v>
      </c>
      <c r="C183" t="s">
        <v>978</v>
      </c>
      <c r="D183" t="s">
        <v>981</v>
      </c>
      <c r="E183" t="s">
        <v>982</v>
      </c>
      <c r="G183">
        <v>2200</v>
      </c>
      <c r="H183" t="s">
        <v>995</v>
      </c>
      <c r="I183" s="3">
        <f>G183 * J183</f>
        <v>0</v>
      </c>
      <c r="J183" s="3">
        <f>IF(H183="HUF", 1, IFERROR(VLOOKUP(B183&amp;H183, '22_ExchangeRates'!A:E, 5, FALSE), 1))</f>
        <v>0</v>
      </c>
      <c r="K183" t="s">
        <v>1002</v>
      </c>
      <c r="N183" t="s">
        <v>1177</v>
      </c>
      <c r="O183" t="s">
        <v>1497</v>
      </c>
    </row>
    <row r="184" spans="1:15">
      <c r="A184" t="s">
        <v>205</v>
      </c>
      <c r="B184" t="s">
        <v>722</v>
      </c>
      <c r="C184" t="s">
        <v>978</v>
      </c>
      <c r="D184" t="s">
        <v>981</v>
      </c>
      <c r="E184" t="s">
        <v>983</v>
      </c>
      <c r="G184">
        <v>1300</v>
      </c>
      <c r="H184" t="s">
        <v>995</v>
      </c>
      <c r="I184" s="3">
        <f>G184 * J184</f>
        <v>0</v>
      </c>
      <c r="J184" s="3">
        <f>IF(H184="HUF", 1, IFERROR(VLOOKUP(B184&amp;H184, '22_ExchangeRates'!A:E, 5, FALSE), 1))</f>
        <v>0</v>
      </c>
      <c r="K184" t="s">
        <v>1003</v>
      </c>
      <c r="N184" t="s">
        <v>1178</v>
      </c>
      <c r="O184" t="s">
        <v>1497</v>
      </c>
    </row>
    <row r="185" spans="1:15">
      <c r="A185" t="s">
        <v>206</v>
      </c>
      <c r="B185" t="s">
        <v>723</v>
      </c>
      <c r="C185" t="s">
        <v>978</v>
      </c>
      <c r="D185" t="s">
        <v>981</v>
      </c>
      <c r="E185" t="s">
        <v>983</v>
      </c>
      <c r="G185">
        <v>3600</v>
      </c>
      <c r="H185" t="s">
        <v>995</v>
      </c>
      <c r="I185" s="3">
        <f>G185 * J185</f>
        <v>0</v>
      </c>
      <c r="J185" s="3">
        <f>IF(H185="HUF", 1, IFERROR(VLOOKUP(B185&amp;H185, '22_ExchangeRates'!A:E, 5, FALSE), 1))</f>
        <v>0</v>
      </c>
      <c r="K185" t="s">
        <v>1005</v>
      </c>
      <c r="N185" t="s">
        <v>1179</v>
      </c>
      <c r="O185" t="s">
        <v>1497</v>
      </c>
    </row>
    <row r="186" spans="1:15">
      <c r="A186" t="s">
        <v>207</v>
      </c>
      <c r="B186" t="s">
        <v>724</v>
      </c>
      <c r="C186" t="s">
        <v>978</v>
      </c>
      <c r="D186" t="s">
        <v>981</v>
      </c>
      <c r="E186" t="s">
        <v>983</v>
      </c>
      <c r="G186">
        <v>945</v>
      </c>
      <c r="H186" t="s">
        <v>995</v>
      </c>
      <c r="I186" s="3">
        <f>G186 * J186</f>
        <v>0</v>
      </c>
      <c r="J186" s="3">
        <f>IF(H186="HUF", 1, IFERROR(VLOOKUP(B186&amp;H186, '22_ExchangeRates'!A:E, 5, FALSE), 1))</f>
        <v>0</v>
      </c>
      <c r="K186" t="s">
        <v>1001</v>
      </c>
      <c r="N186" t="s">
        <v>1180</v>
      </c>
      <c r="O186" t="s">
        <v>1497</v>
      </c>
    </row>
    <row r="187" spans="1:15">
      <c r="A187" t="s">
        <v>208</v>
      </c>
      <c r="B187" t="s">
        <v>724</v>
      </c>
      <c r="C187" t="s">
        <v>978</v>
      </c>
      <c r="D187" t="s">
        <v>981</v>
      </c>
      <c r="E187" t="s">
        <v>982</v>
      </c>
      <c r="G187">
        <v>220</v>
      </c>
      <c r="H187" t="s">
        <v>995</v>
      </c>
      <c r="I187" s="3">
        <f>G187 * J187</f>
        <v>0</v>
      </c>
      <c r="J187" s="3">
        <f>IF(H187="HUF", 1, IFERROR(VLOOKUP(B187&amp;H187, '22_ExchangeRates'!A:E, 5, FALSE), 1))</f>
        <v>0</v>
      </c>
      <c r="K187" t="s">
        <v>1001</v>
      </c>
      <c r="N187" t="s">
        <v>1181</v>
      </c>
      <c r="O187" t="s">
        <v>1497</v>
      </c>
    </row>
    <row r="188" spans="1:15">
      <c r="A188" t="s">
        <v>209</v>
      </c>
      <c r="B188" t="s">
        <v>725</v>
      </c>
      <c r="C188" t="s">
        <v>978</v>
      </c>
      <c r="D188" t="s">
        <v>981</v>
      </c>
      <c r="E188" t="s">
        <v>982</v>
      </c>
      <c r="G188">
        <v>190</v>
      </c>
      <c r="H188" t="s">
        <v>995</v>
      </c>
      <c r="I188" s="3">
        <f>G188 * J188</f>
        <v>0</v>
      </c>
      <c r="J188" s="3">
        <f>IF(H188="HUF", 1, IFERROR(VLOOKUP(B188&amp;H188, '22_ExchangeRates'!A:E, 5, FALSE), 1))</f>
        <v>0</v>
      </c>
      <c r="K188" t="s">
        <v>1001</v>
      </c>
      <c r="N188" t="s">
        <v>1033</v>
      </c>
      <c r="O188" t="s">
        <v>1497</v>
      </c>
    </row>
    <row r="189" spans="1:15">
      <c r="A189" t="s">
        <v>210</v>
      </c>
      <c r="B189" t="s">
        <v>726</v>
      </c>
      <c r="C189" t="s">
        <v>978</v>
      </c>
      <c r="D189" t="s">
        <v>981</v>
      </c>
      <c r="E189" t="s">
        <v>983</v>
      </c>
      <c r="G189">
        <v>1900</v>
      </c>
      <c r="H189" t="s">
        <v>995</v>
      </c>
      <c r="I189" s="3">
        <f>G189 * J189</f>
        <v>0</v>
      </c>
      <c r="J189" s="3">
        <f>IF(H189="HUF", 1, IFERROR(VLOOKUP(B189&amp;H189, '22_ExchangeRates'!A:E, 5, FALSE), 1))</f>
        <v>0</v>
      </c>
      <c r="K189" t="s">
        <v>1005</v>
      </c>
      <c r="N189" t="s">
        <v>1182</v>
      </c>
      <c r="O189" t="s">
        <v>1497</v>
      </c>
    </row>
    <row r="190" spans="1:15">
      <c r="A190" t="s">
        <v>211</v>
      </c>
      <c r="B190" t="s">
        <v>726</v>
      </c>
      <c r="C190" t="s">
        <v>978</v>
      </c>
      <c r="D190" t="s">
        <v>981</v>
      </c>
      <c r="E190" t="s">
        <v>983</v>
      </c>
      <c r="G190">
        <v>2030</v>
      </c>
      <c r="H190" t="s">
        <v>995</v>
      </c>
      <c r="I190" s="3">
        <f>G190 * J190</f>
        <v>0</v>
      </c>
      <c r="J190" s="3">
        <f>IF(H190="HUF", 1, IFERROR(VLOOKUP(B190&amp;H190, '22_ExchangeRates'!A:E, 5, FALSE), 1))</f>
        <v>0</v>
      </c>
      <c r="K190" t="s">
        <v>1000</v>
      </c>
      <c r="N190" t="s">
        <v>1183</v>
      </c>
      <c r="O190" t="s">
        <v>1497</v>
      </c>
    </row>
    <row r="191" spans="1:15">
      <c r="A191" t="s">
        <v>212</v>
      </c>
      <c r="B191" t="s">
        <v>726</v>
      </c>
      <c r="C191" t="s">
        <v>978</v>
      </c>
      <c r="D191" t="s">
        <v>981</v>
      </c>
      <c r="E191" t="s">
        <v>983</v>
      </c>
      <c r="G191">
        <v>1615</v>
      </c>
      <c r="H191" t="s">
        <v>995</v>
      </c>
      <c r="I191" s="3">
        <f>G191 * J191</f>
        <v>0</v>
      </c>
      <c r="J191" s="3">
        <f>IF(H191="HUF", 1, IFERROR(VLOOKUP(B191&amp;H191, '22_ExchangeRates'!A:E, 5, FALSE), 1))</f>
        <v>0</v>
      </c>
      <c r="K191" t="s">
        <v>1003</v>
      </c>
      <c r="N191" t="s">
        <v>1184</v>
      </c>
      <c r="O191" t="s">
        <v>1497</v>
      </c>
    </row>
    <row r="192" spans="1:15">
      <c r="A192" t="s">
        <v>213</v>
      </c>
      <c r="B192" t="s">
        <v>727</v>
      </c>
      <c r="C192" t="s">
        <v>978</v>
      </c>
      <c r="D192" t="s">
        <v>981</v>
      </c>
      <c r="E192" t="s">
        <v>982</v>
      </c>
      <c r="G192">
        <v>190</v>
      </c>
      <c r="H192" t="s">
        <v>995</v>
      </c>
      <c r="I192" s="3">
        <f>G192 * J192</f>
        <v>0</v>
      </c>
      <c r="J192" s="3">
        <f>IF(H192="HUF", 1, IFERROR(VLOOKUP(B192&amp;H192, '22_ExchangeRates'!A:E, 5, FALSE), 1))</f>
        <v>0</v>
      </c>
      <c r="K192" t="s">
        <v>1001</v>
      </c>
      <c r="N192" t="s">
        <v>1093</v>
      </c>
      <c r="O192" t="s">
        <v>1497</v>
      </c>
    </row>
    <row r="193" spans="1:15">
      <c r="A193" t="s">
        <v>214</v>
      </c>
      <c r="B193" t="s">
        <v>728</v>
      </c>
      <c r="C193" t="s">
        <v>978</v>
      </c>
      <c r="D193" t="s">
        <v>981</v>
      </c>
      <c r="E193" t="s">
        <v>982</v>
      </c>
      <c r="G193">
        <v>9721.26</v>
      </c>
      <c r="H193" t="s">
        <v>995</v>
      </c>
      <c r="I193" s="3">
        <f>G193 * J193</f>
        <v>0</v>
      </c>
      <c r="J193" s="3">
        <f>IF(H193="HUF", 1, IFERROR(VLOOKUP(B193&amp;H193, '22_ExchangeRates'!A:E, 5, FALSE), 1))</f>
        <v>0</v>
      </c>
      <c r="K193" t="s">
        <v>1003</v>
      </c>
      <c r="N193" t="s">
        <v>1185</v>
      </c>
      <c r="O193" t="s">
        <v>1497</v>
      </c>
    </row>
    <row r="194" spans="1:15">
      <c r="A194" t="s">
        <v>215</v>
      </c>
      <c r="B194" t="s">
        <v>729</v>
      </c>
      <c r="C194" t="s">
        <v>978</v>
      </c>
      <c r="D194" t="s">
        <v>981</v>
      </c>
      <c r="E194" t="s">
        <v>983</v>
      </c>
      <c r="G194">
        <v>7000</v>
      </c>
      <c r="H194" t="s">
        <v>995</v>
      </c>
      <c r="I194" s="3">
        <f>G194 * J194</f>
        <v>0</v>
      </c>
      <c r="J194" s="3">
        <f>IF(H194="HUF", 1, IFERROR(VLOOKUP(B194&amp;H194, '22_ExchangeRates'!A:E, 5, FALSE), 1))</f>
        <v>0</v>
      </c>
      <c r="K194" t="s">
        <v>1000</v>
      </c>
      <c r="N194" t="s">
        <v>1186</v>
      </c>
      <c r="O194" t="s">
        <v>1497</v>
      </c>
    </row>
    <row r="195" spans="1:15">
      <c r="A195" t="s">
        <v>216</v>
      </c>
      <c r="B195" t="s">
        <v>729</v>
      </c>
      <c r="C195" t="s">
        <v>978</v>
      </c>
      <c r="D195" t="s">
        <v>981</v>
      </c>
      <c r="E195" t="s">
        <v>983</v>
      </c>
      <c r="G195">
        <v>7070</v>
      </c>
      <c r="H195" t="s">
        <v>995</v>
      </c>
      <c r="I195" s="3">
        <f>G195 * J195</f>
        <v>0</v>
      </c>
      <c r="J195" s="3">
        <f>IF(H195="HUF", 1, IFERROR(VLOOKUP(B195&amp;H195, '22_ExchangeRates'!A:E, 5, FALSE), 1))</f>
        <v>0</v>
      </c>
      <c r="K195" t="s">
        <v>1000</v>
      </c>
      <c r="N195" t="s">
        <v>1187</v>
      </c>
      <c r="O195" t="s">
        <v>1497</v>
      </c>
    </row>
    <row r="196" spans="1:15">
      <c r="A196" t="s">
        <v>217</v>
      </c>
      <c r="B196" t="s">
        <v>729</v>
      </c>
      <c r="C196" t="s">
        <v>978</v>
      </c>
      <c r="D196" t="s">
        <v>981</v>
      </c>
      <c r="E196" t="s">
        <v>982</v>
      </c>
      <c r="G196">
        <v>2080</v>
      </c>
      <c r="H196" t="s">
        <v>995</v>
      </c>
      <c r="I196" s="3">
        <f>G196 * J196</f>
        <v>0</v>
      </c>
      <c r="J196" s="3">
        <f>IF(H196="HUF", 1, IFERROR(VLOOKUP(B196&amp;H196, '22_ExchangeRates'!A:E, 5, FALSE), 1))</f>
        <v>0</v>
      </c>
      <c r="K196" t="s">
        <v>1000</v>
      </c>
      <c r="N196" t="s">
        <v>1188</v>
      </c>
      <c r="O196" t="s">
        <v>1497</v>
      </c>
    </row>
    <row r="197" spans="1:15">
      <c r="A197" t="s">
        <v>218</v>
      </c>
      <c r="B197" t="s">
        <v>730</v>
      </c>
      <c r="C197" t="s">
        <v>978</v>
      </c>
      <c r="D197" t="s">
        <v>981</v>
      </c>
      <c r="E197" t="s">
        <v>983</v>
      </c>
      <c r="G197">
        <v>1500</v>
      </c>
      <c r="H197" t="s">
        <v>995</v>
      </c>
      <c r="I197" s="3">
        <f>G197 * J197</f>
        <v>0</v>
      </c>
      <c r="J197" s="3">
        <f>IF(H197="HUF", 1, IFERROR(VLOOKUP(B197&amp;H197, '22_ExchangeRates'!A:E, 5, FALSE), 1))</f>
        <v>0</v>
      </c>
      <c r="K197" t="s">
        <v>1009</v>
      </c>
      <c r="N197" t="s">
        <v>1189</v>
      </c>
      <c r="O197" t="s">
        <v>1497</v>
      </c>
    </row>
    <row r="198" spans="1:15">
      <c r="A198" t="s">
        <v>219</v>
      </c>
      <c r="B198" t="s">
        <v>730</v>
      </c>
      <c r="C198" t="s">
        <v>978</v>
      </c>
      <c r="D198" t="s">
        <v>981</v>
      </c>
      <c r="E198" t="s">
        <v>982</v>
      </c>
      <c r="G198">
        <v>500</v>
      </c>
      <c r="H198" t="s">
        <v>995</v>
      </c>
      <c r="I198" s="3">
        <f>G198 * J198</f>
        <v>0</v>
      </c>
      <c r="J198" s="3">
        <f>IF(H198="HUF", 1, IFERROR(VLOOKUP(B198&amp;H198, '22_ExchangeRates'!A:E, 5, FALSE), 1))</f>
        <v>0</v>
      </c>
      <c r="K198" t="s">
        <v>1001</v>
      </c>
      <c r="N198" t="s">
        <v>1190</v>
      </c>
      <c r="O198" t="s">
        <v>1497</v>
      </c>
    </row>
    <row r="199" spans="1:15">
      <c r="A199" t="s">
        <v>220</v>
      </c>
      <c r="B199" t="s">
        <v>731</v>
      </c>
      <c r="C199" t="s">
        <v>978</v>
      </c>
      <c r="D199" t="s">
        <v>981</v>
      </c>
      <c r="E199" t="s">
        <v>982</v>
      </c>
      <c r="G199">
        <v>220</v>
      </c>
      <c r="H199" t="s">
        <v>995</v>
      </c>
      <c r="I199" s="3">
        <f>G199 * J199</f>
        <v>0</v>
      </c>
      <c r="J199" s="3">
        <f>IF(H199="HUF", 1, IFERROR(VLOOKUP(B199&amp;H199, '22_ExchangeRates'!A:E, 5, FALSE), 1))</f>
        <v>0</v>
      </c>
      <c r="K199" t="s">
        <v>1001</v>
      </c>
      <c r="N199" t="s">
        <v>1191</v>
      </c>
      <c r="O199" t="s">
        <v>1497</v>
      </c>
    </row>
    <row r="200" spans="1:15">
      <c r="A200" t="s">
        <v>221</v>
      </c>
      <c r="B200" t="s">
        <v>732</v>
      </c>
      <c r="C200" t="s">
        <v>978</v>
      </c>
      <c r="D200" t="s">
        <v>981</v>
      </c>
      <c r="E200" t="s">
        <v>983</v>
      </c>
      <c r="G200">
        <v>480</v>
      </c>
      <c r="H200" t="s">
        <v>995</v>
      </c>
      <c r="I200" s="3">
        <f>G200 * J200</f>
        <v>0</v>
      </c>
      <c r="J200" s="3">
        <f>IF(H200="HUF", 1, IFERROR(VLOOKUP(B200&amp;H200, '22_ExchangeRates'!A:E, 5, FALSE), 1))</f>
        <v>0</v>
      </c>
      <c r="K200" t="s">
        <v>1002</v>
      </c>
      <c r="N200" t="s">
        <v>1192</v>
      </c>
      <c r="O200" t="s">
        <v>1497</v>
      </c>
    </row>
    <row r="201" spans="1:15">
      <c r="A201" t="s">
        <v>222</v>
      </c>
      <c r="B201" t="s">
        <v>733</v>
      </c>
      <c r="C201" t="s">
        <v>978</v>
      </c>
      <c r="D201" t="s">
        <v>981</v>
      </c>
      <c r="E201" t="s">
        <v>982</v>
      </c>
      <c r="G201">
        <v>350</v>
      </c>
      <c r="H201" t="s">
        <v>995</v>
      </c>
      <c r="I201" s="3">
        <f>G201 * J201</f>
        <v>0</v>
      </c>
      <c r="J201" s="3">
        <f>IF(H201="HUF", 1, IFERROR(VLOOKUP(B201&amp;H201, '22_ExchangeRates'!A:E, 5, FALSE), 1))</f>
        <v>0</v>
      </c>
      <c r="K201" t="s">
        <v>1002</v>
      </c>
      <c r="N201" t="s">
        <v>1193</v>
      </c>
      <c r="O201" t="s">
        <v>1497</v>
      </c>
    </row>
    <row r="202" spans="1:15">
      <c r="A202" t="s">
        <v>223</v>
      </c>
      <c r="B202" t="s">
        <v>734</v>
      </c>
      <c r="C202" t="s">
        <v>978</v>
      </c>
      <c r="D202" t="s">
        <v>981</v>
      </c>
      <c r="E202" t="s">
        <v>982</v>
      </c>
      <c r="G202">
        <v>4077</v>
      </c>
      <c r="H202" t="s">
        <v>995</v>
      </c>
      <c r="I202" s="3">
        <f>G202 * J202</f>
        <v>0</v>
      </c>
      <c r="J202" s="3">
        <f>IF(H202="HUF", 1, IFERROR(VLOOKUP(B202&amp;H202, '22_ExchangeRates'!A:E, 5, FALSE), 1))</f>
        <v>0</v>
      </c>
      <c r="K202" t="s">
        <v>1003</v>
      </c>
      <c r="N202" t="s">
        <v>1194</v>
      </c>
      <c r="O202" t="s">
        <v>1497</v>
      </c>
    </row>
    <row r="203" spans="1:15">
      <c r="A203" t="s">
        <v>224</v>
      </c>
      <c r="B203" t="s">
        <v>734</v>
      </c>
      <c r="C203" t="s">
        <v>978</v>
      </c>
      <c r="D203" t="s">
        <v>981</v>
      </c>
      <c r="E203" t="s">
        <v>982</v>
      </c>
      <c r="G203">
        <v>790</v>
      </c>
      <c r="H203" t="s">
        <v>995</v>
      </c>
      <c r="I203" s="3">
        <f>G203 * J203</f>
        <v>0</v>
      </c>
      <c r="J203" s="3">
        <f>IF(H203="HUF", 1, IFERROR(VLOOKUP(B203&amp;H203, '22_ExchangeRates'!A:E, 5, FALSE), 1))</f>
        <v>0</v>
      </c>
      <c r="K203" t="s">
        <v>1002</v>
      </c>
      <c r="N203" t="s">
        <v>1195</v>
      </c>
      <c r="O203" t="s">
        <v>1497</v>
      </c>
    </row>
    <row r="204" spans="1:15">
      <c r="A204" t="s">
        <v>225</v>
      </c>
      <c r="B204" t="s">
        <v>735</v>
      </c>
      <c r="C204" t="s">
        <v>978</v>
      </c>
      <c r="D204" t="s">
        <v>981</v>
      </c>
      <c r="E204" t="s">
        <v>982</v>
      </c>
      <c r="G204">
        <v>1500</v>
      </c>
      <c r="H204" t="s">
        <v>995</v>
      </c>
      <c r="I204" s="3">
        <f>G204 * J204</f>
        <v>0</v>
      </c>
      <c r="J204" s="3">
        <f>IF(H204="HUF", 1, IFERROR(VLOOKUP(B204&amp;H204, '22_ExchangeRates'!A:E, 5, FALSE), 1))</f>
        <v>0</v>
      </c>
      <c r="K204" t="s">
        <v>1003</v>
      </c>
      <c r="N204" t="s">
        <v>1196</v>
      </c>
      <c r="O204" t="s">
        <v>1497</v>
      </c>
    </row>
    <row r="205" spans="1:15">
      <c r="A205" t="s">
        <v>226</v>
      </c>
      <c r="B205" t="s">
        <v>736</v>
      </c>
      <c r="C205" t="s">
        <v>978</v>
      </c>
      <c r="D205" t="s">
        <v>981</v>
      </c>
      <c r="E205" t="s">
        <v>983</v>
      </c>
      <c r="G205">
        <v>1600</v>
      </c>
      <c r="H205" t="s">
        <v>995</v>
      </c>
      <c r="I205" s="3">
        <f>G205 * J205</f>
        <v>0</v>
      </c>
      <c r="J205" s="3">
        <f>IF(H205="HUF", 1, IFERROR(VLOOKUP(B205&amp;H205, '22_ExchangeRates'!A:E, 5, FALSE), 1))</f>
        <v>0</v>
      </c>
      <c r="K205" t="s">
        <v>1003</v>
      </c>
      <c r="N205" t="s">
        <v>1197</v>
      </c>
      <c r="O205" t="s">
        <v>1497</v>
      </c>
    </row>
    <row r="206" spans="1:15">
      <c r="A206" t="s">
        <v>227</v>
      </c>
      <c r="B206" t="s">
        <v>737</v>
      </c>
      <c r="C206" t="s">
        <v>978</v>
      </c>
      <c r="D206" t="s">
        <v>981</v>
      </c>
      <c r="E206" t="s">
        <v>982</v>
      </c>
      <c r="G206">
        <v>220</v>
      </c>
      <c r="H206" t="s">
        <v>995</v>
      </c>
      <c r="I206" s="3">
        <f>G206 * J206</f>
        <v>0</v>
      </c>
      <c r="J206" s="3">
        <f>IF(H206="HUF", 1, IFERROR(VLOOKUP(B206&amp;H206, '22_ExchangeRates'!A:E, 5, FALSE), 1))</f>
        <v>0</v>
      </c>
      <c r="K206" t="s">
        <v>1001</v>
      </c>
      <c r="N206" t="s">
        <v>1033</v>
      </c>
      <c r="O206" t="s">
        <v>1497</v>
      </c>
    </row>
    <row r="207" spans="1:15">
      <c r="A207" t="s">
        <v>228</v>
      </c>
      <c r="B207" t="s">
        <v>738</v>
      </c>
      <c r="C207" t="s">
        <v>978</v>
      </c>
      <c r="D207" t="s">
        <v>981</v>
      </c>
      <c r="E207" t="s">
        <v>983</v>
      </c>
      <c r="G207">
        <v>800</v>
      </c>
      <c r="H207" t="s">
        <v>995</v>
      </c>
      <c r="I207" s="3">
        <f>G207 * J207</f>
        <v>0</v>
      </c>
      <c r="J207" s="3">
        <f>IF(H207="HUF", 1, IFERROR(VLOOKUP(B207&amp;H207, '22_ExchangeRates'!A:E, 5, FALSE), 1))</f>
        <v>0</v>
      </c>
      <c r="K207" t="s">
        <v>1002</v>
      </c>
      <c r="N207" t="s">
        <v>1198</v>
      </c>
      <c r="O207" t="s">
        <v>1497</v>
      </c>
    </row>
    <row r="208" spans="1:15">
      <c r="A208" t="s">
        <v>229</v>
      </c>
      <c r="B208" t="s">
        <v>739</v>
      </c>
      <c r="C208" t="s">
        <v>978</v>
      </c>
      <c r="D208" t="s">
        <v>981</v>
      </c>
      <c r="E208" t="s">
        <v>983</v>
      </c>
      <c r="G208">
        <v>610</v>
      </c>
      <c r="H208" t="s">
        <v>995</v>
      </c>
      <c r="I208" s="3">
        <f>G208 * J208</f>
        <v>0</v>
      </c>
      <c r="J208" s="3">
        <f>IF(H208="HUF", 1, IFERROR(VLOOKUP(B208&amp;H208, '22_ExchangeRates'!A:E, 5, FALSE), 1))</f>
        <v>0</v>
      </c>
      <c r="K208" t="s">
        <v>1003</v>
      </c>
      <c r="N208" t="s">
        <v>1199</v>
      </c>
      <c r="O208" t="s">
        <v>1497</v>
      </c>
    </row>
    <row r="209" spans="1:15">
      <c r="A209" t="s">
        <v>230</v>
      </c>
      <c r="B209" t="s">
        <v>739</v>
      </c>
      <c r="C209" t="s">
        <v>978</v>
      </c>
      <c r="D209" t="s">
        <v>981</v>
      </c>
      <c r="E209" t="s">
        <v>983</v>
      </c>
      <c r="G209">
        <v>850</v>
      </c>
      <c r="H209" t="s">
        <v>995</v>
      </c>
      <c r="I209" s="3">
        <f>G209 * J209</f>
        <v>0</v>
      </c>
      <c r="J209" s="3">
        <f>IF(H209="HUF", 1, IFERROR(VLOOKUP(B209&amp;H209, '22_ExchangeRates'!A:E, 5, FALSE), 1))</f>
        <v>0</v>
      </c>
      <c r="K209" t="s">
        <v>1003</v>
      </c>
      <c r="N209" t="s">
        <v>1200</v>
      </c>
      <c r="O209" t="s">
        <v>1497</v>
      </c>
    </row>
    <row r="210" spans="1:15">
      <c r="A210" t="s">
        <v>231</v>
      </c>
      <c r="B210" t="s">
        <v>739</v>
      </c>
      <c r="C210" t="s">
        <v>978</v>
      </c>
      <c r="D210" t="s">
        <v>981</v>
      </c>
      <c r="E210" t="s">
        <v>983</v>
      </c>
      <c r="G210">
        <v>2900</v>
      </c>
      <c r="H210" t="s">
        <v>995</v>
      </c>
      <c r="I210" s="3">
        <f>G210 * J210</f>
        <v>0</v>
      </c>
      <c r="J210" s="3">
        <f>IF(H210="HUF", 1, IFERROR(VLOOKUP(B210&amp;H210, '22_ExchangeRates'!A:E, 5, FALSE), 1))</f>
        <v>0</v>
      </c>
      <c r="K210" t="s">
        <v>1003</v>
      </c>
      <c r="N210" t="s">
        <v>1201</v>
      </c>
      <c r="O210" t="s">
        <v>1497</v>
      </c>
    </row>
    <row r="211" spans="1:15">
      <c r="A211" t="s">
        <v>232</v>
      </c>
      <c r="B211" t="s">
        <v>740</v>
      </c>
      <c r="C211" t="s">
        <v>978</v>
      </c>
      <c r="D211" t="s">
        <v>981</v>
      </c>
      <c r="E211" t="s">
        <v>982</v>
      </c>
      <c r="G211">
        <v>1890</v>
      </c>
      <c r="H211" t="s">
        <v>995</v>
      </c>
      <c r="I211" s="3">
        <f>G211 * J211</f>
        <v>0</v>
      </c>
      <c r="J211" s="3">
        <f>IF(H211="HUF", 1, IFERROR(VLOOKUP(B211&amp;H211, '22_ExchangeRates'!A:E, 5, FALSE), 1))</f>
        <v>0</v>
      </c>
      <c r="K211" t="s">
        <v>1001</v>
      </c>
      <c r="N211" t="s">
        <v>1202</v>
      </c>
      <c r="O211" t="s">
        <v>1497</v>
      </c>
    </row>
    <row r="212" spans="1:15">
      <c r="A212" t="s">
        <v>233</v>
      </c>
      <c r="B212" t="s">
        <v>741</v>
      </c>
      <c r="C212" t="s">
        <v>978</v>
      </c>
      <c r="D212" t="s">
        <v>981</v>
      </c>
      <c r="E212" t="s">
        <v>983</v>
      </c>
      <c r="G212">
        <v>2000</v>
      </c>
      <c r="H212" t="s">
        <v>995</v>
      </c>
      <c r="I212" s="3">
        <f>G212 * J212</f>
        <v>0</v>
      </c>
      <c r="J212" s="3">
        <f>IF(H212="HUF", 1, IFERROR(VLOOKUP(B212&amp;H212, '22_ExchangeRates'!A:E, 5, FALSE), 1))</f>
        <v>0</v>
      </c>
      <c r="K212" t="s">
        <v>1009</v>
      </c>
      <c r="N212" t="s">
        <v>1203</v>
      </c>
      <c r="O212" t="s">
        <v>1497</v>
      </c>
    </row>
    <row r="213" spans="1:15">
      <c r="A213" t="s">
        <v>234</v>
      </c>
      <c r="B213" t="s">
        <v>742</v>
      </c>
      <c r="C213" t="s">
        <v>978</v>
      </c>
      <c r="D213" t="s">
        <v>981</v>
      </c>
      <c r="E213" t="s">
        <v>983</v>
      </c>
      <c r="G213">
        <v>3080</v>
      </c>
      <c r="H213" t="s">
        <v>995</v>
      </c>
      <c r="I213" s="3">
        <f>G213 * J213</f>
        <v>0</v>
      </c>
      <c r="J213" s="3">
        <f>IF(H213="HUF", 1, IFERROR(VLOOKUP(B213&amp;H213, '22_ExchangeRates'!A:E, 5, FALSE), 1))</f>
        <v>0</v>
      </c>
      <c r="K213" t="s">
        <v>1002</v>
      </c>
      <c r="N213" t="s">
        <v>1204</v>
      </c>
      <c r="O213" t="s">
        <v>1497</v>
      </c>
    </row>
    <row r="214" spans="1:15">
      <c r="A214" t="s">
        <v>235</v>
      </c>
      <c r="B214" t="s">
        <v>743</v>
      </c>
      <c r="C214" t="s">
        <v>978</v>
      </c>
      <c r="D214" t="s">
        <v>981</v>
      </c>
      <c r="E214" t="s">
        <v>990</v>
      </c>
      <c r="G214">
        <v>8737</v>
      </c>
      <c r="H214" t="s">
        <v>995</v>
      </c>
      <c r="I214" s="3">
        <f>G214 * J214</f>
        <v>0</v>
      </c>
      <c r="J214" s="3">
        <f>IF(H214="HUF", 1, IFERROR(VLOOKUP(B214&amp;H214, '22_ExchangeRates'!A:E, 5, FALSE), 1))</f>
        <v>0</v>
      </c>
      <c r="K214" t="s">
        <v>1003</v>
      </c>
      <c r="N214" t="s">
        <v>1205</v>
      </c>
      <c r="O214" t="s">
        <v>1497</v>
      </c>
    </row>
    <row r="215" spans="1:15">
      <c r="A215" t="s">
        <v>236</v>
      </c>
      <c r="B215" t="s">
        <v>743</v>
      </c>
      <c r="C215" t="s">
        <v>978</v>
      </c>
      <c r="D215" t="s">
        <v>981</v>
      </c>
      <c r="E215" t="s">
        <v>982</v>
      </c>
      <c r="G215">
        <v>6819</v>
      </c>
      <c r="H215" t="s">
        <v>995</v>
      </c>
      <c r="I215" s="3">
        <f>G215 * J215</f>
        <v>0</v>
      </c>
      <c r="J215" s="3">
        <f>IF(H215="HUF", 1, IFERROR(VLOOKUP(B215&amp;H215, '22_ExchangeRates'!A:E, 5, FALSE), 1))</f>
        <v>0</v>
      </c>
      <c r="K215" t="s">
        <v>1003</v>
      </c>
      <c r="N215" t="s">
        <v>1206</v>
      </c>
      <c r="O215" t="s">
        <v>1497</v>
      </c>
    </row>
    <row r="216" spans="1:15">
      <c r="A216" t="s">
        <v>237</v>
      </c>
      <c r="B216" t="s">
        <v>743</v>
      </c>
      <c r="C216" t="s">
        <v>978</v>
      </c>
      <c r="D216" t="s">
        <v>981</v>
      </c>
      <c r="E216" t="s">
        <v>983</v>
      </c>
      <c r="G216">
        <v>2890</v>
      </c>
      <c r="H216" t="s">
        <v>995</v>
      </c>
      <c r="I216" s="3">
        <f>G216 * J216</f>
        <v>0</v>
      </c>
      <c r="J216" s="3">
        <f>IF(H216="HUF", 1, IFERROR(VLOOKUP(B216&amp;H216, '22_ExchangeRates'!A:E, 5, FALSE), 1))</f>
        <v>0</v>
      </c>
      <c r="K216" t="s">
        <v>1002</v>
      </c>
      <c r="N216" t="s">
        <v>1207</v>
      </c>
      <c r="O216" t="s">
        <v>1497</v>
      </c>
    </row>
    <row r="217" spans="1:15">
      <c r="A217" t="s">
        <v>238</v>
      </c>
      <c r="B217" t="s">
        <v>744</v>
      </c>
      <c r="C217" t="s">
        <v>978</v>
      </c>
      <c r="D217" t="s">
        <v>981</v>
      </c>
      <c r="E217" t="s">
        <v>983</v>
      </c>
      <c r="G217">
        <v>1850</v>
      </c>
      <c r="H217" t="s">
        <v>995</v>
      </c>
      <c r="I217" s="3">
        <f>G217 * J217</f>
        <v>0</v>
      </c>
      <c r="J217" s="3">
        <f>IF(H217="HUF", 1, IFERROR(VLOOKUP(B217&amp;H217, '22_ExchangeRates'!A:E, 5, FALSE), 1))</f>
        <v>0</v>
      </c>
      <c r="K217" t="s">
        <v>1002</v>
      </c>
      <c r="N217" t="s">
        <v>1208</v>
      </c>
      <c r="O217" t="s">
        <v>1497</v>
      </c>
    </row>
    <row r="218" spans="1:15">
      <c r="A218" t="s">
        <v>239</v>
      </c>
      <c r="B218" t="s">
        <v>745</v>
      </c>
      <c r="C218" t="s">
        <v>980</v>
      </c>
      <c r="D218" t="s">
        <v>981</v>
      </c>
      <c r="E218" t="s">
        <v>982</v>
      </c>
      <c r="F218" t="s">
        <v>994</v>
      </c>
      <c r="G218">
        <v>70000</v>
      </c>
      <c r="H218" t="s">
        <v>995</v>
      </c>
      <c r="I218" s="3">
        <f>G218 * J218</f>
        <v>0</v>
      </c>
      <c r="J218" s="3">
        <f>IF(H218="HUF", 1, IFERROR(VLOOKUP(B218&amp;H218, '22_ExchangeRates'!A:E, 5, FALSE), 1))</f>
        <v>0</v>
      </c>
      <c r="O218" t="s">
        <v>1497</v>
      </c>
    </row>
    <row r="219" spans="1:15">
      <c r="A219" t="s">
        <v>240</v>
      </c>
      <c r="B219" t="s">
        <v>746</v>
      </c>
      <c r="C219" t="s">
        <v>980</v>
      </c>
      <c r="D219" t="s">
        <v>981</v>
      </c>
      <c r="E219" t="s">
        <v>983</v>
      </c>
      <c r="F219" t="s">
        <v>982</v>
      </c>
      <c r="G219">
        <v>14000</v>
      </c>
      <c r="H219" t="s">
        <v>995</v>
      </c>
      <c r="I219" s="3">
        <f>G219 * J219</f>
        <v>0</v>
      </c>
      <c r="J219" s="3">
        <f>IF(H219="HUF", 1, IFERROR(VLOOKUP(B219&amp;H219, '22_ExchangeRates'!A:E, 5, FALSE), 1))</f>
        <v>0</v>
      </c>
      <c r="N219" t="s">
        <v>1209</v>
      </c>
      <c r="O219" t="s">
        <v>1497</v>
      </c>
    </row>
    <row r="220" spans="1:15">
      <c r="A220" t="s">
        <v>241</v>
      </c>
      <c r="B220" t="s">
        <v>747</v>
      </c>
      <c r="C220" t="s">
        <v>978</v>
      </c>
      <c r="D220" t="s">
        <v>981</v>
      </c>
      <c r="E220" t="s">
        <v>983</v>
      </c>
      <c r="G220">
        <v>4000</v>
      </c>
      <c r="H220" t="s">
        <v>995</v>
      </c>
      <c r="I220" s="3">
        <f>G220 * J220</f>
        <v>0</v>
      </c>
      <c r="J220" s="3">
        <f>IF(H220="HUF", 1, IFERROR(VLOOKUP(B220&amp;H220, '22_ExchangeRates'!A:E, 5, FALSE), 1))</f>
        <v>0</v>
      </c>
      <c r="K220" t="s">
        <v>1000</v>
      </c>
      <c r="N220" t="s">
        <v>1210</v>
      </c>
      <c r="O220" t="s">
        <v>1497</v>
      </c>
    </row>
    <row r="221" spans="1:15">
      <c r="A221" t="s">
        <v>242</v>
      </c>
      <c r="B221" t="s">
        <v>748</v>
      </c>
      <c r="C221" t="s">
        <v>978</v>
      </c>
      <c r="D221" t="s">
        <v>981</v>
      </c>
      <c r="E221" t="s">
        <v>983</v>
      </c>
      <c r="G221">
        <v>920</v>
      </c>
      <c r="H221" t="s">
        <v>995</v>
      </c>
      <c r="I221" s="3">
        <f>G221 * J221</f>
        <v>0</v>
      </c>
      <c r="J221" s="3">
        <f>IF(H221="HUF", 1, IFERROR(VLOOKUP(B221&amp;H221, '22_ExchangeRates'!A:E, 5, FALSE), 1))</f>
        <v>0</v>
      </c>
      <c r="K221" t="s">
        <v>1003</v>
      </c>
      <c r="N221" t="s">
        <v>1211</v>
      </c>
      <c r="O221" t="s">
        <v>1497</v>
      </c>
    </row>
    <row r="222" spans="1:15">
      <c r="A222" t="s">
        <v>243</v>
      </c>
      <c r="B222" t="s">
        <v>748</v>
      </c>
      <c r="C222" t="s">
        <v>978</v>
      </c>
      <c r="D222" t="s">
        <v>981</v>
      </c>
      <c r="E222" t="s">
        <v>983</v>
      </c>
      <c r="G222">
        <v>1600</v>
      </c>
      <c r="H222" t="s">
        <v>995</v>
      </c>
      <c r="I222" s="3">
        <f>G222 * J222</f>
        <v>0</v>
      </c>
      <c r="J222" s="3">
        <f>IF(H222="HUF", 1, IFERROR(VLOOKUP(B222&amp;H222, '22_ExchangeRates'!A:E, 5, FALSE), 1))</f>
        <v>0</v>
      </c>
      <c r="K222" t="s">
        <v>1002</v>
      </c>
      <c r="N222" t="s">
        <v>1212</v>
      </c>
      <c r="O222" t="s">
        <v>1497</v>
      </c>
    </row>
    <row r="223" spans="1:15">
      <c r="A223" t="s">
        <v>244</v>
      </c>
      <c r="B223" t="s">
        <v>748</v>
      </c>
      <c r="C223" t="s">
        <v>978</v>
      </c>
      <c r="D223" t="s">
        <v>981</v>
      </c>
      <c r="E223" t="s">
        <v>983</v>
      </c>
      <c r="G223">
        <v>2280</v>
      </c>
      <c r="H223" t="s">
        <v>995</v>
      </c>
      <c r="I223" s="3">
        <f>G223 * J223</f>
        <v>0</v>
      </c>
      <c r="J223" s="3">
        <f>IF(H223="HUF", 1, IFERROR(VLOOKUP(B223&amp;H223, '22_ExchangeRates'!A:E, 5, FALSE), 1))</f>
        <v>0</v>
      </c>
      <c r="K223" t="s">
        <v>1003</v>
      </c>
      <c r="N223" t="s">
        <v>1213</v>
      </c>
      <c r="O223" t="s">
        <v>1497</v>
      </c>
    </row>
    <row r="224" spans="1:15">
      <c r="A224" t="s">
        <v>245</v>
      </c>
      <c r="B224" t="s">
        <v>749</v>
      </c>
      <c r="C224" t="s">
        <v>978</v>
      </c>
      <c r="D224" t="s">
        <v>981</v>
      </c>
      <c r="E224" t="s">
        <v>982</v>
      </c>
      <c r="G224">
        <v>899</v>
      </c>
      <c r="H224" t="s">
        <v>995</v>
      </c>
      <c r="I224" s="3">
        <f>G224 * J224</f>
        <v>0</v>
      </c>
      <c r="J224" s="3">
        <f>IF(H224="HUF", 1, IFERROR(VLOOKUP(B224&amp;H224, '22_ExchangeRates'!A:E, 5, FALSE), 1))</f>
        <v>0</v>
      </c>
      <c r="K224" t="s">
        <v>1000</v>
      </c>
      <c r="N224" t="s">
        <v>1214</v>
      </c>
      <c r="O224" t="s">
        <v>1497</v>
      </c>
    </row>
    <row r="225" spans="1:15">
      <c r="A225" t="s">
        <v>246</v>
      </c>
      <c r="B225" t="s">
        <v>750</v>
      </c>
      <c r="C225" t="s">
        <v>978</v>
      </c>
      <c r="D225" t="s">
        <v>981</v>
      </c>
      <c r="E225" t="s">
        <v>982</v>
      </c>
      <c r="G225">
        <v>1890</v>
      </c>
      <c r="H225" t="s">
        <v>995</v>
      </c>
      <c r="I225" s="3">
        <f>G225 * J225</f>
        <v>0</v>
      </c>
      <c r="J225" s="3">
        <f>IF(H225="HUF", 1, IFERROR(VLOOKUP(B225&amp;H225, '22_ExchangeRates'!A:E, 5, FALSE), 1))</f>
        <v>0</v>
      </c>
      <c r="K225" t="s">
        <v>1001</v>
      </c>
      <c r="N225" t="s">
        <v>1202</v>
      </c>
      <c r="O225" t="s">
        <v>1497</v>
      </c>
    </row>
    <row r="226" spans="1:15">
      <c r="A226" t="s">
        <v>247</v>
      </c>
      <c r="B226" t="s">
        <v>751</v>
      </c>
      <c r="C226" t="s">
        <v>978</v>
      </c>
      <c r="D226" t="s">
        <v>981</v>
      </c>
      <c r="E226" t="s">
        <v>982</v>
      </c>
      <c r="G226">
        <v>250</v>
      </c>
      <c r="H226" t="s">
        <v>995</v>
      </c>
      <c r="I226" s="3">
        <f>G226 * J226</f>
        <v>0</v>
      </c>
      <c r="J226" s="3">
        <f>IF(H226="HUF", 1, IFERROR(VLOOKUP(B226&amp;H226, '22_ExchangeRates'!A:E, 5, FALSE), 1))</f>
        <v>0</v>
      </c>
      <c r="K226" t="s">
        <v>1002</v>
      </c>
      <c r="N226" t="s">
        <v>1215</v>
      </c>
      <c r="O226" t="s">
        <v>1497</v>
      </c>
    </row>
    <row r="227" spans="1:15">
      <c r="A227" t="s">
        <v>248</v>
      </c>
      <c r="B227" t="s">
        <v>752</v>
      </c>
      <c r="C227" t="s">
        <v>978</v>
      </c>
      <c r="D227" t="s">
        <v>981</v>
      </c>
      <c r="E227" t="s">
        <v>982</v>
      </c>
      <c r="G227">
        <v>45583</v>
      </c>
      <c r="H227" t="s">
        <v>995</v>
      </c>
      <c r="I227" s="3">
        <f>G227 * J227</f>
        <v>0</v>
      </c>
      <c r="J227" s="3">
        <f>IF(H227="HUF", 1, IFERROR(VLOOKUP(B227&amp;H227, '22_ExchangeRates'!A:E, 5, FALSE), 1))</f>
        <v>0</v>
      </c>
      <c r="K227" t="s">
        <v>1009</v>
      </c>
      <c r="N227" t="s">
        <v>1216</v>
      </c>
      <c r="O227" t="s">
        <v>1497</v>
      </c>
    </row>
    <row r="228" spans="1:15">
      <c r="A228" t="s">
        <v>249</v>
      </c>
      <c r="B228" t="s">
        <v>753</v>
      </c>
      <c r="C228" t="s">
        <v>978</v>
      </c>
      <c r="D228" t="s">
        <v>981</v>
      </c>
      <c r="E228" t="s">
        <v>982</v>
      </c>
      <c r="G228">
        <v>1700</v>
      </c>
      <c r="H228" t="s">
        <v>995</v>
      </c>
      <c r="I228" s="3">
        <f>G228 * J228</f>
        <v>0</v>
      </c>
      <c r="J228" s="3">
        <f>IF(H228="HUF", 1, IFERROR(VLOOKUP(B228&amp;H228, '22_ExchangeRates'!A:E, 5, FALSE), 1))</f>
        <v>0</v>
      </c>
      <c r="K228" t="s">
        <v>1005</v>
      </c>
      <c r="N228" t="s">
        <v>1217</v>
      </c>
      <c r="O228" t="s">
        <v>1497</v>
      </c>
    </row>
    <row r="229" spans="1:15">
      <c r="A229" t="s">
        <v>250</v>
      </c>
      <c r="B229" t="s">
        <v>754</v>
      </c>
      <c r="C229" t="s">
        <v>980</v>
      </c>
      <c r="D229" t="s">
        <v>981</v>
      </c>
      <c r="E229" t="s">
        <v>982</v>
      </c>
      <c r="F229" t="s">
        <v>994</v>
      </c>
      <c r="G229">
        <v>70000</v>
      </c>
      <c r="H229" t="s">
        <v>995</v>
      </c>
      <c r="I229" s="3">
        <f>G229 * J229</f>
        <v>0</v>
      </c>
      <c r="J229" s="3">
        <f>IF(H229="HUF", 1, IFERROR(VLOOKUP(B229&amp;H229, '22_ExchangeRates'!A:E, 5, FALSE), 1))</f>
        <v>0</v>
      </c>
      <c r="O229" t="s">
        <v>1497</v>
      </c>
    </row>
    <row r="230" spans="1:15">
      <c r="A230" t="s">
        <v>251</v>
      </c>
      <c r="B230" t="s">
        <v>755</v>
      </c>
      <c r="C230" t="s">
        <v>979</v>
      </c>
      <c r="D230" t="s">
        <v>981</v>
      </c>
      <c r="E230" t="s">
        <v>983</v>
      </c>
      <c r="G230">
        <v>25000</v>
      </c>
      <c r="H230" t="s">
        <v>995</v>
      </c>
      <c r="I230" s="3">
        <f>G230 * J230</f>
        <v>0</v>
      </c>
      <c r="J230" s="3">
        <f>IF(H230="HUF", 1, IFERROR(VLOOKUP(B230&amp;H230, '22_ExchangeRates'!A:E, 5, FALSE), 1))</f>
        <v>0</v>
      </c>
      <c r="K230" t="s">
        <v>1000</v>
      </c>
      <c r="N230" t="s">
        <v>1218</v>
      </c>
      <c r="O230" t="s">
        <v>1497</v>
      </c>
    </row>
    <row r="231" spans="1:15">
      <c r="A231" t="s">
        <v>252</v>
      </c>
      <c r="B231" t="s">
        <v>756</v>
      </c>
      <c r="C231" t="s">
        <v>978</v>
      </c>
      <c r="D231" t="s">
        <v>981</v>
      </c>
      <c r="E231" t="s">
        <v>983</v>
      </c>
      <c r="G231">
        <v>6300</v>
      </c>
      <c r="H231" t="s">
        <v>995</v>
      </c>
      <c r="I231" s="3">
        <f>G231 * J231</f>
        <v>0</v>
      </c>
      <c r="J231" s="3">
        <f>IF(H231="HUF", 1, IFERROR(VLOOKUP(B231&amp;H231, '22_ExchangeRates'!A:E, 5, FALSE), 1))</f>
        <v>0</v>
      </c>
      <c r="K231" t="s">
        <v>1002</v>
      </c>
      <c r="N231" t="s">
        <v>1219</v>
      </c>
      <c r="O231" t="s">
        <v>1497</v>
      </c>
    </row>
    <row r="232" spans="1:15">
      <c r="A232" t="s">
        <v>253</v>
      </c>
      <c r="B232" t="s">
        <v>757</v>
      </c>
      <c r="C232" t="s">
        <v>980</v>
      </c>
      <c r="D232" t="s">
        <v>981</v>
      </c>
      <c r="E232" t="s">
        <v>983</v>
      </c>
      <c r="F232" t="s">
        <v>982</v>
      </c>
      <c r="G232">
        <v>260000</v>
      </c>
      <c r="H232" t="s">
        <v>995</v>
      </c>
      <c r="I232" s="3">
        <f>G232 * J232</f>
        <v>0</v>
      </c>
      <c r="J232" s="3">
        <f>IF(H232="HUF", 1, IFERROR(VLOOKUP(B232&amp;H232, '22_ExchangeRates'!A:E, 5, FALSE), 1))</f>
        <v>0</v>
      </c>
      <c r="O232" t="s">
        <v>1497</v>
      </c>
    </row>
    <row r="233" spans="1:15">
      <c r="A233" t="s">
        <v>254</v>
      </c>
      <c r="B233" t="s">
        <v>758</v>
      </c>
      <c r="C233" t="s">
        <v>978</v>
      </c>
      <c r="D233" t="s">
        <v>981</v>
      </c>
      <c r="E233" t="s">
        <v>983</v>
      </c>
      <c r="G233">
        <v>3300</v>
      </c>
      <c r="H233" t="s">
        <v>995</v>
      </c>
      <c r="I233" s="3">
        <f>G233 * J233</f>
        <v>0</v>
      </c>
      <c r="J233" s="3">
        <f>IF(H233="HUF", 1, IFERROR(VLOOKUP(B233&amp;H233, '22_ExchangeRates'!A:E, 5, FALSE), 1))</f>
        <v>0</v>
      </c>
      <c r="K233" t="s">
        <v>1000</v>
      </c>
      <c r="N233" t="s">
        <v>1220</v>
      </c>
      <c r="O233" t="s">
        <v>1497</v>
      </c>
    </row>
    <row r="234" spans="1:15">
      <c r="A234" t="s">
        <v>255</v>
      </c>
      <c r="B234" t="s">
        <v>758</v>
      </c>
      <c r="C234" t="s">
        <v>978</v>
      </c>
      <c r="D234" t="s">
        <v>981</v>
      </c>
      <c r="E234" t="s">
        <v>983</v>
      </c>
      <c r="G234">
        <v>1900</v>
      </c>
      <c r="H234" t="s">
        <v>995</v>
      </c>
      <c r="I234" s="3">
        <f>G234 * J234</f>
        <v>0</v>
      </c>
      <c r="J234" s="3">
        <f>IF(H234="HUF", 1, IFERROR(VLOOKUP(B234&amp;H234, '22_ExchangeRates'!A:E, 5, FALSE), 1))</f>
        <v>0</v>
      </c>
      <c r="K234" t="s">
        <v>1000</v>
      </c>
      <c r="N234" t="s">
        <v>1221</v>
      </c>
      <c r="O234" t="s">
        <v>1497</v>
      </c>
    </row>
    <row r="235" spans="1:15">
      <c r="A235" t="s">
        <v>256</v>
      </c>
      <c r="B235" t="s">
        <v>758</v>
      </c>
      <c r="C235" t="s">
        <v>978</v>
      </c>
      <c r="D235" t="s">
        <v>981</v>
      </c>
      <c r="E235" t="s">
        <v>983</v>
      </c>
      <c r="G235">
        <v>6150</v>
      </c>
      <c r="H235" t="s">
        <v>995</v>
      </c>
      <c r="I235" s="3">
        <f>G235 * J235</f>
        <v>0</v>
      </c>
      <c r="J235" s="3">
        <f>IF(H235="HUF", 1, IFERROR(VLOOKUP(B235&amp;H235, '22_ExchangeRates'!A:E, 5, FALSE), 1))</f>
        <v>0</v>
      </c>
      <c r="K235" t="s">
        <v>1000</v>
      </c>
      <c r="N235" t="s">
        <v>1222</v>
      </c>
      <c r="O235" t="s">
        <v>1497</v>
      </c>
    </row>
    <row r="236" spans="1:15">
      <c r="A236" t="s">
        <v>257</v>
      </c>
      <c r="B236" t="s">
        <v>758</v>
      </c>
      <c r="C236" t="s">
        <v>978</v>
      </c>
      <c r="D236" t="s">
        <v>981</v>
      </c>
      <c r="E236" t="s">
        <v>983</v>
      </c>
      <c r="G236">
        <v>1100</v>
      </c>
      <c r="H236" t="s">
        <v>995</v>
      </c>
      <c r="I236" s="3">
        <f>G236 * J236</f>
        <v>0</v>
      </c>
      <c r="J236" s="3">
        <f>IF(H236="HUF", 1, IFERROR(VLOOKUP(B236&amp;H236, '22_ExchangeRates'!A:E, 5, FALSE), 1))</f>
        <v>0</v>
      </c>
      <c r="K236" t="s">
        <v>1003</v>
      </c>
      <c r="N236" t="s">
        <v>1223</v>
      </c>
      <c r="O236" t="s">
        <v>1497</v>
      </c>
    </row>
    <row r="237" spans="1:15">
      <c r="A237" t="s">
        <v>258</v>
      </c>
      <c r="B237" t="s">
        <v>758</v>
      </c>
      <c r="C237" t="s">
        <v>978</v>
      </c>
      <c r="D237" t="s">
        <v>981</v>
      </c>
      <c r="E237" t="s">
        <v>983</v>
      </c>
      <c r="G237">
        <v>6150</v>
      </c>
      <c r="H237" t="s">
        <v>995</v>
      </c>
      <c r="I237" s="3">
        <f>G237 * J237</f>
        <v>0</v>
      </c>
      <c r="J237" s="3">
        <f>IF(H237="HUF", 1, IFERROR(VLOOKUP(B237&amp;H237, '22_ExchangeRates'!A:E, 5, FALSE), 1))</f>
        <v>0</v>
      </c>
      <c r="K237" t="s">
        <v>1003</v>
      </c>
      <c r="N237" t="s">
        <v>1224</v>
      </c>
      <c r="O237" t="s">
        <v>1497</v>
      </c>
    </row>
    <row r="238" spans="1:15">
      <c r="A238" t="s">
        <v>259</v>
      </c>
      <c r="B238" t="s">
        <v>758</v>
      </c>
      <c r="C238" t="s">
        <v>978</v>
      </c>
      <c r="D238" t="s">
        <v>981</v>
      </c>
      <c r="E238" t="s">
        <v>983</v>
      </c>
      <c r="G238">
        <v>1700</v>
      </c>
      <c r="H238" t="s">
        <v>995</v>
      </c>
      <c r="I238" s="3">
        <f>G238 * J238</f>
        <v>0</v>
      </c>
      <c r="J238" s="3">
        <f>IF(H238="HUF", 1, IFERROR(VLOOKUP(B238&amp;H238, '22_ExchangeRates'!A:E, 5, FALSE), 1))</f>
        <v>0</v>
      </c>
      <c r="K238" t="s">
        <v>1003</v>
      </c>
      <c r="N238" t="s">
        <v>1225</v>
      </c>
      <c r="O238" t="s">
        <v>1497</v>
      </c>
    </row>
    <row r="239" spans="1:15">
      <c r="A239" t="s">
        <v>260</v>
      </c>
      <c r="B239" t="s">
        <v>758</v>
      </c>
      <c r="C239" t="s">
        <v>978</v>
      </c>
      <c r="D239" t="s">
        <v>981</v>
      </c>
      <c r="E239" t="s">
        <v>983</v>
      </c>
      <c r="G239">
        <v>3300</v>
      </c>
      <c r="H239" t="s">
        <v>995</v>
      </c>
      <c r="I239" s="3">
        <f>G239 * J239</f>
        <v>0</v>
      </c>
      <c r="J239" s="3">
        <f>IF(H239="HUF", 1, IFERROR(VLOOKUP(B239&amp;H239, '22_ExchangeRates'!A:E, 5, FALSE), 1))</f>
        <v>0</v>
      </c>
      <c r="K239" t="s">
        <v>1002</v>
      </c>
      <c r="N239" t="s">
        <v>1226</v>
      </c>
      <c r="O239" t="s">
        <v>1497</v>
      </c>
    </row>
    <row r="240" spans="1:15">
      <c r="A240" t="s">
        <v>261</v>
      </c>
      <c r="B240" t="s">
        <v>758</v>
      </c>
      <c r="C240" t="s">
        <v>978</v>
      </c>
      <c r="D240" t="s">
        <v>981</v>
      </c>
      <c r="E240" t="s">
        <v>983</v>
      </c>
      <c r="G240">
        <v>1900</v>
      </c>
      <c r="H240" t="s">
        <v>995</v>
      </c>
      <c r="I240" s="3">
        <f>G240 * J240</f>
        <v>0</v>
      </c>
      <c r="J240" s="3">
        <f>IF(H240="HUF", 1, IFERROR(VLOOKUP(B240&amp;H240, '22_ExchangeRates'!A:E, 5, FALSE), 1))</f>
        <v>0</v>
      </c>
      <c r="K240" t="s">
        <v>1003</v>
      </c>
      <c r="N240" t="s">
        <v>1227</v>
      </c>
      <c r="O240" t="s">
        <v>1497</v>
      </c>
    </row>
    <row r="241" spans="1:15">
      <c r="A241" t="s">
        <v>262</v>
      </c>
      <c r="B241" t="s">
        <v>758</v>
      </c>
      <c r="C241" t="s">
        <v>978</v>
      </c>
      <c r="D241" t="s">
        <v>981</v>
      </c>
      <c r="E241" t="s">
        <v>982</v>
      </c>
      <c r="G241">
        <v>1080</v>
      </c>
      <c r="H241" t="s">
        <v>995</v>
      </c>
      <c r="I241" s="3">
        <f>G241 * J241</f>
        <v>0</v>
      </c>
      <c r="J241" s="3">
        <f>IF(H241="HUF", 1, IFERROR(VLOOKUP(B241&amp;H241, '22_ExchangeRates'!A:E, 5, FALSE), 1))</f>
        <v>0</v>
      </c>
      <c r="K241" t="s">
        <v>1000</v>
      </c>
      <c r="N241" t="s">
        <v>1228</v>
      </c>
      <c r="O241" t="s">
        <v>1497</v>
      </c>
    </row>
    <row r="242" spans="1:15">
      <c r="A242" t="s">
        <v>263</v>
      </c>
      <c r="B242" t="s">
        <v>758</v>
      </c>
      <c r="C242" t="s">
        <v>978</v>
      </c>
      <c r="D242" t="s">
        <v>981</v>
      </c>
      <c r="E242" t="s">
        <v>982</v>
      </c>
      <c r="G242">
        <v>1080</v>
      </c>
      <c r="H242" t="s">
        <v>995</v>
      </c>
      <c r="I242" s="3">
        <f>G242 * J242</f>
        <v>0</v>
      </c>
      <c r="J242" s="3">
        <f>IF(H242="HUF", 1, IFERROR(VLOOKUP(B242&amp;H242, '22_ExchangeRates'!A:E, 5, FALSE), 1))</f>
        <v>0</v>
      </c>
      <c r="K242" t="s">
        <v>1003</v>
      </c>
      <c r="N242" t="s">
        <v>1228</v>
      </c>
      <c r="O242" t="s">
        <v>1497</v>
      </c>
    </row>
    <row r="243" spans="1:15">
      <c r="A243" t="s">
        <v>264</v>
      </c>
      <c r="B243" t="s">
        <v>758</v>
      </c>
      <c r="C243" t="s">
        <v>978</v>
      </c>
      <c r="D243" t="s">
        <v>981</v>
      </c>
      <c r="E243" t="s">
        <v>983</v>
      </c>
      <c r="G243">
        <v>1100</v>
      </c>
      <c r="H243" t="s">
        <v>995</v>
      </c>
      <c r="I243" s="3">
        <f>G243 * J243</f>
        <v>0</v>
      </c>
      <c r="J243" s="3">
        <f>IF(H243="HUF", 1, IFERROR(VLOOKUP(B243&amp;H243, '22_ExchangeRates'!A:E, 5, FALSE), 1))</f>
        <v>0</v>
      </c>
      <c r="K243" t="s">
        <v>1000</v>
      </c>
      <c r="N243" t="s">
        <v>1223</v>
      </c>
      <c r="O243" t="s">
        <v>1497</v>
      </c>
    </row>
    <row r="244" spans="1:15">
      <c r="A244" t="s">
        <v>265</v>
      </c>
      <c r="B244" t="s">
        <v>758</v>
      </c>
      <c r="C244" t="s">
        <v>978</v>
      </c>
      <c r="D244" t="s">
        <v>981</v>
      </c>
      <c r="E244" t="s">
        <v>983</v>
      </c>
      <c r="G244">
        <v>2100</v>
      </c>
      <c r="H244" t="s">
        <v>995</v>
      </c>
      <c r="I244" s="3">
        <f>G244 * J244</f>
        <v>0</v>
      </c>
      <c r="J244" s="3">
        <f>IF(H244="HUF", 1, IFERROR(VLOOKUP(B244&amp;H244, '22_ExchangeRates'!A:E, 5, FALSE), 1))</f>
        <v>0</v>
      </c>
      <c r="K244" t="s">
        <v>1000</v>
      </c>
      <c r="N244" t="s">
        <v>1229</v>
      </c>
      <c r="O244" t="s">
        <v>1497</v>
      </c>
    </row>
    <row r="245" spans="1:15">
      <c r="A245" t="s">
        <v>266</v>
      </c>
      <c r="B245" t="s">
        <v>759</v>
      </c>
      <c r="C245" t="s">
        <v>979</v>
      </c>
      <c r="D245" t="s">
        <v>981</v>
      </c>
      <c r="E245" t="s">
        <v>983</v>
      </c>
      <c r="G245">
        <v>50000</v>
      </c>
      <c r="H245" t="s">
        <v>995</v>
      </c>
      <c r="I245" s="3">
        <f>G245 * J245</f>
        <v>0</v>
      </c>
      <c r="J245" s="3">
        <f>IF(H245="HUF", 1, IFERROR(VLOOKUP(B245&amp;H245, '22_ExchangeRates'!A:E, 5, FALSE), 1))</f>
        <v>0</v>
      </c>
      <c r="K245" t="s">
        <v>1000</v>
      </c>
      <c r="N245" t="s">
        <v>1230</v>
      </c>
      <c r="O245" t="s">
        <v>1497</v>
      </c>
    </row>
    <row r="246" spans="1:15">
      <c r="A246" t="s">
        <v>267</v>
      </c>
      <c r="B246" t="s">
        <v>760</v>
      </c>
      <c r="C246" t="s">
        <v>979</v>
      </c>
      <c r="D246" t="s">
        <v>981</v>
      </c>
      <c r="E246" t="s">
        <v>983</v>
      </c>
      <c r="G246">
        <v>50000</v>
      </c>
      <c r="H246" t="s">
        <v>995</v>
      </c>
      <c r="I246" s="3">
        <f>G246 * J246</f>
        <v>0</v>
      </c>
      <c r="J246" s="3">
        <f>IF(H246="HUF", 1, IFERROR(VLOOKUP(B246&amp;H246, '22_ExchangeRates'!A:E, 5, FALSE), 1))</f>
        <v>0</v>
      </c>
      <c r="K246" t="s">
        <v>1000</v>
      </c>
      <c r="N246" t="s">
        <v>1231</v>
      </c>
      <c r="O246" t="s">
        <v>1497</v>
      </c>
    </row>
    <row r="247" spans="1:15">
      <c r="A247" t="s">
        <v>268</v>
      </c>
      <c r="B247" t="s">
        <v>761</v>
      </c>
      <c r="C247" t="s">
        <v>978</v>
      </c>
      <c r="D247" t="s">
        <v>981</v>
      </c>
      <c r="E247" t="s">
        <v>982</v>
      </c>
      <c r="G247">
        <v>14717</v>
      </c>
      <c r="H247" t="s">
        <v>995</v>
      </c>
      <c r="I247" s="3">
        <f>G247 * J247</f>
        <v>0</v>
      </c>
      <c r="J247" s="3">
        <f>IF(H247="HUF", 1, IFERROR(VLOOKUP(B247&amp;H247, '22_ExchangeRates'!A:E, 5, FALSE), 1))</f>
        <v>0</v>
      </c>
      <c r="K247" t="s">
        <v>1003</v>
      </c>
      <c r="N247" t="s">
        <v>1232</v>
      </c>
      <c r="O247" t="s">
        <v>1497</v>
      </c>
    </row>
    <row r="248" spans="1:15">
      <c r="A248" t="s">
        <v>269</v>
      </c>
      <c r="B248" t="s">
        <v>761</v>
      </c>
      <c r="C248" t="s">
        <v>978</v>
      </c>
      <c r="D248" t="s">
        <v>981</v>
      </c>
      <c r="E248" t="s">
        <v>982</v>
      </c>
      <c r="G248">
        <v>480</v>
      </c>
      <c r="H248" t="s">
        <v>995</v>
      </c>
      <c r="I248" s="3">
        <f>G248 * J248</f>
        <v>0</v>
      </c>
      <c r="J248" s="3">
        <f>IF(H248="HUF", 1, IFERROR(VLOOKUP(B248&amp;H248, '22_ExchangeRates'!A:E, 5, FALSE), 1))</f>
        <v>0</v>
      </c>
      <c r="K248" t="s">
        <v>1002</v>
      </c>
      <c r="N248" t="s">
        <v>1233</v>
      </c>
      <c r="O248" t="s">
        <v>1497</v>
      </c>
    </row>
    <row r="249" spans="1:15">
      <c r="A249" t="s">
        <v>270</v>
      </c>
      <c r="B249" t="s">
        <v>762</v>
      </c>
      <c r="C249" t="s">
        <v>979</v>
      </c>
      <c r="D249" t="s">
        <v>981</v>
      </c>
      <c r="E249" t="s">
        <v>983</v>
      </c>
      <c r="G249">
        <v>15000</v>
      </c>
      <c r="H249" t="s">
        <v>995</v>
      </c>
      <c r="I249" s="3">
        <f>G249 * J249</f>
        <v>0</v>
      </c>
      <c r="J249" s="3">
        <f>IF(H249="HUF", 1, IFERROR(VLOOKUP(B249&amp;H249, '22_ExchangeRates'!A:E, 5, FALSE), 1))</f>
        <v>0</v>
      </c>
      <c r="K249" t="s">
        <v>1000</v>
      </c>
      <c r="N249" t="s">
        <v>1234</v>
      </c>
      <c r="O249" t="s">
        <v>1497</v>
      </c>
    </row>
    <row r="250" spans="1:15">
      <c r="A250" t="s">
        <v>271</v>
      </c>
      <c r="B250" t="s">
        <v>763</v>
      </c>
      <c r="C250" t="s">
        <v>978</v>
      </c>
      <c r="D250" t="s">
        <v>981</v>
      </c>
      <c r="E250" t="s">
        <v>982</v>
      </c>
      <c r="G250">
        <v>1890</v>
      </c>
      <c r="H250" t="s">
        <v>995</v>
      </c>
      <c r="I250" s="3">
        <f>G250 * J250</f>
        <v>0</v>
      </c>
      <c r="J250" s="3">
        <f>IF(H250="HUF", 1, IFERROR(VLOOKUP(B250&amp;H250, '22_ExchangeRates'!A:E, 5, FALSE), 1))</f>
        <v>0</v>
      </c>
      <c r="K250" t="s">
        <v>1001</v>
      </c>
      <c r="N250" t="s">
        <v>1202</v>
      </c>
      <c r="O250" t="s">
        <v>1497</v>
      </c>
    </row>
    <row r="251" spans="1:15">
      <c r="A251" t="s">
        <v>272</v>
      </c>
      <c r="B251" t="s">
        <v>764</v>
      </c>
      <c r="C251" t="s">
        <v>978</v>
      </c>
      <c r="D251" t="s">
        <v>981</v>
      </c>
      <c r="E251" t="s">
        <v>982</v>
      </c>
      <c r="G251">
        <v>6780</v>
      </c>
      <c r="H251" t="s">
        <v>995</v>
      </c>
      <c r="I251" s="3">
        <f>G251 * J251</f>
        <v>0</v>
      </c>
      <c r="J251" s="3">
        <f>IF(H251="HUF", 1, IFERROR(VLOOKUP(B251&amp;H251, '22_ExchangeRates'!A:E, 5, FALSE), 1))</f>
        <v>0</v>
      </c>
      <c r="K251" t="s">
        <v>1000</v>
      </c>
      <c r="N251" t="s">
        <v>1235</v>
      </c>
      <c r="O251" t="s">
        <v>1497</v>
      </c>
    </row>
    <row r="252" spans="1:15">
      <c r="A252" t="s">
        <v>273</v>
      </c>
      <c r="B252" t="s">
        <v>765</v>
      </c>
      <c r="C252" t="s">
        <v>978</v>
      </c>
      <c r="D252" t="s">
        <v>981</v>
      </c>
      <c r="E252" t="s">
        <v>983</v>
      </c>
      <c r="G252">
        <v>4200</v>
      </c>
      <c r="H252" t="s">
        <v>995</v>
      </c>
      <c r="I252" s="3">
        <f>G252 * J252</f>
        <v>0</v>
      </c>
      <c r="J252" s="3">
        <f>IF(H252="HUF", 1, IFERROR(VLOOKUP(B252&amp;H252, '22_ExchangeRates'!A:E, 5, FALSE), 1))</f>
        <v>0</v>
      </c>
      <c r="K252" t="s">
        <v>1003</v>
      </c>
      <c r="N252" t="s">
        <v>1236</v>
      </c>
      <c r="O252" t="s">
        <v>1497</v>
      </c>
    </row>
    <row r="253" spans="1:15">
      <c r="A253" t="s">
        <v>274</v>
      </c>
      <c r="B253" t="s">
        <v>766</v>
      </c>
      <c r="C253" t="s">
        <v>978</v>
      </c>
      <c r="D253" t="s">
        <v>981</v>
      </c>
      <c r="E253" t="s">
        <v>982</v>
      </c>
      <c r="G253">
        <v>3416</v>
      </c>
      <c r="H253" t="s">
        <v>995</v>
      </c>
      <c r="I253" s="3">
        <f>G253 * J253</f>
        <v>0</v>
      </c>
      <c r="J253" s="3">
        <f>IF(H253="HUF", 1, IFERROR(VLOOKUP(B253&amp;H253, '22_ExchangeRates'!A:E, 5, FALSE), 1))</f>
        <v>0</v>
      </c>
      <c r="K253" t="s">
        <v>1003</v>
      </c>
      <c r="N253" t="s">
        <v>1237</v>
      </c>
      <c r="O253" t="s">
        <v>1497</v>
      </c>
    </row>
    <row r="254" spans="1:15">
      <c r="A254" t="s">
        <v>275</v>
      </c>
      <c r="B254" t="s">
        <v>766</v>
      </c>
      <c r="C254" t="s">
        <v>978</v>
      </c>
      <c r="D254" t="s">
        <v>981</v>
      </c>
      <c r="E254" t="s">
        <v>982</v>
      </c>
      <c r="G254">
        <v>3145</v>
      </c>
      <c r="H254" t="s">
        <v>995</v>
      </c>
      <c r="I254" s="3">
        <f>G254 * J254</f>
        <v>0</v>
      </c>
      <c r="J254" s="3">
        <f>IF(H254="HUF", 1, IFERROR(VLOOKUP(B254&amp;H254, '22_ExchangeRates'!A:E, 5, FALSE), 1))</f>
        <v>0</v>
      </c>
      <c r="K254" t="s">
        <v>1000</v>
      </c>
      <c r="N254" t="s">
        <v>1238</v>
      </c>
      <c r="O254" t="s">
        <v>1497</v>
      </c>
    </row>
    <row r="255" spans="1:15">
      <c r="A255" t="s">
        <v>276</v>
      </c>
      <c r="B255" t="s">
        <v>767</v>
      </c>
      <c r="C255" t="s">
        <v>980</v>
      </c>
      <c r="D255" t="s">
        <v>981</v>
      </c>
      <c r="E255" t="s">
        <v>982</v>
      </c>
      <c r="F255" t="s">
        <v>994</v>
      </c>
      <c r="G255">
        <v>70000</v>
      </c>
      <c r="H255" t="s">
        <v>995</v>
      </c>
      <c r="I255" s="3">
        <f>G255 * J255</f>
        <v>0</v>
      </c>
      <c r="J255" s="3">
        <f>IF(H255="HUF", 1, IFERROR(VLOOKUP(B255&amp;H255, '22_ExchangeRates'!A:E, 5, FALSE), 1))</f>
        <v>0</v>
      </c>
      <c r="N255" t="s">
        <v>1239</v>
      </c>
      <c r="O255" t="s">
        <v>1497</v>
      </c>
    </row>
    <row r="256" spans="1:15">
      <c r="A256" t="s">
        <v>277</v>
      </c>
      <c r="B256" t="s">
        <v>767</v>
      </c>
      <c r="C256" t="s">
        <v>978</v>
      </c>
      <c r="D256" t="s">
        <v>981</v>
      </c>
      <c r="E256" t="s">
        <v>983</v>
      </c>
      <c r="G256">
        <v>2700</v>
      </c>
      <c r="H256" t="s">
        <v>995</v>
      </c>
      <c r="I256" s="3">
        <f>G256 * J256</f>
        <v>0</v>
      </c>
      <c r="J256" s="3">
        <f>IF(H256="HUF", 1, IFERROR(VLOOKUP(B256&amp;H256, '22_ExchangeRates'!A:E, 5, FALSE), 1))</f>
        <v>0</v>
      </c>
      <c r="K256" t="s">
        <v>1003</v>
      </c>
      <c r="N256" t="s">
        <v>1240</v>
      </c>
      <c r="O256" t="s">
        <v>1497</v>
      </c>
    </row>
    <row r="257" spans="1:15">
      <c r="A257" t="s">
        <v>278</v>
      </c>
      <c r="B257" t="s">
        <v>768</v>
      </c>
      <c r="C257" t="s">
        <v>978</v>
      </c>
      <c r="D257" t="s">
        <v>981</v>
      </c>
      <c r="E257" t="s">
        <v>983</v>
      </c>
      <c r="G257">
        <v>3000</v>
      </c>
      <c r="H257" t="s">
        <v>995</v>
      </c>
      <c r="I257" s="3">
        <f>G257 * J257</f>
        <v>0</v>
      </c>
      <c r="J257" s="3">
        <f>IF(H257="HUF", 1, IFERROR(VLOOKUP(B257&amp;H257, '22_ExchangeRates'!A:E, 5, FALSE), 1))</f>
        <v>0</v>
      </c>
      <c r="K257" t="s">
        <v>1003</v>
      </c>
      <c r="N257" t="s">
        <v>1241</v>
      </c>
      <c r="O257" t="s">
        <v>1497</v>
      </c>
    </row>
    <row r="258" spans="1:15">
      <c r="A258" t="s">
        <v>279</v>
      </c>
      <c r="B258" t="s">
        <v>768</v>
      </c>
      <c r="C258" t="s">
        <v>978</v>
      </c>
      <c r="D258" t="s">
        <v>981</v>
      </c>
      <c r="E258" t="s">
        <v>983</v>
      </c>
      <c r="G258">
        <v>2780</v>
      </c>
      <c r="H258" t="s">
        <v>995</v>
      </c>
      <c r="I258" s="3">
        <f>G258 * J258</f>
        <v>0</v>
      </c>
      <c r="J258" s="3">
        <f>IF(H258="HUF", 1, IFERROR(VLOOKUP(B258&amp;H258, '22_ExchangeRates'!A:E, 5, FALSE), 1))</f>
        <v>0</v>
      </c>
      <c r="K258" t="s">
        <v>1002</v>
      </c>
      <c r="N258" t="s">
        <v>1242</v>
      </c>
      <c r="O258" t="s">
        <v>1497</v>
      </c>
    </row>
    <row r="259" spans="1:15">
      <c r="A259" t="s">
        <v>280</v>
      </c>
      <c r="B259" t="s">
        <v>768</v>
      </c>
      <c r="C259" t="s">
        <v>978</v>
      </c>
      <c r="D259" t="s">
        <v>981</v>
      </c>
      <c r="E259" t="s">
        <v>983</v>
      </c>
      <c r="G259">
        <v>1400</v>
      </c>
      <c r="H259" t="s">
        <v>995</v>
      </c>
      <c r="I259" s="3">
        <f>G259 * J259</f>
        <v>0</v>
      </c>
      <c r="J259" s="3">
        <f>IF(H259="HUF", 1, IFERROR(VLOOKUP(B259&amp;H259, '22_ExchangeRates'!A:E, 5, FALSE), 1))</f>
        <v>0</v>
      </c>
      <c r="K259" t="s">
        <v>1003</v>
      </c>
      <c r="N259" t="s">
        <v>1243</v>
      </c>
      <c r="O259" t="s">
        <v>1497</v>
      </c>
    </row>
    <row r="260" spans="1:15">
      <c r="A260" t="s">
        <v>281</v>
      </c>
      <c r="B260" t="s">
        <v>769</v>
      </c>
      <c r="C260" t="s">
        <v>978</v>
      </c>
      <c r="D260" t="s">
        <v>981</v>
      </c>
      <c r="E260" t="s">
        <v>982</v>
      </c>
      <c r="G260">
        <v>17200</v>
      </c>
      <c r="H260" t="s">
        <v>995</v>
      </c>
      <c r="I260" s="3">
        <f>G260 * J260</f>
        <v>0</v>
      </c>
      <c r="J260" s="3">
        <f>IF(H260="HUF", 1, IFERROR(VLOOKUP(B260&amp;H260, '22_ExchangeRates'!A:E, 5, FALSE), 1))</f>
        <v>0</v>
      </c>
      <c r="K260" t="s">
        <v>1010</v>
      </c>
      <c r="N260" t="s">
        <v>1244</v>
      </c>
      <c r="O260" t="s">
        <v>1497</v>
      </c>
    </row>
    <row r="261" spans="1:15">
      <c r="A261" t="s">
        <v>282</v>
      </c>
      <c r="B261" t="s">
        <v>770</v>
      </c>
      <c r="C261" t="s">
        <v>979</v>
      </c>
      <c r="D261" t="s">
        <v>981</v>
      </c>
      <c r="E261" t="s">
        <v>982</v>
      </c>
      <c r="G261">
        <v>30000</v>
      </c>
      <c r="H261" t="s">
        <v>995</v>
      </c>
      <c r="I261" s="3">
        <f>G261 * J261</f>
        <v>0</v>
      </c>
      <c r="J261" s="3">
        <f>IF(H261="HUF", 1, IFERROR(VLOOKUP(B261&amp;H261, '22_ExchangeRates'!A:E, 5, FALSE), 1))</f>
        <v>0</v>
      </c>
      <c r="K261" t="s">
        <v>1004</v>
      </c>
      <c r="N261" t="s">
        <v>1245</v>
      </c>
      <c r="O261" t="s">
        <v>1497</v>
      </c>
    </row>
    <row r="262" spans="1:15">
      <c r="A262" t="s">
        <v>283</v>
      </c>
      <c r="B262" t="s">
        <v>771</v>
      </c>
      <c r="C262" t="s">
        <v>978</v>
      </c>
      <c r="D262" t="s">
        <v>981</v>
      </c>
      <c r="E262" t="s">
        <v>982</v>
      </c>
      <c r="G262">
        <v>945</v>
      </c>
      <c r="H262" t="s">
        <v>995</v>
      </c>
      <c r="I262" s="3">
        <f>G262 * J262</f>
        <v>0</v>
      </c>
      <c r="J262" s="3">
        <f>IF(H262="HUF", 1, IFERROR(VLOOKUP(B262&amp;H262, '22_ExchangeRates'!A:E, 5, FALSE), 1))</f>
        <v>0</v>
      </c>
      <c r="K262" t="s">
        <v>1001</v>
      </c>
      <c r="N262" t="s">
        <v>1246</v>
      </c>
      <c r="O262" t="s">
        <v>1497</v>
      </c>
    </row>
    <row r="263" spans="1:15">
      <c r="A263" t="s">
        <v>284</v>
      </c>
      <c r="B263" t="s">
        <v>772</v>
      </c>
      <c r="C263" t="s">
        <v>978</v>
      </c>
      <c r="D263" t="s">
        <v>981</v>
      </c>
      <c r="E263" t="s">
        <v>983</v>
      </c>
      <c r="G263">
        <v>1530</v>
      </c>
      <c r="H263" t="s">
        <v>995</v>
      </c>
      <c r="I263" s="3">
        <f>G263 * J263</f>
        <v>0</v>
      </c>
      <c r="J263" s="3">
        <f>IF(H263="HUF", 1, IFERROR(VLOOKUP(B263&amp;H263, '22_ExchangeRates'!A:E, 5, FALSE), 1))</f>
        <v>0</v>
      </c>
      <c r="K263" t="s">
        <v>1003</v>
      </c>
      <c r="N263" t="s">
        <v>1247</v>
      </c>
      <c r="O263" t="s">
        <v>1497</v>
      </c>
    </row>
    <row r="264" spans="1:15">
      <c r="A264" t="s">
        <v>285</v>
      </c>
      <c r="B264" t="s">
        <v>772</v>
      </c>
      <c r="C264" t="s">
        <v>978</v>
      </c>
      <c r="D264" t="s">
        <v>981</v>
      </c>
      <c r="E264" t="s">
        <v>983</v>
      </c>
      <c r="G264">
        <v>2180</v>
      </c>
      <c r="H264" t="s">
        <v>995</v>
      </c>
      <c r="I264" s="3">
        <f>G264 * J264</f>
        <v>0</v>
      </c>
      <c r="J264" s="3">
        <f>IF(H264="HUF", 1, IFERROR(VLOOKUP(B264&amp;H264, '22_ExchangeRates'!A:E, 5, FALSE), 1))</f>
        <v>0</v>
      </c>
      <c r="K264" t="s">
        <v>1003</v>
      </c>
      <c r="N264" t="s">
        <v>1248</v>
      </c>
      <c r="O264" t="s">
        <v>1497</v>
      </c>
    </row>
    <row r="265" spans="1:15">
      <c r="A265" t="s">
        <v>286</v>
      </c>
      <c r="B265" t="s">
        <v>772</v>
      </c>
      <c r="C265" t="s">
        <v>978</v>
      </c>
      <c r="D265" t="s">
        <v>981</v>
      </c>
      <c r="E265" t="s">
        <v>983</v>
      </c>
      <c r="G265">
        <v>1850</v>
      </c>
      <c r="H265" t="s">
        <v>995</v>
      </c>
      <c r="I265" s="3">
        <f>G265 * J265</f>
        <v>0</v>
      </c>
      <c r="J265" s="3">
        <f>IF(H265="HUF", 1, IFERROR(VLOOKUP(B265&amp;H265, '22_ExchangeRates'!A:E, 5, FALSE), 1))</f>
        <v>0</v>
      </c>
      <c r="K265" t="s">
        <v>1002</v>
      </c>
      <c r="N265" t="s">
        <v>1072</v>
      </c>
      <c r="O265" t="s">
        <v>1497</v>
      </c>
    </row>
    <row r="266" spans="1:15">
      <c r="A266" t="s">
        <v>287</v>
      </c>
      <c r="B266" t="s">
        <v>773</v>
      </c>
      <c r="C266" t="s">
        <v>978</v>
      </c>
      <c r="D266" t="s">
        <v>981</v>
      </c>
      <c r="E266" t="s">
        <v>983</v>
      </c>
      <c r="G266">
        <v>1890</v>
      </c>
      <c r="H266" t="s">
        <v>995</v>
      </c>
      <c r="I266" s="3">
        <f>G266 * J266</f>
        <v>0</v>
      </c>
      <c r="J266" s="3">
        <f>IF(H266="HUF", 1, IFERROR(VLOOKUP(B266&amp;H266, '22_ExchangeRates'!A:E, 5, FALSE), 1))</f>
        <v>0</v>
      </c>
      <c r="K266" t="s">
        <v>1005</v>
      </c>
      <c r="N266" t="s">
        <v>1029</v>
      </c>
      <c r="O266" t="s">
        <v>1497</v>
      </c>
    </row>
    <row r="267" spans="1:15">
      <c r="A267" t="s">
        <v>288</v>
      </c>
      <c r="B267" t="s">
        <v>773</v>
      </c>
      <c r="C267" t="s">
        <v>978</v>
      </c>
      <c r="D267" t="s">
        <v>981</v>
      </c>
      <c r="E267" t="s">
        <v>983</v>
      </c>
      <c r="G267">
        <v>5000</v>
      </c>
      <c r="H267" t="s">
        <v>995</v>
      </c>
      <c r="I267" s="3">
        <f>G267 * J267</f>
        <v>0</v>
      </c>
      <c r="J267" s="3">
        <f>IF(H267="HUF", 1, IFERROR(VLOOKUP(B267&amp;H267, '22_ExchangeRates'!A:E, 5, FALSE), 1))</f>
        <v>0</v>
      </c>
      <c r="K267" t="s">
        <v>1000</v>
      </c>
      <c r="N267" t="s">
        <v>1249</v>
      </c>
      <c r="O267" t="s">
        <v>1497</v>
      </c>
    </row>
    <row r="268" spans="1:15">
      <c r="A268" t="s">
        <v>289</v>
      </c>
      <c r="B268" t="s">
        <v>773</v>
      </c>
      <c r="C268" t="s">
        <v>978</v>
      </c>
      <c r="D268" t="s">
        <v>981</v>
      </c>
      <c r="E268" t="s">
        <v>983</v>
      </c>
      <c r="G268">
        <v>540</v>
      </c>
      <c r="H268" t="s">
        <v>995</v>
      </c>
      <c r="I268" s="3">
        <f>G268 * J268</f>
        <v>0</v>
      </c>
      <c r="J268" s="3">
        <f>IF(H268="HUF", 1, IFERROR(VLOOKUP(B268&amp;H268, '22_ExchangeRates'!A:E, 5, FALSE), 1))</f>
        <v>0</v>
      </c>
      <c r="K268" t="s">
        <v>1000</v>
      </c>
      <c r="N268" t="s">
        <v>1250</v>
      </c>
      <c r="O268" t="s">
        <v>1497</v>
      </c>
    </row>
    <row r="269" spans="1:15">
      <c r="A269" t="s">
        <v>290</v>
      </c>
      <c r="B269" t="s">
        <v>774</v>
      </c>
      <c r="C269" t="s">
        <v>978</v>
      </c>
      <c r="D269" t="s">
        <v>981</v>
      </c>
      <c r="E269" t="s">
        <v>983</v>
      </c>
      <c r="G269">
        <v>1400</v>
      </c>
      <c r="H269" t="s">
        <v>995</v>
      </c>
      <c r="I269" s="3">
        <f>G269 * J269</f>
        <v>0</v>
      </c>
      <c r="J269" s="3">
        <f>IF(H269="HUF", 1, IFERROR(VLOOKUP(B269&amp;H269, '22_ExchangeRates'!A:E, 5, FALSE), 1))</f>
        <v>0</v>
      </c>
      <c r="K269" t="s">
        <v>1003</v>
      </c>
      <c r="N269" t="s">
        <v>1251</v>
      </c>
      <c r="O269" t="s">
        <v>1497</v>
      </c>
    </row>
    <row r="270" spans="1:15">
      <c r="A270" t="s">
        <v>291</v>
      </c>
      <c r="B270" t="s">
        <v>774</v>
      </c>
      <c r="C270" t="s">
        <v>978</v>
      </c>
      <c r="D270" t="s">
        <v>981</v>
      </c>
      <c r="E270" t="s">
        <v>982</v>
      </c>
      <c r="G270">
        <v>710</v>
      </c>
      <c r="H270" t="s">
        <v>995</v>
      </c>
      <c r="I270" s="3">
        <f>G270 * J270</f>
        <v>0</v>
      </c>
      <c r="J270" s="3">
        <f>IF(H270="HUF", 1, IFERROR(VLOOKUP(B270&amp;H270, '22_ExchangeRates'!A:E, 5, FALSE), 1))</f>
        <v>0</v>
      </c>
      <c r="K270" t="s">
        <v>1003</v>
      </c>
      <c r="N270" t="s">
        <v>1252</v>
      </c>
      <c r="O270" t="s">
        <v>1497</v>
      </c>
    </row>
    <row r="271" spans="1:15">
      <c r="A271" t="s">
        <v>292</v>
      </c>
      <c r="B271" t="s">
        <v>775</v>
      </c>
      <c r="C271" t="s">
        <v>978</v>
      </c>
      <c r="D271" t="s">
        <v>981</v>
      </c>
      <c r="E271" t="s">
        <v>982</v>
      </c>
      <c r="G271">
        <v>10000</v>
      </c>
      <c r="H271" t="s">
        <v>995</v>
      </c>
      <c r="I271" s="3">
        <f>G271 * J271</f>
        <v>0</v>
      </c>
      <c r="J271" s="3">
        <f>IF(H271="HUF", 1, IFERROR(VLOOKUP(B271&amp;H271, '22_ExchangeRates'!A:E, 5, FALSE), 1))</f>
        <v>0</v>
      </c>
      <c r="K271" t="s">
        <v>1000</v>
      </c>
      <c r="N271" t="s">
        <v>1253</v>
      </c>
      <c r="O271" t="s">
        <v>1497</v>
      </c>
    </row>
    <row r="272" spans="1:15">
      <c r="A272" t="s">
        <v>293</v>
      </c>
      <c r="B272" t="s">
        <v>775</v>
      </c>
      <c r="C272" t="s">
        <v>978</v>
      </c>
      <c r="D272" t="s">
        <v>981</v>
      </c>
      <c r="E272" t="s">
        <v>982</v>
      </c>
      <c r="G272">
        <v>20984</v>
      </c>
      <c r="H272" t="s">
        <v>995</v>
      </c>
      <c r="I272" s="3">
        <f>G272 * J272</f>
        <v>0</v>
      </c>
      <c r="J272" s="3">
        <f>IF(H272="HUF", 1, IFERROR(VLOOKUP(B272&amp;H272, '22_ExchangeRates'!A:E, 5, FALSE), 1))</f>
        <v>0</v>
      </c>
      <c r="K272" t="s">
        <v>1010</v>
      </c>
      <c r="N272" t="s">
        <v>1254</v>
      </c>
      <c r="O272" t="s">
        <v>1497</v>
      </c>
    </row>
    <row r="273" spans="1:15">
      <c r="A273" t="s">
        <v>294</v>
      </c>
      <c r="B273" t="s">
        <v>776</v>
      </c>
      <c r="C273" t="s">
        <v>979</v>
      </c>
      <c r="D273" t="s">
        <v>981</v>
      </c>
      <c r="E273" t="s">
        <v>983</v>
      </c>
      <c r="G273">
        <v>80000</v>
      </c>
      <c r="H273" t="s">
        <v>995</v>
      </c>
      <c r="I273" s="3">
        <f>G273 * J273</f>
        <v>0</v>
      </c>
      <c r="J273" s="3">
        <f>IF(H273="HUF", 1, IFERROR(VLOOKUP(B273&amp;H273, '22_ExchangeRates'!A:E, 5, FALSE), 1))</f>
        <v>0</v>
      </c>
      <c r="K273" t="s">
        <v>1000</v>
      </c>
      <c r="N273" t="s">
        <v>1255</v>
      </c>
      <c r="O273" t="s">
        <v>1497</v>
      </c>
    </row>
    <row r="274" spans="1:15">
      <c r="A274" t="s">
        <v>295</v>
      </c>
      <c r="B274" t="s">
        <v>777</v>
      </c>
      <c r="C274" t="s">
        <v>979</v>
      </c>
      <c r="D274" t="s">
        <v>981</v>
      </c>
      <c r="E274" t="s">
        <v>983</v>
      </c>
      <c r="G274">
        <v>50000</v>
      </c>
      <c r="H274" t="s">
        <v>995</v>
      </c>
      <c r="I274" s="3">
        <f>G274 * J274</f>
        <v>0</v>
      </c>
      <c r="J274" s="3">
        <f>IF(H274="HUF", 1, IFERROR(VLOOKUP(B274&amp;H274, '22_ExchangeRates'!A:E, 5, FALSE), 1))</f>
        <v>0</v>
      </c>
      <c r="K274" t="s">
        <v>1000</v>
      </c>
      <c r="N274" t="s">
        <v>1256</v>
      </c>
      <c r="O274" t="s">
        <v>1497</v>
      </c>
    </row>
    <row r="275" spans="1:15">
      <c r="A275" t="s">
        <v>296</v>
      </c>
      <c r="B275" t="s">
        <v>778</v>
      </c>
      <c r="C275" t="s">
        <v>978</v>
      </c>
      <c r="D275" t="s">
        <v>981</v>
      </c>
      <c r="E275" t="s">
        <v>982</v>
      </c>
      <c r="G275">
        <v>350</v>
      </c>
      <c r="H275" t="s">
        <v>995</v>
      </c>
      <c r="I275" s="3">
        <f>G275 * J275</f>
        <v>0</v>
      </c>
      <c r="J275" s="3">
        <f>IF(H275="HUF", 1, IFERROR(VLOOKUP(B275&amp;H275, '22_ExchangeRates'!A:E, 5, FALSE), 1))</f>
        <v>0</v>
      </c>
      <c r="K275" t="s">
        <v>1006</v>
      </c>
      <c r="N275" t="s">
        <v>1257</v>
      </c>
      <c r="O275" t="s">
        <v>1497</v>
      </c>
    </row>
    <row r="276" spans="1:15">
      <c r="A276" t="s">
        <v>297</v>
      </c>
      <c r="B276" t="s">
        <v>778</v>
      </c>
      <c r="C276" t="s">
        <v>978</v>
      </c>
      <c r="D276" t="s">
        <v>981</v>
      </c>
      <c r="E276" t="s">
        <v>982</v>
      </c>
      <c r="G276">
        <v>1795.98</v>
      </c>
      <c r="H276" t="s">
        <v>995</v>
      </c>
      <c r="I276" s="3">
        <f>G276 * J276</f>
        <v>0</v>
      </c>
      <c r="J276" s="3">
        <f>IF(H276="HUF", 1, IFERROR(VLOOKUP(B276&amp;H276, '22_ExchangeRates'!A:E, 5, FALSE), 1))</f>
        <v>0</v>
      </c>
      <c r="K276" t="s">
        <v>1003</v>
      </c>
      <c r="N276" t="s">
        <v>1258</v>
      </c>
      <c r="O276" t="s">
        <v>1497</v>
      </c>
    </row>
    <row r="277" spans="1:15">
      <c r="A277" t="s">
        <v>298</v>
      </c>
      <c r="B277" t="s">
        <v>778</v>
      </c>
      <c r="C277" t="s">
        <v>980</v>
      </c>
      <c r="D277" t="s">
        <v>981</v>
      </c>
      <c r="E277" t="s">
        <v>982</v>
      </c>
      <c r="F277" t="s">
        <v>994</v>
      </c>
      <c r="G277">
        <v>70000</v>
      </c>
      <c r="H277" t="s">
        <v>995</v>
      </c>
      <c r="I277" s="3">
        <f>G277 * J277</f>
        <v>0</v>
      </c>
      <c r="J277" s="3">
        <f>IF(H277="HUF", 1, IFERROR(VLOOKUP(B277&amp;H277, '22_ExchangeRates'!A:E, 5, FALSE), 1))</f>
        <v>0</v>
      </c>
      <c r="O277" t="s">
        <v>1497</v>
      </c>
    </row>
    <row r="278" spans="1:15">
      <c r="A278" t="s">
        <v>299</v>
      </c>
      <c r="B278" t="s">
        <v>779</v>
      </c>
      <c r="C278" t="s">
        <v>978</v>
      </c>
      <c r="D278" t="s">
        <v>981</v>
      </c>
      <c r="E278" t="s">
        <v>982</v>
      </c>
      <c r="G278">
        <v>3150</v>
      </c>
      <c r="H278" t="s">
        <v>995</v>
      </c>
      <c r="I278" s="3">
        <f>G278 * J278</f>
        <v>0</v>
      </c>
      <c r="J278" s="3">
        <f>IF(H278="HUF", 1, IFERROR(VLOOKUP(B278&amp;H278, '22_ExchangeRates'!A:E, 5, FALSE), 1))</f>
        <v>0</v>
      </c>
      <c r="K278" t="s">
        <v>1003</v>
      </c>
      <c r="N278" t="s">
        <v>1259</v>
      </c>
      <c r="O278" t="s">
        <v>1497</v>
      </c>
    </row>
    <row r="279" spans="1:15">
      <c r="A279" t="s">
        <v>300</v>
      </c>
      <c r="B279" t="s">
        <v>779</v>
      </c>
      <c r="C279" t="s">
        <v>978</v>
      </c>
      <c r="D279" t="s">
        <v>981</v>
      </c>
      <c r="E279" t="s">
        <v>983</v>
      </c>
      <c r="G279">
        <v>850</v>
      </c>
      <c r="H279" t="s">
        <v>995</v>
      </c>
      <c r="I279" s="3">
        <f>G279 * J279</f>
        <v>0</v>
      </c>
      <c r="J279" s="3">
        <f>IF(H279="HUF", 1, IFERROR(VLOOKUP(B279&amp;H279, '22_ExchangeRates'!A:E, 5, FALSE), 1))</f>
        <v>0</v>
      </c>
      <c r="K279" t="s">
        <v>1003</v>
      </c>
      <c r="N279" t="s">
        <v>1260</v>
      </c>
      <c r="O279" t="s">
        <v>1497</v>
      </c>
    </row>
    <row r="280" spans="1:15">
      <c r="A280" t="s">
        <v>301</v>
      </c>
      <c r="B280" t="s">
        <v>780</v>
      </c>
      <c r="C280" t="s">
        <v>979</v>
      </c>
      <c r="D280" t="s">
        <v>981</v>
      </c>
      <c r="E280" t="s">
        <v>991</v>
      </c>
      <c r="G280">
        <v>222</v>
      </c>
      <c r="H280" t="s">
        <v>996</v>
      </c>
      <c r="I280" s="3">
        <f>G280 * J280</f>
        <v>0</v>
      </c>
      <c r="J280" s="3">
        <f>IF(H280="HUF", 1, IFERROR(VLOOKUP(B280&amp;H280, '22_ExchangeRates'!A:E, 5, FALSE), 1))</f>
        <v>0</v>
      </c>
      <c r="K280" t="s">
        <v>1007</v>
      </c>
      <c r="N280" t="s">
        <v>1261</v>
      </c>
      <c r="O280" t="s">
        <v>1497</v>
      </c>
    </row>
    <row r="281" spans="1:15">
      <c r="A281" t="s">
        <v>302</v>
      </c>
      <c r="B281" t="s">
        <v>781</v>
      </c>
      <c r="C281" t="s">
        <v>979</v>
      </c>
      <c r="D281" t="s">
        <v>981</v>
      </c>
      <c r="E281" t="s">
        <v>982</v>
      </c>
      <c r="G281">
        <v>19900</v>
      </c>
      <c r="H281" t="s">
        <v>995</v>
      </c>
      <c r="I281" s="3">
        <f>G281 * J281</f>
        <v>0</v>
      </c>
      <c r="J281" s="3">
        <f>IF(H281="HUF", 1, IFERROR(VLOOKUP(B281&amp;H281, '22_ExchangeRates'!A:E, 5, FALSE), 1))</f>
        <v>0</v>
      </c>
      <c r="K281" t="s">
        <v>1004</v>
      </c>
      <c r="N281" t="s">
        <v>1262</v>
      </c>
      <c r="O281" t="s">
        <v>1497</v>
      </c>
    </row>
    <row r="282" spans="1:15">
      <c r="A282" t="s">
        <v>303</v>
      </c>
      <c r="B282" t="s">
        <v>782</v>
      </c>
      <c r="C282" t="s">
        <v>978</v>
      </c>
      <c r="D282" t="s">
        <v>981</v>
      </c>
      <c r="E282" t="s">
        <v>983</v>
      </c>
      <c r="G282">
        <v>1390</v>
      </c>
      <c r="H282" t="s">
        <v>995</v>
      </c>
      <c r="I282" s="3">
        <f>G282 * J282</f>
        <v>0</v>
      </c>
      <c r="J282" s="3">
        <f>IF(H282="HUF", 1, IFERROR(VLOOKUP(B282&amp;H282, '22_ExchangeRates'!A:E, 5, FALSE), 1))</f>
        <v>0</v>
      </c>
      <c r="K282" t="s">
        <v>1002</v>
      </c>
      <c r="N282" t="s">
        <v>1263</v>
      </c>
      <c r="O282" t="s">
        <v>1497</v>
      </c>
    </row>
    <row r="283" spans="1:15">
      <c r="A283" t="s">
        <v>304</v>
      </c>
      <c r="B283" t="s">
        <v>782</v>
      </c>
      <c r="C283" t="s">
        <v>978</v>
      </c>
      <c r="D283" t="s">
        <v>981</v>
      </c>
      <c r="E283" t="s">
        <v>983</v>
      </c>
      <c r="G283">
        <v>1390</v>
      </c>
      <c r="H283" t="s">
        <v>995</v>
      </c>
      <c r="I283" s="3">
        <f>G283 * J283</f>
        <v>0</v>
      </c>
      <c r="J283" s="3">
        <f>IF(H283="HUF", 1, IFERROR(VLOOKUP(B283&amp;H283, '22_ExchangeRates'!A:E, 5, FALSE), 1))</f>
        <v>0</v>
      </c>
      <c r="K283" t="s">
        <v>1000</v>
      </c>
      <c r="N283" t="s">
        <v>1264</v>
      </c>
      <c r="O283" t="s">
        <v>1497</v>
      </c>
    </row>
    <row r="284" spans="1:15">
      <c r="A284" t="s">
        <v>305</v>
      </c>
      <c r="B284" t="s">
        <v>782</v>
      </c>
      <c r="C284" t="s">
        <v>979</v>
      </c>
      <c r="D284" t="s">
        <v>981</v>
      </c>
      <c r="E284" t="s">
        <v>983</v>
      </c>
      <c r="G284">
        <v>10000</v>
      </c>
      <c r="H284" t="s">
        <v>995</v>
      </c>
      <c r="I284" s="3">
        <f>G284 * J284</f>
        <v>0</v>
      </c>
      <c r="J284" s="3">
        <f>IF(H284="HUF", 1, IFERROR(VLOOKUP(B284&amp;H284, '22_ExchangeRates'!A:E, 5, FALSE), 1))</f>
        <v>0</v>
      </c>
      <c r="K284" t="s">
        <v>1000</v>
      </c>
      <c r="N284" t="s">
        <v>1043</v>
      </c>
      <c r="O284" t="s">
        <v>1497</v>
      </c>
    </row>
    <row r="285" spans="1:15">
      <c r="A285" t="s">
        <v>306</v>
      </c>
      <c r="B285" t="s">
        <v>783</v>
      </c>
      <c r="C285" t="s">
        <v>978</v>
      </c>
      <c r="D285" t="s">
        <v>981</v>
      </c>
      <c r="E285" t="s">
        <v>982</v>
      </c>
      <c r="G285">
        <v>235</v>
      </c>
      <c r="H285" t="s">
        <v>995</v>
      </c>
      <c r="I285" s="3">
        <f>G285 * J285</f>
        <v>0</v>
      </c>
      <c r="J285" s="3">
        <f>IF(H285="HUF", 1, IFERROR(VLOOKUP(B285&amp;H285, '22_ExchangeRates'!A:E, 5, FALSE), 1))</f>
        <v>0</v>
      </c>
      <c r="K285" t="s">
        <v>1006</v>
      </c>
      <c r="N285" t="s">
        <v>1037</v>
      </c>
      <c r="O285" t="s">
        <v>1497</v>
      </c>
    </row>
    <row r="286" spans="1:15">
      <c r="A286" t="s">
        <v>307</v>
      </c>
      <c r="B286" t="s">
        <v>784</v>
      </c>
      <c r="C286" t="s">
        <v>979</v>
      </c>
      <c r="D286" t="s">
        <v>981</v>
      </c>
      <c r="E286" t="s">
        <v>986</v>
      </c>
      <c r="G286">
        <v>200</v>
      </c>
      <c r="H286" t="s">
        <v>996</v>
      </c>
      <c r="I286" s="3">
        <f>G286 * J286</f>
        <v>0</v>
      </c>
      <c r="J286" s="3">
        <f>IF(H286="HUF", 1, IFERROR(VLOOKUP(B286&amp;H286, '22_ExchangeRates'!A:E, 5, FALSE), 1))</f>
        <v>0</v>
      </c>
      <c r="K286" t="s">
        <v>1000</v>
      </c>
      <c r="N286" t="s">
        <v>1265</v>
      </c>
      <c r="O286" t="s">
        <v>1497</v>
      </c>
    </row>
    <row r="287" spans="1:15">
      <c r="A287" t="s">
        <v>308</v>
      </c>
      <c r="B287" t="s">
        <v>785</v>
      </c>
      <c r="C287" t="s">
        <v>978</v>
      </c>
      <c r="D287" t="s">
        <v>981</v>
      </c>
      <c r="E287" t="s">
        <v>983</v>
      </c>
      <c r="G287">
        <v>1750</v>
      </c>
      <c r="H287" t="s">
        <v>995</v>
      </c>
      <c r="I287" s="3">
        <f>G287 * J287</f>
        <v>0</v>
      </c>
      <c r="J287" s="3">
        <f>IF(H287="HUF", 1, IFERROR(VLOOKUP(B287&amp;H287, '22_ExchangeRates'!A:E, 5, FALSE), 1))</f>
        <v>0</v>
      </c>
      <c r="K287" t="s">
        <v>1002</v>
      </c>
      <c r="N287" t="s">
        <v>1266</v>
      </c>
      <c r="O287" t="s">
        <v>1497</v>
      </c>
    </row>
    <row r="288" spans="1:15">
      <c r="A288" t="s">
        <v>309</v>
      </c>
      <c r="B288" t="s">
        <v>785</v>
      </c>
      <c r="C288" t="s">
        <v>978</v>
      </c>
      <c r="D288" t="s">
        <v>981</v>
      </c>
      <c r="E288" t="s">
        <v>982</v>
      </c>
      <c r="G288">
        <v>680</v>
      </c>
      <c r="H288" t="s">
        <v>995</v>
      </c>
      <c r="I288" s="3">
        <f>G288 * J288</f>
        <v>0</v>
      </c>
      <c r="J288" s="3">
        <f>IF(H288="HUF", 1, IFERROR(VLOOKUP(B288&amp;H288, '22_ExchangeRates'!A:E, 5, FALSE), 1))</f>
        <v>0</v>
      </c>
      <c r="K288" t="s">
        <v>1002</v>
      </c>
      <c r="N288" t="s">
        <v>1267</v>
      </c>
      <c r="O288" t="s">
        <v>1497</v>
      </c>
    </row>
    <row r="289" spans="1:15">
      <c r="A289" t="s">
        <v>310</v>
      </c>
      <c r="B289" t="s">
        <v>786</v>
      </c>
      <c r="C289" t="s">
        <v>978</v>
      </c>
      <c r="D289" t="s">
        <v>981</v>
      </c>
      <c r="E289" t="s">
        <v>982</v>
      </c>
      <c r="G289">
        <v>2355</v>
      </c>
      <c r="H289" t="s">
        <v>995</v>
      </c>
      <c r="I289" s="3">
        <f>G289 * J289</f>
        <v>0</v>
      </c>
      <c r="J289" s="3">
        <f>IF(H289="HUF", 1, IFERROR(VLOOKUP(B289&amp;H289, '22_ExchangeRates'!A:E, 5, FALSE), 1))</f>
        <v>0</v>
      </c>
      <c r="K289" t="s">
        <v>1010</v>
      </c>
      <c r="N289" t="s">
        <v>1268</v>
      </c>
      <c r="O289" t="s">
        <v>1497</v>
      </c>
    </row>
    <row r="290" spans="1:15">
      <c r="A290" t="s">
        <v>311</v>
      </c>
      <c r="B290" t="s">
        <v>787</v>
      </c>
      <c r="C290" t="s">
        <v>979</v>
      </c>
      <c r="D290" t="s">
        <v>981</v>
      </c>
      <c r="E290" t="s">
        <v>983</v>
      </c>
      <c r="G290">
        <v>30000</v>
      </c>
      <c r="H290" t="s">
        <v>995</v>
      </c>
      <c r="I290" s="3">
        <f>G290 * J290</f>
        <v>0</v>
      </c>
      <c r="J290" s="3">
        <f>IF(H290="HUF", 1, IFERROR(VLOOKUP(B290&amp;H290, '22_ExchangeRates'!A:E, 5, FALSE), 1))</f>
        <v>0</v>
      </c>
      <c r="K290" t="s">
        <v>1000</v>
      </c>
      <c r="N290" t="s">
        <v>1269</v>
      </c>
      <c r="O290" t="s">
        <v>1497</v>
      </c>
    </row>
    <row r="291" spans="1:15">
      <c r="A291" t="s">
        <v>312</v>
      </c>
      <c r="B291" t="s">
        <v>787</v>
      </c>
      <c r="C291" t="s">
        <v>978</v>
      </c>
      <c r="D291" t="s">
        <v>981</v>
      </c>
      <c r="E291" t="s">
        <v>982</v>
      </c>
      <c r="G291">
        <v>945</v>
      </c>
      <c r="H291" t="s">
        <v>995</v>
      </c>
      <c r="I291" s="3">
        <f>G291 * J291</f>
        <v>0</v>
      </c>
      <c r="J291" s="3">
        <f>IF(H291="HUF", 1, IFERROR(VLOOKUP(B291&amp;H291, '22_ExchangeRates'!A:E, 5, FALSE), 1))</f>
        <v>0</v>
      </c>
      <c r="K291" t="s">
        <v>1001</v>
      </c>
      <c r="N291" t="s">
        <v>1270</v>
      </c>
      <c r="O291" t="s">
        <v>1497</v>
      </c>
    </row>
    <row r="292" spans="1:15">
      <c r="A292" t="s">
        <v>313</v>
      </c>
      <c r="B292" t="s">
        <v>788</v>
      </c>
      <c r="C292" t="s">
        <v>978</v>
      </c>
      <c r="D292" t="s">
        <v>981</v>
      </c>
      <c r="E292" t="s">
        <v>982</v>
      </c>
      <c r="G292">
        <v>1975</v>
      </c>
      <c r="H292" t="s">
        <v>995</v>
      </c>
      <c r="I292" s="3">
        <f>G292 * J292</f>
        <v>0</v>
      </c>
      <c r="J292" s="3">
        <f>IF(H292="HUF", 1, IFERROR(VLOOKUP(B292&amp;H292, '22_ExchangeRates'!A:E, 5, FALSE), 1))</f>
        <v>0</v>
      </c>
      <c r="K292" t="s">
        <v>1010</v>
      </c>
      <c r="N292" t="s">
        <v>1271</v>
      </c>
      <c r="O292" t="s">
        <v>1497</v>
      </c>
    </row>
    <row r="293" spans="1:15">
      <c r="A293" t="s">
        <v>314</v>
      </c>
      <c r="B293" t="s">
        <v>789</v>
      </c>
      <c r="C293" t="s">
        <v>978</v>
      </c>
      <c r="D293" t="s">
        <v>981</v>
      </c>
      <c r="E293" t="s">
        <v>986</v>
      </c>
      <c r="G293">
        <v>11</v>
      </c>
      <c r="H293" t="s">
        <v>996</v>
      </c>
      <c r="I293" s="3">
        <f>G293 * J293</f>
        <v>0</v>
      </c>
      <c r="J293" s="3">
        <f>IF(H293="HUF", 1, IFERROR(VLOOKUP(B293&amp;H293, '22_ExchangeRates'!A:E, 5, FALSE), 1))</f>
        <v>0</v>
      </c>
      <c r="K293" t="s">
        <v>1010</v>
      </c>
      <c r="N293" t="s">
        <v>1272</v>
      </c>
      <c r="O293" t="s">
        <v>1497</v>
      </c>
    </row>
    <row r="294" spans="1:15">
      <c r="A294" t="s">
        <v>315</v>
      </c>
      <c r="B294" t="s">
        <v>789</v>
      </c>
      <c r="C294" t="s">
        <v>980</v>
      </c>
      <c r="D294" t="s">
        <v>981</v>
      </c>
      <c r="E294" t="s">
        <v>982</v>
      </c>
      <c r="F294" t="s">
        <v>983</v>
      </c>
      <c r="G294">
        <v>3000</v>
      </c>
      <c r="H294" t="s">
        <v>995</v>
      </c>
      <c r="I294" s="3">
        <f>G294 * J294</f>
        <v>0</v>
      </c>
      <c r="J294" s="3">
        <f>IF(H294="HUF", 1, IFERROR(VLOOKUP(B294&amp;H294, '22_ExchangeRates'!A:E, 5, FALSE), 1))</f>
        <v>0</v>
      </c>
      <c r="N294" t="s">
        <v>1273</v>
      </c>
      <c r="O294" t="s">
        <v>1497</v>
      </c>
    </row>
    <row r="295" spans="1:15">
      <c r="A295" t="s">
        <v>316</v>
      </c>
      <c r="B295" t="s">
        <v>789</v>
      </c>
      <c r="C295" t="s">
        <v>978</v>
      </c>
      <c r="D295" t="s">
        <v>981</v>
      </c>
      <c r="E295" t="s">
        <v>986</v>
      </c>
      <c r="G295">
        <v>21.5</v>
      </c>
      <c r="H295" t="s">
        <v>996</v>
      </c>
      <c r="I295" s="3">
        <f>G295 * J295</f>
        <v>0</v>
      </c>
      <c r="J295" s="3">
        <f>IF(H295="HUF", 1, IFERROR(VLOOKUP(B295&amp;H295, '22_ExchangeRates'!A:E, 5, FALSE), 1))</f>
        <v>0</v>
      </c>
      <c r="K295" t="s">
        <v>1010</v>
      </c>
      <c r="N295" t="s">
        <v>1274</v>
      </c>
      <c r="O295" t="s">
        <v>1497</v>
      </c>
    </row>
    <row r="296" spans="1:15">
      <c r="A296" t="s">
        <v>317</v>
      </c>
      <c r="B296" t="s">
        <v>790</v>
      </c>
      <c r="C296" t="s">
        <v>978</v>
      </c>
      <c r="D296" t="s">
        <v>981</v>
      </c>
      <c r="E296" t="s">
        <v>986</v>
      </c>
      <c r="G296">
        <v>3</v>
      </c>
      <c r="H296" t="s">
        <v>996</v>
      </c>
      <c r="I296" s="3">
        <f>G296 * J296</f>
        <v>0</v>
      </c>
      <c r="J296" s="3">
        <f>IF(H296="HUF", 1, IFERROR(VLOOKUP(B296&amp;H296, '22_ExchangeRates'!A:E, 5, FALSE), 1))</f>
        <v>0</v>
      </c>
      <c r="K296" t="s">
        <v>1000</v>
      </c>
      <c r="N296" t="s">
        <v>1275</v>
      </c>
      <c r="O296" t="s">
        <v>1497</v>
      </c>
    </row>
    <row r="297" spans="1:15">
      <c r="A297" t="s">
        <v>318</v>
      </c>
      <c r="B297" t="s">
        <v>790</v>
      </c>
      <c r="C297" t="s">
        <v>978</v>
      </c>
      <c r="D297" t="s">
        <v>981</v>
      </c>
      <c r="E297" t="s">
        <v>982</v>
      </c>
      <c r="G297">
        <v>3736.6</v>
      </c>
      <c r="H297" t="s">
        <v>995</v>
      </c>
      <c r="I297" s="3">
        <f>G297 * J297</f>
        <v>0</v>
      </c>
      <c r="J297" s="3">
        <f>IF(H297="HUF", 1, IFERROR(VLOOKUP(B297&amp;H297, '22_ExchangeRates'!A:E, 5, FALSE), 1))</f>
        <v>0</v>
      </c>
      <c r="K297" t="s">
        <v>1010</v>
      </c>
      <c r="N297" t="s">
        <v>1276</v>
      </c>
      <c r="O297" t="s">
        <v>1497</v>
      </c>
    </row>
    <row r="298" spans="1:15">
      <c r="A298" t="s">
        <v>319</v>
      </c>
      <c r="B298" t="s">
        <v>791</v>
      </c>
      <c r="C298" t="s">
        <v>979</v>
      </c>
      <c r="D298" t="s">
        <v>981</v>
      </c>
      <c r="E298" t="s">
        <v>982</v>
      </c>
      <c r="G298">
        <v>12500</v>
      </c>
      <c r="H298" t="s">
        <v>995</v>
      </c>
      <c r="I298" s="3">
        <f>G298 * J298</f>
        <v>0</v>
      </c>
      <c r="J298" s="3">
        <f>IF(H298="HUF", 1, IFERROR(VLOOKUP(B298&amp;H298, '22_ExchangeRates'!A:E, 5, FALSE), 1))</f>
        <v>0</v>
      </c>
      <c r="K298" t="s">
        <v>1004</v>
      </c>
      <c r="N298" t="s">
        <v>1277</v>
      </c>
      <c r="O298" t="s">
        <v>1497</v>
      </c>
    </row>
    <row r="299" spans="1:15">
      <c r="A299" t="s">
        <v>320</v>
      </c>
      <c r="B299" t="s">
        <v>791</v>
      </c>
      <c r="C299" t="s">
        <v>978</v>
      </c>
      <c r="D299" t="s">
        <v>981</v>
      </c>
      <c r="E299" t="s">
        <v>982</v>
      </c>
      <c r="G299">
        <v>2695.25</v>
      </c>
      <c r="H299" t="s">
        <v>995</v>
      </c>
      <c r="I299" s="3">
        <f>G299 * J299</f>
        <v>0</v>
      </c>
      <c r="J299" s="3">
        <f>IF(H299="HUF", 1, IFERROR(VLOOKUP(B299&amp;H299, '22_ExchangeRates'!A:E, 5, FALSE), 1))</f>
        <v>0</v>
      </c>
      <c r="K299" t="s">
        <v>1010</v>
      </c>
      <c r="N299" t="s">
        <v>1278</v>
      </c>
      <c r="O299" t="s">
        <v>1497</v>
      </c>
    </row>
    <row r="300" spans="1:15">
      <c r="A300" t="s">
        <v>321</v>
      </c>
      <c r="B300" t="s">
        <v>791</v>
      </c>
      <c r="C300" t="s">
        <v>978</v>
      </c>
      <c r="D300" t="s">
        <v>981</v>
      </c>
      <c r="E300" t="s">
        <v>982</v>
      </c>
      <c r="G300">
        <v>6615.62</v>
      </c>
      <c r="H300" t="s">
        <v>995</v>
      </c>
      <c r="I300" s="3">
        <f>G300 * J300</f>
        <v>0</v>
      </c>
      <c r="J300" s="3">
        <f>IF(H300="HUF", 1, IFERROR(VLOOKUP(B300&amp;H300, '22_ExchangeRates'!A:E, 5, FALSE), 1))</f>
        <v>0</v>
      </c>
      <c r="K300" t="s">
        <v>1010</v>
      </c>
      <c r="N300" t="s">
        <v>1279</v>
      </c>
      <c r="O300" t="s">
        <v>1497</v>
      </c>
    </row>
    <row r="301" spans="1:15">
      <c r="A301" t="s">
        <v>322</v>
      </c>
      <c r="B301" t="s">
        <v>791</v>
      </c>
      <c r="C301" t="s">
        <v>978</v>
      </c>
      <c r="D301" t="s">
        <v>981</v>
      </c>
      <c r="E301" t="s">
        <v>982</v>
      </c>
      <c r="G301">
        <v>980.09</v>
      </c>
      <c r="H301" t="s">
        <v>995</v>
      </c>
      <c r="I301" s="3">
        <f>G301 * J301</f>
        <v>0</v>
      </c>
      <c r="J301" s="3">
        <f>IF(H301="HUF", 1, IFERROR(VLOOKUP(B301&amp;H301, '22_ExchangeRates'!A:E, 5, FALSE), 1))</f>
        <v>0</v>
      </c>
      <c r="K301" t="s">
        <v>1010</v>
      </c>
      <c r="N301" t="s">
        <v>1280</v>
      </c>
      <c r="O301" t="s">
        <v>1497</v>
      </c>
    </row>
    <row r="302" spans="1:15">
      <c r="A302" t="s">
        <v>323</v>
      </c>
      <c r="B302" t="s">
        <v>791</v>
      </c>
      <c r="C302" t="s">
        <v>978</v>
      </c>
      <c r="D302" t="s">
        <v>981</v>
      </c>
      <c r="E302" t="s">
        <v>982</v>
      </c>
      <c r="G302">
        <v>2450.23</v>
      </c>
      <c r="H302" t="s">
        <v>995</v>
      </c>
      <c r="I302" s="3">
        <f>G302 * J302</f>
        <v>0</v>
      </c>
      <c r="J302" s="3">
        <f>IF(H302="HUF", 1, IFERROR(VLOOKUP(B302&amp;H302, '22_ExchangeRates'!A:E, 5, FALSE), 1))</f>
        <v>0</v>
      </c>
      <c r="K302" t="s">
        <v>1010</v>
      </c>
      <c r="N302" t="s">
        <v>1281</v>
      </c>
      <c r="O302" t="s">
        <v>1497</v>
      </c>
    </row>
    <row r="303" spans="1:15">
      <c r="A303" t="s">
        <v>324</v>
      </c>
      <c r="B303" t="s">
        <v>792</v>
      </c>
      <c r="C303" t="s">
        <v>978</v>
      </c>
      <c r="D303" t="s">
        <v>981</v>
      </c>
      <c r="E303" t="s">
        <v>982</v>
      </c>
      <c r="G303">
        <v>3062.79</v>
      </c>
      <c r="H303" t="s">
        <v>995</v>
      </c>
      <c r="I303" s="3">
        <f>G303 * J303</f>
        <v>0</v>
      </c>
      <c r="J303" s="3">
        <f>IF(H303="HUF", 1, IFERROR(VLOOKUP(B303&amp;H303, '22_ExchangeRates'!A:E, 5, FALSE), 1))</f>
        <v>0</v>
      </c>
      <c r="K303" t="s">
        <v>1010</v>
      </c>
      <c r="N303" t="s">
        <v>1282</v>
      </c>
      <c r="O303" t="s">
        <v>1497</v>
      </c>
    </row>
    <row r="304" spans="1:15">
      <c r="A304" t="s">
        <v>325</v>
      </c>
      <c r="B304" t="s">
        <v>792</v>
      </c>
      <c r="C304" t="s">
        <v>978</v>
      </c>
      <c r="D304" t="s">
        <v>981</v>
      </c>
      <c r="E304" t="s">
        <v>982</v>
      </c>
      <c r="G304">
        <v>449.21</v>
      </c>
      <c r="H304" t="s">
        <v>995</v>
      </c>
      <c r="I304" s="3">
        <f>G304 * J304</f>
        <v>0</v>
      </c>
      <c r="J304" s="3">
        <f>IF(H304="HUF", 1, IFERROR(VLOOKUP(B304&amp;H304, '22_ExchangeRates'!A:E, 5, FALSE), 1))</f>
        <v>0</v>
      </c>
      <c r="K304" t="s">
        <v>1010</v>
      </c>
      <c r="N304" t="s">
        <v>1283</v>
      </c>
      <c r="O304" t="s">
        <v>1497</v>
      </c>
    </row>
    <row r="305" spans="1:15">
      <c r="A305" t="s">
        <v>326</v>
      </c>
      <c r="B305" t="s">
        <v>792</v>
      </c>
      <c r="C305" t="s">
        <v>978</v>
      </c>
      <c r="D305" t="s">
        <v>981</v>
      </c>
      <c r="E305" t="s">
        <v>982</v>
      </c>
      <c r="G305">
        <v>4492.09</v>
      </c>
      <c r="H305" t="s">
        <v>995</v>
      </c>
      <c r="I305" s="3">
        <f>G305 * J305</f>
        <v>0</v>
      </c>
      <c r="J305" s="3">
        <f>IF(H305="HUF", 1, IFERROR(VLOOKUP(B305&amp;H305, '22_ExchangeRates'!A:E, 5, FALSE), 1))</f>
        <v>0</v>
      </c>
      <c r="K305" t="s">
        <v>1010</v>
      </c>
      <c r="N305" t="s">
        <v>1272</v>
      </c>
      <c r="O305" t="s">
        <v>1497</v>
      </c>
    </row>
    <row r="306" spans="1:15">
      <c r="A306" t="s">
        <v>327</v>
      </c>
      <c r="B306" t="s">
        <v>793</v>
      </c>
      <c r="C306" t="s">
        <v>978</v>
      </c>
      <c r="D306" t="s">
        <v>981</v>
      </c>
      <c r="E306" t="s">
        <v>982</v>
      </c>
      <c r="G306">
        <v>4399</v>
      </c>
      <c r="H306" t="s">
        <v>995</v>
      </c>
      <c r="I306" s="3">
        <f>G306 * J306</f>
        <v>0</v>
      </c>
      <c r="J306" s="3">
        <f>IF(H306="HUF", 1, IFERROR(VLOOKUP(B306&amp;H306, '22_ExchangeRates'!A:E, 5, FALSE), 1))</f>
        <v>0</v>
      </c>
      <c r="K306" t="s">
        <v>1003</v>
      </c>
      <c r="N306" t="s">
        <v>1284</v>
      </c>
      <c r="O306" t="s">
        <v>1497</v>
      </c>
    </row>
    <row r="307" spans="1:15">
      <c r="A307" t="s">
        <v>328</v>
      </c>
      <c r="B307" t="s">
        <v>794</v>
      </c>
      <c r="C307" t="s">
        <v>978</v>
      </c>
      <c r="D307" t="s">
        <v>981</v>
      </c>
      <c r="E307" t="s">
        <v>983</v>
      </c>
      <c r="G307">
        <v>1900</v>
      </c>
      <c r="H307" t="s">
        <v>995</v>
      </c>
      <c r="I307" s="3">
        <f>G307 * J307</f>
        <v>0</v>
      </c>
      <c r="J307" s="3">
        <f>IF(H307="HUF", 1, IFERROR(VLOOKUP(B307&amp;H307, '22_ExchangeRates'!A:E, 5, FALSE), 1))</f>
        <v>0</v>
      </c>
      <c r="K307" t="s">
        <v>1003</v>
      </c>
      <c r="N307" t="s">
        <v>1285</v>
      </c>
      <c r="O307" t="s">
        <v>1497</v>
      </c>
    </row>
    <row r="308" spans="1:15">
      <c r="A308" t="s">
        <v>329</v>
      </c>
      <c r="B308" t="s">
        <v>794</v>
      </c>
      <c r="C308" t="s">
        <v>980</v>
      </c>
      <c r="D308" t="s">
        <v>981</v>
      </c>
      <c r="E308" t="s">
        <v>982</v>
      </c>
      <c r="F308" t="s">
        <v>994</v>
      </c>
      <c r="G308">
        <v>70000</v>
      </c>
      <c r="H308" t="s">
        <v>995</v>
      </c>
      <c r="I308" s="3">
        <f>G308 * J308</f>
        <v>0</v>
      </c>
      <c r="J308" s="3">
        <f>IF(H308="HUF", 1, IFERROR(VLOOKUP(B308&amp;H308, '22_ExchangeRates'!A:E, 5, FALSE), 1))</f>
        <v>0</v>
      </c>
      <c r="O308" t="s">
        <v>1497</v>
      </c>
    </row>
    <row r="309" spans="1:15">
      <c r="A309" t="s">
        <v>330</v>
      </c>
      <c r="B309" t="s">
        <v>795</v>
      </c>
      <c r="C309" t="s">
        <v>978</v>
      </c>
      <c r="D309" t="s">
        <v>981</v>
      </c>
      <c r="E309" t="s">
        <v>983</v>
      </c>
      <c r="G309">
        <v>800</v>
      </c>
      <c r="H309" t="s">
        <v>995</v>
      </c>
      <c r="I309" s="3">
        <f>G309 * J309</f>
        <v>0</v>
      </c>
      <c r="J309" s="3">
        <f>IF(H309="HUF", 1, IFERROR(VLOOKUP(B309&amp;H309, '22_ExchangeRates'!A:E, 5, FALSE), 1))</f>
        <v>0</v>
      </c>
      <c r="K309" t="s">
        <v>1003</v>
      </c>
      <c r="N309" t="s">
        <v>1286</v>
      </c>
      <c r="O309" t="s">
        <v>1497</v>
      </c>
    </row>
    <row r="310" spans="1:15">
      <c r="A310" t="s">
        <v>331</v>
      </c>
      <c r="B310" t="s">
        <v>795</v>
      </c>
      <c r="C310" t="s">
        <v>978</v>
      </c>
      <c r="D310" t="s">
        <v>981</v>
      </c>
      <c r="E310" t="s">
        <v>983</v>
      </c>
      <c r="G310">
        <v>560</v>
      </c>
      <c r="H310" t="s">
        <v>995</v>
      </c>
      <c r="I310" s="3">
        <f>G310 * J310</f>
        <v>0</v>
      </c>
      <c r="J310" s="3">
        <f>IF(H310="HUF", 1, IFERROR(VLOOKUP(B310&amp;H310, '22_ExchangeRates'!A:E, 5, FALSE), 1))</f>
        <v>0</v>
      </c>
      <c r="K310" t="s">
        <v>1003</v>
      </c>
      <c r="N310" t="s">
        <v>1287</v>
      </c>
      <c r="O310" t="s">
        <v>1497</v>
      </c>
    </row>
    <row r="311" spans="1:15">
      <c r="A311" t="s">
        <v>332</v>
      </c>
      <c r="B311" t="s">
        <v>795</v>
      </c>
      <c r="C311" t="s">
        <v>978</v>
      </c>
      <c r="D311" t="s">
        <v>981</v>
      </c>
      <c r="E311" t="s">
        <v>983</v>
      </c>
      <c r="G311">
        <v>850</v>
      </c>
      <c r="H311" t="s">
        <v>995</v>
      </c>
      <c r="I311" s="3">
        <f>G311 * J311</f>
        <v>0</v>
      </c>
      <c r="J311" s="3">
        <f>IF(H311="HUF", 1, IFERROR(VLOOKUP(B311&amp;H311, '22_ExchangeRates'!A:E, 5, FALSE), 1))</f>
        <v>0</v>
      </c>
      <c r="K311" t="s">
        <v>1003</v>
      </c>
      <c r="N311" t="s">
        <v>1288</v>
      </c>
      <c r="O311" t="s">
        <v>1497</v>
      </c>
    </row>
    <row r="312" spans="1:15">
      <c r="A312" t="s">
        <v>333</v>
      </c>
      <c r="B312" t="s">
        <v>795</v>
      </c>
      <c r="C312" t="s">
        <v>978</v>
      </c>
      <c r="D312" t="s">
        <v>981</v>
      </c>
      <c r="E312" t="s">
        <v>983</v>
      </c>
      <c r="G312">
        <v>1040</v>
      </c>
      <c r="H312" t="s">
        <v>995</v>
      </c>
      <c r="I312" s="3">
        <f>G312 * J312</f>
        <v>0</v>
      </c>
      <c r="J312" s="3">
        <f>IF(H312="HUF", 1, IFERROR(VLOOKUP(B312&amp;H312, '22_ExchangeRates'!A:E, 5, FALSE), 1))</f>
        <v>0</v>
      </c>
      <c r="K312" t="s">
        <v>1003</v>
      </c>
      <c r="N312" t="s">
        <v>1289</v>
      </c>
      <c r="O312" t="s">
        <v>1497</v>
      </c>
    </row>
    <row r="313" spans="1:15">
      <c r="A313" t="s">
        <v>334</v>
      </c>
      <c r="B313" t="s">
        <v>795</v>
      </c>
      <c r="C313" t="s">
        <v>978</v>
      </c>
      <c r="D313" t="s">
        <v>981</v>
      </c>
      <c r="E313" t="s">
        <v>983</v>
      </c>
      <c r="G313">
        <v>1010</v>
      </c>
      <c r="H313" t="s">
        <v>995</v>
      </c>
      <c r="I313" s="3">
        <f>G313 * J313</f>
        <v>0</v>
      </c>
      <c r="J313" s="3">
        <f>IF(H313="HUF", 1, IFERROR(VLOOKUP(B313&amp;H313, '22_ExchangeRates'!A:E, 5, FALSE), 1))</f>
        <v>0</v>
      </c>
      <c r="K313" t="s">
        <v>1003</v>
      </c>
      <c r="N313" t="s">
        <v>1290</v>
      </c>
      <c r="O313" t="s">
        <v>1497</v>
      </c>
    </row>
    <row r="314" spans="1:15">
      <c r="A314" t="s">
        <v>335</v>
      </c>
      <c r="B314" t="s">
        <v>796</v>
      </c>
      <c r="C314" t="s">
        <v>978</v>
      </c>
      <c r="D314" t="s">
        <v>981</v>
      </c>
      <c r="E314" t="s">
        <v>983</v>
      </c>
      <c r="G314">
        <v>800</v>
      </c>
      <c r="H314" t="s">
        <v>995</v>
      </c>
      <c r="I314" s="3">
        <f>G314 * J314</f>
        <v>0</v>
      </c>
      <c r="J314" s="3">
        <f>IF(H314="HUF", 1, IFERROR(VLOOKUP(B314&amp;H314, '22_ExchangeRates'!A:E, 5, FALSE), 1))</f>
        <v>0</v>
      </c>
      <c r="K314" t="s">
        <v>1003</v>
      </c>
      <c r="N314" t="s">
        <v>1291</v>
      </c>
      <c r="O314" t="s">
        <v>1497</v>
      </c>
    </row>
    <row r="315" spans="1:15">
      <c r="A315" t="s">
        <v>336</v>
      </c>
      <c r="B315" t="s">
        <v>796</v>
      </c>
      <c r="C315" t="s">
        <v>978</v>
      </c>
      <c r="D315" t="s">
        <v>981</v>
      </c>
      <c r="E315" t="s">
        <v>983</v>
      </c>
      <c r="G315">
        <v>2500</v>
      </c>
      <c r="H315" t="s">
        <v>995</v>
      </c>
      <c r="I315" s="3">
        <f>G315 * J315</f>
        <v>0</v>
      </c>
      <c r="J315" s="3">
        <f>IF(H315="HUF", 1, IFERROR(VLOOKUP(B315&amp;H315, '22_ExchangeRates'!A:E, 5, FALSE), 1))</f>
        <v>0</v>
      </c>
      <c r="K315" t="s">
        <v>1000</v>
      </c>
      <c r="N315" t="s">
        <v>1292</v>
      </c>
      <c r="O315" t="s">
        <v>1497</v>
      </c>
    </row>
    <row r="316" spans="1:15">
      <c r="A316" t="s">
        <v>337</v>
      </c>
      <c r="B316" t="s">
        <v>797</v>
      </c>
      <c r="C316" t="s">
        <v>979</v>
      </c>
      <c r="D316" t="s">
        <v>981</v>
      </c>
      <c r="E316" t="s">
        <v>983</v>
      </c>
      <c r="G316">
        <v>5000</v>
      </c>
      <c r="H316" t="s">
        <v>995</v>
      </c>
      <c r="I316" s="3">
        <f>G316 * J316</f>
        <v>0</v>
      </c>
      <c r="J316" s="3">
        <f>IF(H316="HUF", 1, IFERROR(VLOOKUP(B316&amp;H316, '22_ExchangeRates'!A:E, 5, FALSE), 1))</f>
        <v>0</v>
      </c>
      <c r="K316" t="s">
        <v>1000</v>
      </c>
      <c r="N316" t="s">
        <v>1293</v>
      </c>
      <c r="O316" t="s">
        <v>1497</v>
      </c>
    </row>
    <row r="317" spans="1:15">
      <c r="A317" t="s">
        <v>338</v>
      </c>
      <c r="B317" t="s">
        <v>798</v>
      </c>
      <c r="C317" t="s">
        <v>978</v>
      </c>
      <c r="D317" t="s">
        <v>981</v>
      </c>
      <c r="E317" t="s">
        <v>983</v>
      </c>
      <c r="G317">
        <v>2500</v>
      </c>
      <c r="H317" t="s">
        <v>995</v>
      </c>
      <c r="I317" s="3">
        <f>G317 * J317</f>
        <v>0</v>
      </c>
      <c r="J317" s="3">
        <f>IF(H317="HUF", 1, IFERROR(VLOOKUP(B317&amp;H317, '22_ExchangeRates'!A:E, 5, FALSE), 1))</f>
        <v>0</v>
      </c>
      <c r="K317" t="s">
        <v>1005</v>
      </c>
      <c r="N317" t="s">
        <v>1294</v>
      </c>
      <c r="O317" t="s">
        <v>1497</v>
      </c>
    </row>
    <row r="318" spans="1:15">
      <c r="A318" t="s">
        <v>339</v>
      </c>
      <c r="B318" t="s">
        <v>798</v>
      </c>
      <c r="C318" t="s">
        <v>978</v>
      </c>
      <c r="D318" t="s">
        <v>981</v>
      </c>
      <c r="E318" t="s">
        <v>983</v>
      </c>
      <c r="G318">
        <v>3000</v>
      </c>
      <c r="H318" t="s">
        <v>995</v>
      </c>
      <c r="I318" s="3">
        <f>G318 * J318</f>
        <v>0</v>
      </c>
      <c r="J318" s="3">
        <f>IF(H318="HUF", 1, IFERROR(VLOOKUP(B318&amp;H318, '22_ExchangeRates'!A:E, 5, FALSE), 1))</f>
        <v>0</v>
      </c>
      <c r="K318" t="s">
        <v>1005</v>
      </c>
      <c r="N318" t="s">
        <v>1295</v>
      </c>
      <c r="O318" t="s">
        <v>1497</v>
      </c>
    </row>
    <row r="319" spans="1:15">
      <c r="A319" t="s">
        <v>340</v>
      </c>
      <c r="B319" t="s">
        <v>799</v>
      </c>
      <c r="C319" t="s">
        <v>978</v>
      </c>
      <c r="D319" t="s">
        <v>981</v>
      </c>
      <c r="E319" t="s">
        <v>982</v>
      </c>
      <c r="G319">
        <v>220</v>
      </c>
      <c r="H319" t="s">
        <v>995</v>
      </c>
      <c r="I319" s="3">
        <f>G319 * J319</f>
        <v>0</v>
      </c>
      <c r="J319" s="3">
        <f>IF(H319="HUF", 1, IFERROR(VLOOKUP(B319&amp;H319, '22_ExchangeRates'!A:E, 5, FALSE), 1))</f>
        <v>0</v>
      </c>
      <c r="K319" t="s">
        <v>1001</v>
      </c>
      <c r="N319" t="s">
        <v>1093</v>
      </c>
      <c r="O319" t="s">
        <v>1497</v>
      </c>
    </row>
    <row r="320" spans="1:15">
      <c r="A320" t="s">
        <v>341</v>
      </c>
      <c r="B320" t="s">
        <v>800</v>
      </c>
      <c r="C320" t="s">
        <v>978</v>
      </c>
      <c r="D320" t="s">
        <v>981</v>
      </c>
      <c r="E320" t="s">
        <v>982</v>
      </c>
      <c r="G320">
        <v>6587</v>
      </c>
      <c r="H320" t="s">
        <v>995</v>
      </c>
      <c r="I320" s="3">
        <f>G320 * J320</f>
        <v>0</v>
      </c>
      <c r="J320" s="3">
        <f>IF(H320="HUF", 1, IFERROR(VLOOKUP(B320&amp;H320, '22_ExchangeRates'!A:E, 5, FALSE), 1))</f>
        <v>0</v>
      </c>
      <c r="K320" t="s">
        <v>1003</v>
      </c>
      <c r="N320" t="s">
        <v>1296</v>
      </c>
      <c r="O320" t="s">
        <v>1497</v>
      </c>
    </row>
    <row r="321" spans="1:15">
      <c r="A321" t="s">
        <v>342</v>
      </c>
      <c r="B321" t="s">
        <v>800</v>
      </c>
      <c r="C321" t="s">
        <v>978</v>
      </c>
      <c r="D321" t="s">
        <v>981</v>
      </c>
      <c r="E321" t="s">
        <v>982</v>
      </c>
      <c r="G321">
        <v>321</v>
      </c>
      <c r="H321" t="s">
        <v>995</v>
      </c>
      <c r="I321" s="3">
        <f>G321 * J321</f>
        <v>0</v>
      </c>
      <c r="J321" s="3">
        <f>IF(H321="HUF", 1, IFERROR(VLOOKUP(B321&amp;H321, '22_ExchangeRates'!A:E, 5, FALSE), 1))</f>
        <v>0</v>
      </c>
      <c r="K321" t="s">
        <v>1006</v>
      </c>
      <c r="N321" t="s">
        <v>1297</v>
      </c>
      <c r="O321" t="s">
        <v>1497</v>
      </c>
    </row>
    <row r="322" spans="1:15">
      <c r="A322" t="s">
        <v>343</v>
      </c>
      <c r="B322" t="s">
        <v>801</v>
      </c>
      <c r="C322" t="s">
        <v>980</v>
      </c>
      <c r="D322" t="s">
        <v>981</v>
      </c>
      <c r="E322" t="s">
        <v>983</v>
      </c>
      <c r="F322" t="s">
        <v>982</v>
      </c>
      <c r="G322">
        <v>270000</v>
      </c>
      <c r="H322" t="s">
        <v>995</v>
      </c>
      <c r="I322" s="3">
        <f>G322 * J322</f>
        <v>0</v>
      </c>
      <c r="J322" s="3">
        <f>IF(H322="HUF", 1, IFERROR(VLOOKUP(B322&amp;H322, '22_ExchangeRates'!A:E, 5, FALSE), 1))</f>
        <v>0</v>
      </c>
      <c r="O322" t="s">
        <v>1497</v>
      </c>
    </row>
    <row r="323" spans="1:15">
      <c r="A323" t="s">
        <v>344</v>
      </c>
      <c r="B323" t="s">
        <v>801</v>
      </c>
      <c r="C323" t="s">
        <v>978</v>
      </c>
      <c r="D323" t="s">
        <v>981</v>
      </c>
      <c r="E323" t="s">
        <v>983</v>
      </c>
      <c r="G323">
        <v>1000</v>
      </c>
      <c r="H323" t="s">
        <v>995</v>
      </c>
      <c r="I323" s="3">
        <f>G323 * J323</f>
        <v>0</v>
      </c>
      <c r="J323" s="3">
        <f>IF(H323="HUF", 1, IFERROR(VLOOKUP(B323&amp;H323, '22_ExchangeRates'!A:E, 5, FALSE), 1))</f>
        <v>0</v>
      </c>
      <c r="K323" t="s">
        <v>1003</v>
      </c>
      <c r="N323" t="s">
        <v>1298</v>
      </c>
      <c r="O323" t="s">
        <v>1497</v>
      </c>
    </row>
    <row r="324" spans="1:15">
      <c r="A324" t="s">
        <v>345</v>
      </c>
      <c r="B324" t="s">
        <v>802</v>
      </c>
      <c r="C324" t="s">
        <v>978</v>
      </c>
      <c r="D324" t="s">
        <v>981</v>
      </c>
      <c r="E324" t="s">
        <v>982</v>
      </c>
      <c r="G324">
        <v>220</v>
      </c>
      <c r="H324" t="s">
        <v>995</v>
      </c>
      <c r="I324" s="3">
        <f>G324 * J324</f>
        <v>0</v>
      </c>
      <c r="J324" s="3">
        <f>IF(H324="HUF", 1, IFERROR(VLOOKUP(B324&amp;H324, '22_ExchangeRates'!A:E, 5, FALSE), 1))</f>
        <v>0</v>
      </c>
      <c r="K324" t="s">
        <v>1001</v>
      </c>
      <c r="N324" t="s">
        <v>1093</v>
      </c>
      <c r="O324" t="s">
        <v>1497</v>
      </c>
    </row>
    <row r="325" spans="1:15">
      <c r="A325" t="s">
        <v>346</v>
      </c>
      <c r="B325" t="s">
        <v>803</v>
      </c>
      <c r="C325" t="s">
        <v>978</v>
      </c>
      <c r="D325" t="s">
        <v>981</v>
      </c>
      <c r="E325" t="s">
        <v>982</v>
      </c>
      <c r="G325">
        <v>1890</v>
      </c>
      <c r="H325" t="s">
        <v>995</v>
      </c>
      <c r="I325" s="3">
        <f>G325 * J325</f>
        <v>0</v>
      </c>
      <c r="J325" s="3">
        <f>IF(H325="HUF", 1, IFERROR(VLOOKUP(B325&amp;H325, '22_ExchangeRates'!A:E, 5, FALSE), 1))</f>
        <v>0</v>
      </c>
      <c r="K325" t="s">
        <v>1001</v>
      </c>
      <c r="N325" t="s">
        <v>1202</v>
      </c>
      <c r="O325" t="s">
        <v>1497</v>
      </c>
    </row>
    <row r="326" spans="1:15">
      <c r="A326" t="s">
        <v>347</v>
      </c>
      <c r="B326" t="s">
        <v>804</v>
      </c>
      <c r="C326" t="s">
        <v>978</v>
      </c>
      <c r="D326" t="s">
        <v>981</v>
      </c>
      <c r="E326" t="s">
        <v>983</v>
      </c>
      <c r="G326">
        <v>2000</v>
      </c>
      <c r="H326" t="s">
        <v>995</v>
      </c>
      <c r="I326" s="3">
        <f>G326 * J326</f>
        <v>0</v>
      </c>
      <c r="J326" s="3">
        <f>IF(H326="HUF", 1, IFERROR(VLOOKUP(B326&amp;H326, '22_ExchangeRates'!A:E, 5, FALSE), 1))</f>
        <v>0</v>
      </c>
      <c r="K326" t="s">
        <v>1003</v>
      </c>
      <c r="N326" t="s">
        <v>1299</v>
      </c>
      <c r="O326" t="s">
        <v>1497</v>
      </c>
    </row>
    <row r="327" spans="1:15">
      <c r="A327" t="s">
        <v>348</v>
      </c>
      <c r="B327" t="s">
        <v>804</v>
      </c>
      <c r="C327" t="s">
        <v>978</v>
      </c>
      <c r="D327" t="s">
        <v>981</v>
      </c>
      <c r="E327" t="s">
        <v>983</v>
      </c>
      <c r="G327">
        <v>2000</v>
      </c>
      <c r="H327" t="s">
        <v>995</v>
      </c>
      <c r="I327" s="3">
        <f>G327 * J327</f>
        <v>0</v>
      </c>
      <c r="J327" s="3">
        <f>IF(H327="HUF", 1, IFERROR(VLOOKUP(B327&amp;H327, '22_ExchangeRates'!A:E, 5, FALSE), 1))</f>
        <v>0</v>
      </c>
      <c r="K327" t="s">
        <v>1000</v>
      </c>
      <c r="N327" t="s">
        <v>1300</v>
      </c>
      <c r="O327" t="s">
        <v>1497</v>
      </c>
    </row>
    <row r="328" spans="1:15">
      <c r="A328" t="s">
        <v>349</v>
      </c>
      <c r="B328" t="s">
        <v>804</v>
      </c>
      <c r="C328" t="s">
        <v>978</v>
      </c>
      <c r="D328" t="s">
        <v>981</v>
      </c>
      <c r="E328" t="s">
        <v>983</v>
      </c>
      <c r="G328">
        <v>4000</v>
      </c>
      <c r="H328" t="s">
        <v>995</v>
      </c>
      <c r="I328" s="3">
        <f>G328 * J328</f>
        <v>0</v>
      </c>
      <c r="J328" s="3">
        <f>IF(H328="HUF", 1, IFERROR(VLOOKUP(B328&amp;H328, '22_ExchangeRates'!A:E, 5, FALSE), 1))</f>
        <v>0</v>
      </c>
      <c r="K328" t="s">
        <v>1002</v>
      </c>
      <c r="N328" t="s">
        <v>1301</v>
      </c>
      <c r="O328" t="s">
        <v>1497</v>
      </c>
    </row>
    <row r="329" spans="1:15">
      <c r="A329" t="s">
        <v>350</v>
      </c>
      <c r="B329" t="s">
        <v>804</v>
      </c>
      <c r="C329" t="s">
        <v>978</v>
      </c>
      <c r="D329" t="s">
        <v>981</v>
      </c>
      <c r="E329" t="s">
        <v>983</v>
      </c>
      <c r="G329">
        <v>3000</v>
      </c>
      <c r="H329" t="s">
        <v>995</v>
      </c>
      <c r="I329" s="3">
        <f>G329 * J329</f>
        <v>0</v>
      </c>
      <c r="J329" s="3">
        <f>IF(H329="HUF", 1, IFERROR(VLOOKUP(B329&amp;H329, '22_ExchangeRates'!A:E, 5, FALSE), 1))</f>
        <v>0</v>
      </c>
      <c r="K329" t="s">
        <v>1000</v>
      </c>
      <c r="N329" t="s">
        <v>1302</v>
      </c>
      <c r="O329" t="s">
        <v>1497</v>
      </c>
    </row>
    <row r="330" spans="1:15">
      <c r="A330" t="s">
        <v>351</v>
      </c>
      <c r="B330" t="s">
        <v>805</v>
      </c>
      <c r="C330" t="s">
        <v>979</v>
      </c>
      <c r="D330" t="s">
        <v>981</v>
      </c>
      <c r="E330" t="s">
        <v>982</v>
      </c>
      <c r="G330">
        <v>247789</v>
      </c>
      <c r="H330" t="s">
        <v>995</v>
      </c>
      <c r="I330" s="3">
        <f>G330 * J330</f>
        <v>0</v>
      </c>
      <c r="J330" s="3">
        <f>IF(H330="HUF", 1, IFERROR(VLOOKUP(B330&amp;H330, '22_ExchangeRates'!A:E, 5, FALSE), 1))</f>
        <v>0</v>
      </c>
      <c r="K330" t="s">
        <v>1007</v>
      </c>
      <c r="N330" t="s">
        <v>1303</v>
      </c>
      <c r="O330" t="s">
        <v>1497</v>
      </c>
    </row>
    <row r="331" spans="1:15">
      <c r="A331" t="s">
        <v>352</v>
      </c>
      <c r="B331" t="s">
        <v>806</v>
      </c>
      <c r="C331" t="s">
        <v>978</v>
      </c>
      <c r="D331" t="s">
        <v>981</v>
      </c>
      <c r="E331" t="s">
        <v>983</v>
      </c>
      <c r="G331">
        <v>800</v>
      </c>
      <c r="H331" t="s">
        <v>995</v>
      </c>
      <c r="I331" s="3">
        <f>G331 * J331</f>
        <v>0</v>
      </c>
      <c r="J331" s="3">
        <f>IF(H331="HUF", 1, IFERROR(VLOOKUP(B331&amp;H331, '22_ExchangeRates'!A:E, 5, FALSE), 1))</f>
        <v>0</v>
      </c>
      <c r="K331" t="s">
        <v>1002</v>
      </c>
      <c r="N331" t="s">
        <v>1304</v>
      </c>
      <c r="O331" t="s">
        <v>1497</v>
      </c>
    </row>
    <row r="332" spans="1:15">
      <c r="A332" t="s">
        <v>353</v>
      </c>
      <c r="B332" t="s">
        <v>807</v>
      </c>
      <c r="C332" t="s">
        <v>980</v>
      </c>
      <c r="D332" t="s">
        <v>981</v>
      </c>
      <c r="E332" t="s">
        <v>982</v>
      </c>
      <c r="F332" t="s">
        <v>994</v>
      </c>
      <c r="G332">
        <v>70000</v>
      </c>
      <c r="H332" t="s">
        <v>995</v>
      </c>
      <c r="I332" s="3">
        <f>G332 * J332</f>
        <v>0</v>
      </c>
      <c r="J332" s="3">
        <f>IF(H332="HUF", 1, IFERROR(VLOOKUP(B332&amp;H332, '22_ExchangeRates'!A:E, 5, FALSE), 1))</f>
        <v>0</v>
      </c>
      <c r="O332" t="s">
        <v>1497</v>
      </c>
    </row>
    <row r="333" spans="1:15">
      <c r="A333" t="s">
        <v>354</v>
      </c>
      <c r="B333" t="s">
        <v>808</v>
      </c>
      <c r="C333" t="s">
        <v>978</v>
      </c>
      <c r="D333" t="s">
        <v>981</v>
      </c>
      <c r="E333" t="s">
        <v>983</v>
      </c>
      <c r="G333">
        <v>2700</v>
      </c>
      <c r="H333" t="s">
        <v>995</v>
      </c>
      <c r="I333" s="3">
        <f>G333 * J333</f>
        <v>0</v>
      </c>
      <c r="J333" s="3">
        <f>IF(H333="HUF", 1, IFERROR(VLOOKUP(B333&amp;H333, '22_ExchangeRates'!A:E, 5, FALSE), 1))</f>
        <v>0</v>
      </c>
      <c r="K333" t="s">
        <v>1002</v>
      </c>
      <c r="N333" t="s">
        <v>1305</v>
      </c>
      <c r="O333" t="s">
        <v>1497</v>
      </c>
    </row>
    <row r="334" spans="1:15">
      <c r="A334" t="s">
        <v>355</v>
      </c>
      <c r="B334" t="s">
        <v>809</v>
      </c>
      <c r="C334" t="s">
        <v>978</v>
      </c>
      <c r="D334" t="s">
        <v>981</v>
      </c>
      <c r="E334" t="s">
        <v>983</v>
      </c>
      <c r="G334">
        <v>2100</v>
      </c>
      <c r="H334" t="s">
        <v>995</v>
      </c>
      <c r="I334" s="3">
        <f>G334 * J334</f>
        <v>0</v>
      </c>
      <c r="J334" s="3">
        <f>IF(H334="HUF", 1, IFERROR(VLOOKUP(B334&amp;H334, '22_ExchangeRates'!A:E, 5, FALSE), 1))</f>
        <v>0</v>
      </c>
      <c r="K334" t="s">
        <v>1003</v>
      </c>
      <c r="N334" t="s">
        <v>1306</v>
      </c>
      <c r="O334" t="s">
        <v>1497</v>
      </c>
    </row>
    <row r="335" spans="1:15">
      <c r="A335" t="s">
        <v>356</v>
      </c>
      <c r="B335" t="s">
        <v>810</v>
      </c>
      <c r="C335" t="s">
        <v>978</v>
      </c>
      <c r="D335" t="s">
        <v>981</v>
      </c>
      <c r="E335" t="s">
        <v>982</v>
      </c>
      <c r="G335">
        <v>1890</v>
      </c>
      <c r="H335" t="s">
        <v>995</v>
      </c>
      <c r="I335" s="3">
        <f>G335 * J335</f>
        <v>0</v>
      </c>
      <c r="J335" s="3">
        <f>IF(H335="HUF", 1, IFERROR(VLOOKUP(B335&amp;H335, '22_ExchangeRates'!A:E, 5, FALSE), 1))</f>
        <v>0</v>
      </c>
      <c r="K335" t="s">
        <v>1000</v>
      </c>
      <c r="N335" t="s">
        <v>1307</v>
      </c>
      <c r="O335" t="s">
        <v>1497</v>
      </c>
    </row>
    <row r="336" spans="1:15">
      <c r="A336" t="s">
        <v>357</v>
      </c>
      <c r="B336" t="s">
        <v>811</v>
      </c>
      <c r="C336" t="s">
        <v>979</v>
      </c>
      <c r="D336" t="s">
        <v>981</v>
      </c>
      <c r="E336" t="s">
        <v>982</v>
      </c>
      <c r="G336">
        <v>153200</v>
      </c>
      <c r="H336" t="s">
        <v>995</v>
      </c>
      <c r="I336" s="3">
        <f>G336 * J336</f>
        <v>0</v>
      </c>
      <c r="J336" s="3">
        <f>IF(H336="HUF", 1, IFERROR(VLOOKUP(B336&amp;H336, '22_ExchangeRates'!A:E, 5, FALSE), 1))</f>
        <v>0</v>
      </c>
      <c r="K336" t="s">
        <v>1008</v>
      </c>
      <c r="O336" t="s">
        <v>1497</v>
      </c>
    </row>
    <row r="337" spans="1:15">
      <c r="A337" t="s">
        <v>358</v>
      </c>
      <c r="B337" t="s">
        <v>812</v>
      </c>
      <c r="C337" t="s">
        <v>978</v>
      </c>
      <c r="D337" t="s">
        <v>981</v>
      </c>
      <c r="E337" t="s">
        <v>982</v>
      </c>
      <c r="G337">
        <v>9400</v>
      </c>
      <c r="H337" t="s">
        <v>995</v>
      </c>
      <c r="I337" s="3">
        <f>G337 * J337</f>
        <v>0</v>
      </c>
      <c r="J337" s="3">
        <f>IF(H337="HUF", 1, IFERROR(VLOOKUP(B337&amp;H337, '22_ExchangeRates'!A:E, 5, FALSE), 1))</f>
        <v>0</v>
      </c>
      <c r="K337" t="s">
        <v>1003</v>
      </c>
      <c r="N337" t="s">
        <v>1082</v>
      </c>
      <c r="O337" t="s">
        <v>1497</v>
      </c>
    </row>
    <row r="338" spans="1:15">
      <c r="A338" t="s">
        <v>359</v>
      </c>
      <c r="B338" t="s">
        <v>813</v>
      </c>
      <c r="C338" t="s">
        <v>978</v>
      </c>
      <c r="D338" t="s">
        <v>981</v>
      </c>
      <c r="E338" t="s">
        <v>982</v>
      </c>
      <c r="G338">
        <v>1890</v>
      </c>
      <c r="H338" t="s">
        <v>995</v>
      </c>
      <c r="I338" s="3">
        <f>G338 * J338</f>
        <v>0</v>
      </c>
      <c r="J338" s="3">
        <f>IF(H338="HUF", 1, IFERROR(VLOOKUP(B338&amp;H338, '22_ExchangeRates'!A:E, 5, FALSE), 1))</f>
        <v>0</v>
      </c>
      <c r="K338" t="s">
        <v>1001</v>
      </c>
      <c r="N338" t="s">
        <v>1202</v>
      </c>
      <c r="O338" t="s">
        <v>1497</v>
      </c>
    </row>
    <row r="339" spans="1:15">
      <c r="A339" t="s">
        <v>360</v>
      </c>
      <c r="B339" t="s">
        <v>814</v>
      </c>
      <c r="C339" t="s">
        <v>978</v>
      </c>
      <c r="D339" t="s">
        <v>981</v>
      </c>
      <c r="E339" t="s">
        <v>982</v>
      </c>
      <c r="G339">
        <v>1185</v>
      </c>
      <c r="H339" t="s">
        <v>995</v>
      </c>
      <c r="I339" s="3">
        <f>G339 * J339</f>
        <v>0</v>
      </c>
      <c r="J339" s="3">
        <f>IF(H339="HUF", 1, IFERROR(VLOOKUP(B339&amp;H339, '22_ExchangeRates'!A:E, 5, FALSE), 1))</f>
        <v>0</v>
      </c>
      <c r="K339" t="s">
        <v>1002</v>
      </c>
      <c r="N339" t="s">
        <v>1308</v>
      </c>
      <c r="O339" t="s">
        <v>1497</v>
      </c>
    </row>
    <row r="340" spans="1:15">
      <c r="A340" t="s">
        <v>361</v>
      </c>
      <c r="B340" t="s">
        <v>815</v>
      </c>
      <c r="C340" t="s">
        <v>979</v>
      </c>
      <c r="D340" t="s">
        <v>981</v>
      </c>
      <c r="E340" t="s">
        <v>983</v>
      </c>
      <c r="G340">
        <v>400000</v>
      </c>
      <c r="H340" t="s">
        <v>995</v>
      </c>
      <c r="I340" s="3">
        <f>G340 * J340</f>
        <v>0</v>
      </c>
      <c r="J340" s="3">
        <f>IF(H340="HUF", 1, IFERROR(VLOOKUP(B340&amp;H340, '22_ExchangeRates'!A:E, 5, FALSE), 1))</f>
        <v>0</v>
      </c>
      <c r="K340" t="s">
        <v>1000</v>
      </c>
      <c r="N340" t="s">
        <v>1309</v>
      </c>
      <c r="O340" t="s">
        <v>1497</v>
      </c>
    </row>
    <row r="341" spans="1:15">
      <c r="A341" t="s">
        <v>362</v>
      </c>
      <c r="B341" t="s">
        <v>816</v>
      </c>
      <c r="C341" t="s">
        <v>980</v>
      </c>
      <c r="D341" t="s">
        <v>981</v>
      </c>
      <c r="E341" t="s">
        <v>982</v>
      </c>
      <c r="F341" t="s">
        <v>994</v>
      </c>
      <c r="G341">
        <v>70000</v>
      </c>
      <c r="H341" t="s">
        <v>995</v>
      </c>
      <c r="I341" s="3">
        <f>G341 * J341</f>
        <v>0</v>
      </c>
      <c r="J341" s="3">
        <f>IF(H341="HUF", 1, IFERROR(VLOOKUP(B341&amp;H341, '22_ExchangeRates'!A:E, 5, FALSE), 1))</f>
        <v>0</v>
      </c>
      <c r="O341" t="s">
        <v>1497</v>
      </c>
    </row>
    <row r="342" spans="1:15">
      <c r="A342" t="s">
        <v>363</v>
      </c>
      <c r="B342" t="s">
        <v>817</v>
      </c>
      <c r="C342" t="s">
        <v>978</v>
      </c>
      <c r="D342" t="s">
        <v>981</v>
      </c>
      <c r="E342" t="s">
        <v>982</v>
      </c>
      <c r="G342">
        <v>220</v>
      </c>
      <c r="H342" t="s">
        <v>995</v>
      </c>
      <c r="I342" s="3">
        <f>G342 * J342</f>
        <v>0</v>
      </c>
      <c r="J342" s="3">
        <f>IF(H342="HUF", 1, IFERROR(VLOOKUP(B342&amp;H342, '22_ExchangeRates'!A:E, 5, FALSE), 1))</f>
        <v>0</v>
      </c>
      <c r="K342" t="s">
        <v>1001</v>
      </c>
      <c r="N342" t="s">
        <v>1093</v>
      </c>
      <c r="O342" t="s">
        <v>1497</v>
      </c>
    </row>
    <row r="343" spans="1:15">
      <c r="A343" t="s">
        <v>364</v>
      </c>
      <c r="B343" t="s">
        <v>818</v>
      </c>
      <c r="C343" t="s">
        <v>978</v>
      </c>
      <c r="D343" t="s">
        <v>981</v>
      </c>
      <c r="E343" t="s">
        <v>982</v>
      </c>
      <c r="G343">
        <v>1600</v>
      </c>
      <c r="H343" t="s">
        <v>995</v>
      </c>
      <c r="I343" s="3">
        <f>G343 * J343</f>
        <v>0</v>
      </c>
      <c r="J343" s="3">
        <f>IF(H343="HUF", 1, IFERROR(VLOOKUP(B343&amp;H343, '22_ExchangeRates'!A:E, 5, FALSE), 1))</f>
        <v>0</v>
      </c>
      <c r="K343" t="s">
        <v>1003</v>
      </c>
      <c r="N343" t="s">
        <v>1310</v>
      </c>
      <c r="O343" t="s">
        <v>1497</v>
      </c>
    </row>
    <row r="344" spans="1:15">
      <c r="A344" t="s">
        <v>365</v>
      </c>
      <c r="B344" t="s">
        <v>819</v>
      </c>
      <c r="C344" t="s">
        <v>978</v>
      </c>
      <c r="D344" t="s">
        <v>981</v>
      </c>
      <c r="E344" t="s">
        <v>983</v>
      </c>
      <c r="G344">
        <v>480</v>
      </c>
      <c r="H344" t="s">
        <v>995</v>
      </c>
      <c r="I344" s="3">
        <f>G344 * J344</f>
        <v>0</v>
      </c>
      <c r="J344" s="3">
        <f>IF(H344="HUF", 1, IFERROR(VLOOKUP(B344&amp;H344, '22_ExchangeRates'!A:E, 5, FALSE), 1))</f>
        <v>0</v>
      </c>
      <c r="K344" t="s">
        <v>1002</v>
      </c>
      <c r="N344" t="s">
        <v>1192</v>
      </c>
      <c r="O344" t="s">
        <v>1497</v>
      </c>
    </row>
    <row r="345" spans="1:15">
      <c r="A345" t="s">
        <v>366</v>
      </c>
      <c r="B345" t="s">
        <v>820</v>
      </c>
      <c r="C345" t="s">
        <v>978</v>
      </c>
      <c r="D345" t="s">
        <v>981</v>
      </c>
      <c r="E345" t="s">
        <v>983</v>
      </c>
      <c r="G345">
        <v>1440</v>
      </c>
      <c r="H345" t="s">
        <v>995</v>
      </c>
      <c r="I345" s="3">
        <f>G345 * J345</f>
        <v>0</v>
      </c>
      <c r="J345" s="3">
        <f>IF(H345="HUF", 1, IFERROR(VLOOKUP(B345&amp;H345, '22_ExchangeRates'!A:E, 5, FALSE), 1))</f>
        <v>0</v>
      </c>
      <c r="K345" t="s">
        <v>1002</v>
      </c>
      <c r="N345" t="s">
        <v>1311</v>
      </c>
      <c r="O345" t="s">
        <v>1497</v>
      </c>
    </row>
    <row r="346" spans="1:15">
      <c r="A346" t="s">
        <v>367</v>
      </c>
      <c r="B346" t="s">
        <v>821</v>
      </c>
      <c r="C346" t="s">
        <v>979</v>
      </c>
      <c r="D346" t="s">
        <v>981</v>
      </c>
      <c r="E346" t="s">
        <v>982</v>
      </c>
      <c r="G346">
        <v>76600</v>
      </c>
      <c r="H346" t="s">
        <v>995</v>
      </c>
      <c r="I346" s="3">
        <f>G346 * J346</f>
        <v>0</v>
      </c>
      <c r="J346" s="3">
        <f>IF(H346="HUF", 1, IFERROR(VLOOKUP(B346&amp;H346, '22_ExchangeRates'!A:E, 5, FALSE), 1))</f>
        <v>0</v>
      </c>
      <c r="K346" t="s">
        <v>1008</v>
      </c>
      <c r="O346" t="s">
        <v>1497</v>
      </c>
    </row>
    <row r="347" spans="1:15">
      <c r="A347" t="s">
        <v>368</v>
      </c>
      <c r="B347" t="s">
        <v>822</v>
      </c>
      <c r="C347" t="s">
        <v>978</v>
      </c>
      <c r="D347" t="s">
        <v>981</v>
      </c>
      <c r="E347" t="s">
        <v>983</v>
      </c>
      <c r="G347">
        <v>2200</v>
      </c>
      <c r="H347" t="s">
        <v>995</v>
      </c>
      <c r="I347" s="3">
        <f>G347 * J347</f>
        <v>0</v>
      </c>
      <c r="J347" s="3">
        <f>IF(H347="HUF", 1, IFERROR(VLOOKUP(B347&amp;H347, '22_ExchangeRates'!A:E, 5, FALSE), 1))</f>
        <v>0</v>
      </c>
      <c r="K347" t="s">
        <v>1003</v>
      </c>
      <c r="N347" t="s">
        <v>1312</v>
      </c>
      <c r="O347" t="s">
        <v>1497</v>
      </c>
    </row>
    <row r="348" spans="1:15">
      <c r="A348" t="s">
        <v>369</v>
      </c>
      <c r="B348" t="s">
        <v>822</v>
      </c>
      <c r="C348" t="s">
        <v>978</v>
      </c>
      <c r="D348" t="s">
        <v>981</v>
      </c>
      <c r="E348" t="s">
        <v>982</v>
      </c>
      <c r="G348">
        <v>2300</v>
      </c>
      <c r="H348" t="s">
        <v>995</v>
      </c>
      <c r="I348" s="3">
        <f>G348 * J348</f>
        <v>0</v>
      </c>
      <c r="J348" s="3">
        <f>IF(H348="HUF", 1, IFERROR(VLOOKUP(B348&amp;H348, '22_ExchangeRates'!A:E, 5, FALSE), 1))</f>
        <v>0</v>
      </c>
      <c r="K348" t="s">
        <v>1000</v>
      </c>
      <c r="N348" t="s">
        <v>1313</v>
      </c>
      <c r="O348" t="s">
        <v>1497</v>
      </c>
    </row>
    <row r="349" spans="1:15">
      <c r="A349" t="s">
        <v>370</v>
      </c>
      <c r="B349" t="s">
        <v>822</v>
      </c>
      <c r="C349" t="s">
        <v>978</v>
      </c>
      <c r="D349" t="s">
        <v>981</v>
      </c>
      <c r="E349" t="s">
        <v>982</v>
      </c>
      <c r="G349">
        <v>2300</v>
      </c>
      <c r="H349" t="s">
        <v>995</v>
      </c>
      <c r="I349" s="3">
        <f>G349 * J349</f>
        <v>0</v>
      </c>
      <c r="J349" s="3">
        <f>IF(H349="HUF", 1, IFERROR(VLOOKUP(B349&amp;H349, '22_ExchangeRates'!A:E, 5, FALSE), 1))</f>
        <v>0</v>
      </c>
      <c r="K349" t="s">
        <v>1002</v>
      </c>
      <c r="N349" t="s">
        <v>1313</v>
      </c>
      <c r="O349" t="s">
        <v>1497</v>
      </c>
    </row>
    <row r="350" spans="1:15">
      <c r="A350" t="s">
        <v>371</v>
      </c>
      <c r="B350" t="s">
        <v>823</v>
      </c>
      <c r="C350" t="s">
        <v>978</v>
      </c>
      <c r="D350" t="s">
        <v>981</v>
      </c>
      <c r="E350" t="s">
        <v>982</v>
      </c>
      <c r="G350">
        <v>500</v>
      </c>
      <c r="H350" t="s">
        <v>995</v>
      </c>
      <c r="I350" s="3">
        <f>G350 * J350</f>
        <v>0</v>
      </c>
      <c r="J350" s="3">
        <f>IF(H350="HUF", 1, IFERROR(VLOOKUP(B350&amp;H350, '22_ExchangeRates'!A:E, 5, FALSE), 1))</f>
        <v>0</v>
      </c>
      <c r="K350" t="s">
        <v>1003</v>
      </c>
      <c r="N350" t="s">
        <v>1314</v>
      </c>
      <c r="O350" t="s">
        <v>1497</v>
      </c>
    </row>
    <row r="351" spans="1:15">
      <c r="A351" t="s">
        <v>372</v>
      </c>
      <c r="B351" t="s">
        <v>823</v>
      </c>
      <c r="C351" t="s">
        <v>978</v>
      </c>
      <c r="D351" t="s">
        <v>981</v>
      </c>
      <c r="E351" t="s">
        <v>982</v>
      </c>
      <c r="G351">
        <v>2400</v>
      </c>
      <c r="H351" t="s">
        <v>995</v>
      </c>
      <c r="I351" s="3">
        <f>G351 * J351</f>
        <v>0</v>
      </c>
      <c r="J351" s="3">
        <f>IF(H351="HUF", 1, IFERROR(VLOOKUP(B351&amp;H351, '22_ExchangeRates'!A:E, 5, FALSE), 1))</f>
        <v>0</v>
      </c>
      <c r="K351" t="s">
        <v>1003</v>
      </c>
      <c r="N351" t="s">
        <v>1315</v>
      </c>
      <c r="O351" t="s">
        <v>1497</v>
      </c>
    </row>
    <row r="352" spans="1:15">
      <c r="A352" t="s">
        <v>373</v>
      </c>
      <c r="B352" t="s">
        <v>824</v>
      </c>
      <c r="C352" t="s">
        <v>978</v>
      </c>
      <c r="D352" t="s">
        <v>981</v>
      </c>
      <c r="E352" t="s">
        <v>982</v>
      </c>
      <c r="G352">
        <v>1485</v>
      </c>
      <c r="H352" t="s">
        <v>995</v>
      </c>
      <c r="I352" s="3">
        <f>G352 * J352</f>
        <v>0</v>
      </c>
      <c r="J352" s="3">
        <f>IF(H352="HUF", 1, IFERROR(VLOOKUP(B352&amp;H352, '22_ExchangeRates'!A:E, 5, FALSE), 1))</f>
        <v>0</v>
      </c>
      <c r="K352" t="s">
        <v>1002</v>
      </c>
      <c r="N352" t="s">
        <v>1316</v>
      </c>
      <c r="O352" t="s">
        <v>1497</v>
      </c>
    </row>
    <row r="353" spans="1:15">
      <c r="A353" t="s">
        <v>374</v>
      </c>
      <c r="B353" t="s">
        <v>825</v>
      </c>
      <c r="C353" t="s">
        <v>978</v>
      </c>
      <c r="D353" t="s">
        <v>981</v>
      </c>
      <c r="E353" t="s">
        <v>983</v>
      </c>
      <c r="G353">
        <v>2000</v>
      </c>
      <c r="H353" t="s">
        <v>995</v>
      </c>
      <c r="I353" s="3">
        <f>G353 * J353</f>
        <v>0</v>
      </c>
      <c r="J353" s="3">
        <f>IF(H353="HUF", 1, IFERROR(VLOOKUP(B353&amp;H353, '22_ExchangeRates'!A:E, 5, FALSE), 1))</f>
        <v>0</v>
      </c>
      <c r="K353" t="s">
        <v>1002</v>
      </c>
      <c r="N353" t="s">
        <v>1317</v>
      </c>
      <c r="O353" t="s">
        <v>1497</v>
      </c>
    </row>
    <row r="354" spans="1:15">
      <c r="A354" t="s">
        <v>375</v>
      </c>
      <c r="B354" t="s">
        <v>825</v>
      </c>
      <c r="C354" t="s">
        <v>978</v>
      </c>
      <c r="D354" t="s">
        <v>981</v>
      </c>
      <c r="E354" t="s">
        <v>983</v>
      </c>
      <c r="G354">
        <v>2600</v>
      </c>
      <c r="H354" t="s">
        <v>995</v>
      </c>
      <c r="I354" s="3">
        <f>G354 * J354</f>
        <v>0</v>
      </c>
      <c r="J354" s="3">
        <f>IF(H354="HUF", 1, IFERROR(VLOOKUP(B354&amp;H354, '22_ExchangeRates'!A:E, 5, FALSE), 1))</f>
        <v>0</v>
      </c>
      <c r="K354" t="s">
        <v>1003</v>
      </c>
      <c r="N354" t="s">
        <v>1318</v>
      </c>
      <c r="O354" t="s">
        <v>1497</v>
      </c>
    </row>
    <row r="355" spans="1:15">
      <c r="A355" t="s">
        <v>376</v>
      </c>
      <c r="B355" t="s">
        <v>825</v>
      </c>
      <c r="C355" t="s">
        <v>978</v>
      </c>
      <c r="D355" t="s">
        <v>981</v>
      </c>
      <c r="E355" t="s">
        <v>983</v>
      </c>
      <c r="G355">
        <v>1000</v>
      </c>
      <c r="H355" t="s">
        <v>995</v>
      </c>
      <c r="I355" s="3">
        <f>G355 * J355</f>
        <v>0</v>
      </c>
      <c r="J355" s="3">
        <f>IF(H355="HUF", 1, IFERROR(VLOOKUP(B355&amp;H355, '22_ExchangeRates'!A:E, 5, FALSE), 1))</f>
        <v>0</v>
      </c>
      <c r="K355" t="s">
        <v>1003</v>
      </c>
      <c r="N355" t="s">
        <v>1319</v>
      </c>
      <c r="O355" t="s">
        <v>1497</v>
      </c>
    </row>
    <row r="356" spans="1:15">
      <c r="A356" t="s">
        <v>377</v>
      </c>
      <c r="B356" t="s">
        <v>826</v>
      </c>
      <c r="C356" t="s">
        <v>978</v>
      </c>
      <c r="D356" t="s">
        <v>981</v>
      </c>
      <c r="E356" t="s">
        <v>982</v>
      </c>
      <c r="G356">
        <v>1890</v>
      </c>
      <c r="H356" t="s">
        <v>995</v>
      </c>
      <c r="I356" s="3">
        <f>G356 * J356</f>
        <v>0</v>
      </c>
      <c r="J356" s="3">
        <f>IF(H356="HUF", 1, IFERROR(VLOOKUP(B356&amp;H356, '22_ExchangeRates'!A:E, 5, FALSE), 1))</f>
        <v>0</v>
      </c>
      <c r="K356" t="s">
        <v>1001</v>
      </c>
      <c r="N356" t="s">
        <v>1202</v>
      </c>
      <c r="O356" t="s">
        <v>1497</v>
      </c>
    </row>
    <row r="357" spans="1:15">
      <c r="A357" t="s">
        <v>378</v>
      </c>
      <c r="B357" t="s">
        <v>827</v>
      </c>
      <c r="C357" t="s">
        <v>978</v>
      </c>
      <c r="D357" t="s">
        <v>981</v>
      </c>
      <c r="E357" t="s">
        <v>982</v>
      </c>
      <c r="G357">
        <v>220</v>
      </c>
      <c r="H357" t="s">
        <v>995</v>
      </c>
      <c r="I357" s="3">
        <f>G357 * J357</f>
        <v>0</v>
      </c>
      <c r="J357" s="3">
        <f>IF(H357="HUF", 1, IFERROR(VLOOKUP(B357&amp;H357, '22_ExchangeRates'!A:E, 5, FALSE), 1))</f>
        <v>0</v>
      </c>
      <c r="K357" t="s">
        <v>1001</v>
      </c>
      <c r="N357" t="s">
        <v>1093</v>
      </c>
      <c r="O357" t="s">
        <v>1497</v>
      </c>
    </row>
    <row r="358" spans="1:15">
      <c r="A358" t="s">
        <v>379</v>
      </c>
      <c r="B358" t="s">
        <v>828</v>
      </c>
      <c r="C358" t="s">
        <v>979</v>
      </c>
      <c r="D358" t="s">
        <v>981</v>
      </c>
      <c r="E358" t="s">
        <v>983</v>
      </c>
      <c r="G358">
        <v>50000</v>
      </c>
      <c r="H358" t="s">
        <v>995</v>
      </c>
      <c r="I358" s="3">
        <f>G358 * J358</f>
        <v>0</v>
      </c>
      <c r="J358" s="3">
        <f>IF(H358="HUF", 1, IFERROR(VLOOKUP(B358&amp;H358, '22_ExchangeRates'!A:E, 5, FALSE), 1))</f>
        <v>0</v>
      </c>
      <c r="K358" t="s">
        <v>1000</v>
      </c>
      <c r="N358" t="s">
        <v>1320</v>
      </c>
      <c r="O358" t="s">
        <v>1497</v>
      </c>
    </row>
    <row r="359" spans="1:15">
      <c r="A359" t="s">
        <v>380</v>
      </c>
      <c r="B359" t="s">
        <v>828</v>
      </c>
      <c r="C359" t="s">
        <v>979</v>
      </c>
      <c r="D359" t="s">
        <v>981</v>
      </c>
      <c r="E359" t="s">
        <v>983</v>
      </c>
      <c r="G359">
        <v>10000</v>
      </c>
      <c r="H359" t="s">
        <v>995</v>
      </c>
      <c r="I359" s="3">
        <f>G359 * J359</f>
        <v>0</v>
      </c>
      <c r="J359" s="3">
        <f>IF(H359="HUF", 1, IFERROR(VLOOKUP(B359&amp;H359, '22_ExchangeRates'!A:E, 5, FALSE), 1))</f>
        <v>0</v>
      </c>
      <c r="K359" t="s">
        <v>1000</v>
      </c>
      <c r="N359" t="s">
        <v>1321</v>
      </c>
      <c r="O359" t="s">
        <v>1497</v>
      </c>
    </row>
    <row r="360" spans="1:15">
      <c r="A360" t="s">
        <v>381</v>
      </c>
      <c r="B360" t="s">
        <v>828</v>
      </c>
      <c r="C360" t="s">
        <v>979</v>
      </c>
      <c r="D360" t="s">
        <v>981</v>
      </c>
      <c r="E360" t="s">
        <v>983</v>
      </c>
      <c r="G360">
        <v>20000</v>
      </c>
      <c r="H360" t="s">
        <v>995</v>
      </c>
      <c r="I360" s="3">
        <f>G360 * J360</f>
        <v>0</v>
      </c>
      <c r="J360" s="3">
        <f>IF(H360="HUF", 1, IFERROR(VLOOKUP(B360&amp;H360, '22_ExchangeRates'!A:E, 5, FALSE), 1))</f>
        <v>0</v>
      </c>
      <c r="K360" t="s">
        <v>1000</v>
      </c>
      <c r="N360" t="s">
        <v>1059</v>
      </c>
      <c r="O360" t="s">
        <v>1497</v>
      </c>
    </row>
    <row r="361" spans="1:15">
      <c r="A361" t="s">
        <v>382</v>
      </c>
      <c r="B361" t="s">
        <v>829</v>
      </c>
      <c r="C361" t="s">
        <v>978</v>
      </c>
      <c r="D361" t="s">
        <v>981</v>
      </c>
      <c r="E361" t="s">
        <v>982</v>
      </c>
      <c r="G361">
        <v>2500</v>
      </c>
      <c r="H361" t="s">
        <v>995</v>
      </c>
      <c r="I361" s="3">
        <f>G361 * J361</f>
        <v>0</v>
      </c>
      <c r="J361" s="3">
        <f>IF(H361="HUF", 1, IFERROR(VLOOKUP(B361&amp;H361, '22_ExchangeRates'!A:E, 5, FALSE), 1))</f>
        <v>0</v>
      </c>
      <c r="K361" t="s">
        <v>1000</v>
      </c>
      <c r="N361" t="s">
        <v>1322</v>
      </c>
      <c r="O361" t="s">
        <v>1497</v>
      </c>
    </row>
    <row r="362" spans="1:15">
      <c r="A362" t="s">
        <v>383</v>
      </c>
      <c r="B362" t="s">
        <v>829</v>
      </c>
      <c r="C362" t="s">
        <v>978</v>
      </c>
      <c r="D362" t="s">
        <v>981</v>
      </c>
      <c r="E362" t="s">
        <v>982</v>
      </c>
      <c r="G362">
        <v>2400</v>
      </c>
      <c r="H362" t="s">
        <v>995</v>
      </c>
      <c r="I362" s="3">
        <f>G362 * J362</f>
        <v>0</v>
      </c>
      <c r="J362" s="3">
        <f>IF(H362="HUF", 1, IFERROR(VLOOKUP(B362&amp;H362, '22_ExchangeRates'!A:E, 5, FALSE), 1))</f>
        <v>0</v>
      </c>
      <c r="K362" t="s">
        <v>1002</v>
      </c>
      <c r="N362" t="s">
        <v>1323</v>
      </c>
      <c r="O362" t="s">
        <v>1497</v>
      </c>
    </row>
    <row r="363" spans="1:15">
      <c r="A363" t="s">
        <v>384</v>
      </c>
      <c r="B363" t="s">
        <v>830</v>
      </c>
      <c r="C363" t="s">
        <v>978</v>
      </c>
      <c r="D363" t="s">
        <v>981</v>
      </c>
      <c r="E363" t="s">
        <v>982</v>
      </c>
      <c r="G363">
        <v>500</v>
      </c>
      <c r="H363" t="s">
        <v>995</v>
      </c>
      <c r="I363" s="3">
        <f>G363 * J363</f>
        <v>0</v>
      </c>
      <c r="J363" s="3">
        <f>IF(H363="HUF", 1, IFERROR(VLOOKUP(B363&amp;H363, '22_ExchangeRates'!A:E, 5, FALSE), 1))</f>
        <v>0</v>
      </c>
      <c r="K363" t="s">
        <v>1001</v>
      </c>
      <c r="N363" t="s">
        <v>1190</v>
      </c>
      <c r="O363" t="s">
        <v>1497</v>
      </c>
    </row>
    <row r="364" spans="1:15">
      <c r="A364" t="s">
        <v>385</v>
      </c>
      <c r="B364" t="s">
        <v>830</v>
      </c>
      <c r="C364" t="s">
        <v>978</v>
      </c>
      <c r="D364" t="s">
        <v>981</v>
      </c>
      <c r="E364" t="s">
        <v>982</v>
      </c>
      <c r="G364">
        <v>500</v>
      </c>
      <c r="H364" t="s">
        <v>995</v>
      </c>
      <c r="I364" s="3">
        <f>G364 * J364</f>
        <v>0</v>
      </c>
      <c r="J364" s="3">
        <f>IF(H364="HUF", 1, IFERROR(VLOOKUP(B364&amp;H364, '22_ExchangeRates'!A:E, 5, FALSE), 1))</f>
        <v>0</v>
      </c>
      <c r="K364" t="s">
        <v>1001</v>
      </c>
      <c r="N364" t="s">
        <v>1190</v>
      </c>
      <c r="O364" t="s">
        <v>1497</v>
      </c>
    </row>
    <row r="365" spans="1:15">
      <c r="A365" t="s">
        <v>386</v>
      </c>
      <c r="B365" t="s">
        <v>830</v>
      </c>
      <c r="C365" t="s">
        <v>978</v>
      </c>
      <c r="D365" t="s">
        <v>981</v>
      </c>
      <c r="E365" t="s">
        <v>983</v>
      </c>
      <c r="G365">
        <v>3000</v>
      </c>
      <c r="H365" t="s">
        <v>995</v>
      </c>
      <c r="I365" s="3">
        <f>G365 * J365</f>
        <v>0</v>
      </c>
      <c r="J365" s="3">
        <f>IF(H365="HUF", 1, IFERROR(VLOOKUP(B365&amp;H365, '22_ExchangeRates'!A:E, 5, FALSE), 1))</f>
        <v>0</v>
      </c>
      <c r="K365" t="s">
        <v>1005</v>
      </c>
      <c r="N365" t="s">
        <v>1324</v>
      </c>
      <c r="O365" t="s">
        <v>1497</v>
      </c>
    </row>
    <row r="366" spans="1:15">
      <c r="A366" t="s">
        <v>387</v>
      </c>
      <c r="B366" t="s">
        <v>831</v>
      </c>
      <c r="C366" t="s">
        <v>980</v>
      </c>
      <c r="D366" t="s">
        <v>981</v>
      </c>
      <c r="E366" t="s">
        <v>982</v>
      </c>
      <c r="F366" t="s">
        <v>994</v>
      </c>
      <c r="G366">
        <v>70000</v>
      </c>
      <c r="H366" t="s">
        <v>995</v>
      </c>
      <c r="I366" s="3">
        <f>G366 * J366</f>
        <v>0</v>
      </c>
      <c r="J366" s="3">
        <f>IF(H366="HUF", 1, IFERROR(VLOOKUP(B366&amp;H366, '22_ExchangeRates'!A:E, 5, FALSE), 1))</f>
        <v>0</v>
      </c>
      <c r="O366" t="s">
        <v>1497</v>
      </c>
    </row>
    <row r="367" spans="1:15">
      <c r="A367" t="s">
        <v>388</v>
      </c>
      <c r="B367" t="s">
        <v>832</v>
      </c>
      <c r="C367" t="s">
        <v>978</v>
      </c>
      <c r="D367" t="s">
        <v>981</v>
      </c>
      <c r="E367" t="s">
        <v>982</v>
      </c>
      <c r="G367">
        <v>3687</v>
      </c>
      <c r="H367" t="s">
        <v>995</v>
      </c>
      <c r="I367" s="3">
        <f>G367 * J367</f>
        <v>0</v>
      </c>
      <c r="J367" s="3">
        <f>IF(H367="HUF", 1, IFERROR(VLOOKUP(B367&amp;H367, '22_ExchangeRates'!A:E, 5, FALSE), 1))</f>
        <v>0</v>
      </c>
      <c r="K367" t="s">
        <v>1005</v>
      </c>
      <c r="N367" t="s">
        <v>1325</v>
      </c>
      <c r="O367" t="s">
        <v>1497</v>
      </c>
    </row>
    <row r="368" spans="1:15">
      <c r="A368" t="s">
        <v>389</v>
      </c>
      <c r="B368" t="s">
        <v>833</v>
      </c>
      <c r="C368" t="s">
        <v>978</v>
      </c>
      <c r="D368" t="s">
        <v>981</v>
      </c>
      <c r="E368" t="s">
        <v>983</v>
      </c>
      <c r="G368">
        <v>2450</v>
      </c>
      <c r="H368" t="s">
        <v>995</v>
      </c>
      <c r="I368" s="3">
        <f>G368 * J368</f>
        <v>0</v>
      </c>
      <c r="J368" s="3">
        <f>IF(H368="HUF", 1, IFERROR(VLOOKUP(B368&amp;H368, '22_ExchangeRates'!A:E, 5, FALSE), 1))</f>
        <v>0</v>
      </c>
      <c r="K368" t="s">
        <v>1000</v>
      </c>
      <c r="N368" t="s">
        <v>1326</v>
      </c>
      <c r="O368" t="s">
        <v>1497</v>
      </c>
    </row>
    <row r="369" spans="1:15">
      <c r="A369" t="s">
        <v>390</v>
      </c>
      <c r="B369" t="s">
        <v>834</v>
      </c>
      <c r="C369" t="s">
        <v>979</v>
      </c>
      <c r="D369" t="s">
        <v>981</v>
      </c>
      <c r="E369" t="s">
        <v>982</v>
      </c>
      <c r="G369">
        <v>76600</v>
      </c>
      <c r="H369" t="s">
        <v>995</v>
      </c>
      <c r="I369" s="3">
        <f>G369 * J369</f>
        <v>0</v>
      </c>
      <c r="J369" s="3">
        <f>IF(H369="HUF", 1, IFERROR(VLOOKUP(B369&amp;H369, '22_ExchangeRates'!A:E, 5, FALSE), 1))</f>
        <v>0</v>
      </c>
      <c r="K369" t="s">
        <v>1008</v>
      </c>
      <c r="O369" t="s">
        <v>1497</v>
      </c>
    </row>
    <row r="370" spans="1:15">
      <c r="A370" t="s">
        <v>391</v>
      </c>
      <c r="B370" t="s">
        <v>835</v>
      </c>
      <c r="C370" t="s">
        <v>978</v>
      </c>
      <c r="D370" t="s">
        <v>981</v>
      </c>
      <c r="E370" t="s">
        <v>982</v>
      </c>
      <c r="G370">
        <v>1590</v>
      </c>
      <c r="H370" t="s">
        <v>995</v>
      </c>
      <c r="I370" s="3">
        <f>G370 * J370</f>
        <v>0</v>
      </c>
      <c r="J370" s="3">
        <f>IF(H370="HUF", 1, IFERROR(VLOOKUP(B370&amp;H370, '22_ExchangeRates'!A:E, 5, FALSE), 1))</f>
        <v>0</v>
      </c>
      <c r="K370" t="s">
        <v>1002</v>
      </c>
      <c r="N370" t="s">
        <v>1327</v>
      </c>
      <c r="O370" t="s">
        <v>1497</v>
      </c>
    </row>
    <row r="371" spans="1:15">
      <c r="A371" t="s">
        <v>392</v>
      </c>
      <c r="B371" t="s">
        <v>835</v>
      </c>
      <c r="C371" t="s">
        <v>978</v>
      </c>
      <c r="D371" t="s">
        <v>981</v>
      </c>
      <c r="E371" t="s">
        <v>983</v>
      </c>
      <c r="G371">
        <v>2000</v>
      </c>
      <c r="H371" t="s">
        <v>995</v>
      </c>
      <c r="I371" s="3">
        <f>G371 * J371</f>
        <v>0</v>
      </c>
      <c r="J371" s="3">
        <f>IF(H371="HUF", 1, IFERROR(VLOOKUP(B371&amp;H371, '22_ExchangeRates'!A:E, 5, FALSE), 1))</f>
        <v>0</v>
      </c>
      <c r="K371" t="s">
        <v>1005</v>
      </c>
      <c r="N371" t="s">
        <v>1328</v>
      </c>
      <c r="O371" t="s">
        <v>1497</v>
      </c>
    </row>
    <row r="372" spans="1:15">
      <c r="A372" t="s">
        <v>393</v>
      </c>
      <c r="B372" t="s">
        <v>836</v>
      </c>
      <c r="C372" t="s">
        <v>978</v>
      </c>
      <c r="D372" t="s">
        <v>981</v>
      </c>
      <c r="E372" t="s">
        <v>983</v>
      </c>
      <c r="G372">
        <v>1800</v>
      </c>
      <c r="H372" t="s">
        <v>995</v>
      </c>
      <c r="I372" s="3">
        <f>G372 * J372</f>
        <v>0</v>
      </c>
      <c r="J372" s="3">
        <f>IF(H372="HUF", 1, IFERROR(VLOOKUP(B372&amp;H372, '22_ExchangeRates'!A:E, 5, FALSE), 1))</f>
        <v>0</v>
      </c>
      <c r="K372" t="s">
        <v>1000</v>
      </c>
      <c r="N372" t="s">
        <v>1329</v>
      </c>
      <c r="O372" t="s">
        <v>1497</v>
      </c>
    </row>
    <row r="373" spans="1:15">
      <c r="A373" t="s">
        <v>394</v>
      </c>
      <c r="B373" t="s">
        <v>836</v>
      </c>
      <c r="C373" t="s">
        <v>978</v>
      </c>
      <c r="D373" t="s">
        <v>981</v>
      </c>
      <c r="E373" t="s">
        <v>983</v>
      </c>
      <c r="G373">
        <v>3600</v>
      </c>
      <c r="H373" t="s">
        <v>995</v>
      </c>
      <c r="I373" s="3">
        <f>G373 * J373</f>
        <v>0</v>
      </c>
      <c r="J373" s="3">
        <f>IF(H373="HUF", 1, IFERROR(VLOOKUP(B373&amp;H373, '22_ExchangeRates'!A:E, 5, FALSE), 1))</f>
        <v>0</v>
      </c>
      <c r="K373" t="s">
        <v>1002</v>
      </c>
      <c r="N373" t="s">
        <v>1330</v>
      </c>
      <c r="O373" t="s">
        <v>1497</v>
      </c>
    </row>
    <row r="374" spans="1:15">
      <c r="A374" t="s">
        <v>395</v>
      </c>
      <c r="B374" t="s">
        <v>837</v>
      </c>
      <c r="C374" t="s">
        <v>978</v>
      </c>
      <c r="D374" t="s">
        <v>981</v>
      </c>
      <c r="E374" t="s">
        <v>983</v>
      </c>
      <c r="G374">
        <v>1750</v>
      </c>
      <c r="H374" t="s">
        <v>995</v>
      </c>
      <c r="I374" s="3">
        <f>G374 * J374</f>
        <v>0</v>
      </c>
      <c r="J374" s="3">
        <f>IF(H374="HUF", 1, IFERROR(VLOOKUP(B374&amp;H374, '22_ExchangeRates'!A:E, 5, FALSE), 1))</f>
        <v>0</v>
      </c>
      <c r="K374" t="s">
        <v>1003</v>
      </c>
      <c r="N374" t="s">
        <v>1331</v>
      </c>
      <c r="O374" t="s">
        <v>1497</v>
      </c>
    </row>
    <row r="375" spans="1:15">
      <c r="A375" t="s">
        <v>396</v>
      </c>
      <c r="B375" t="s">
        <v>837</v>
      </c>
      <c r="C375" t="s">
        <v>978</v>
      </c>
      <c r="D375" t="s">
        <v>981</v>
      </c>
      <c r="E375" t="s">
        <v>983</v>
      </c>
      <c r="G375">
        <v>1200</v>
      </c>
      <c r="H375" t="s">
        <v>995</v>
      </c>
      <c r="I375" s="3">
        <f>G375 * J375</f>
        <v>0</v>
      </c>
      <c r="J375" s="3">
        <f>IF(H375="HUF", 1, IFERROR(VLOOKUP(B375&amp;H375, '22_ExchangeRates'!A:E, 5, FALSE), 1))</f>
        <v>0</v>
      </c>
      <c r="K375" t="s">
        <v>1003</v>
      </c>
      <c r="N375" t="s">
        <v>1332</v>
      </c>
      <c r="O375" t="s">
        <v>1497</v>
      </c>
    </row>
    <row r="376" spans="1:15">
      <c r="A376" t="s">
        <v>397</v>
      </c>
      <c r="B376" t="s">
        <v>837</v>
      </c>
      <c r="C376" t="s">
        <v>978</v>
      </c>
      <c r="D376" t="s">
        <v>981</v>
      </c>
      <c r="E376" t="s">
        <v>982</v>
      </c>
      <c r="G376">
        <v>1520</v>
      </c>
      <c r="H376" t="s">
        <v>995</v>
      </c>
      <c r="I376" s="3">
        <f>G376 * J376</f>
        <v>0</v>
      </c>
      <c r="J376" s="3">
        <f>IF(H376="HUF", 1, IFERROR(VLOOKUP(B376&amp;H376, '22_ExchangeRates'!A:E, 5, FALSE), 1))</f>
        <v>0</v>
      </c>
      <c r="K376" t="s">
        <v>1003</v>
      </c>
      <c r="N376" t="s">
        <v>1333</v>
      </c>
      <c r="O376" t="s">
        <v>1497</v>
      </c>
    </row>
    <row r="377" spans="1:15">
      <c r="A377" t="s">
        <v>398</v>
      </c>
      <c r="B377" t="s">
        <v>838</v>
      </c>
      <c r="C377" t="s">
        <v>978</v>
      </c>
      <c r="D377" t="s">
        <v>981</v>
      </c>
      <c r="E377" t="s">
        <v>982</v>
      </c>
      <c r="G377">
        <v>1890</v>
      </c>
      <c r="H377" t="s">
        <v>995</v>
      </c>
      <c r="I377" s="3">
        <f>G377 * J377</f>
        <v>0</v>
      </c>
      <c r="J377" s="3">
        <f>IF(H377="HUF", 1, IFERROR(VLOOKUP(B377&amp;H377, '22_ExchangeRates'!A:E, 5, FALSE), 1))</f>
        <v>0</v>
      </c>
      <c r="K377" t="s">
        <v>1001</v>
      </c>
      <c r="N377" t="s">
        <v>1202</v>
      </c>
      <c r="O377" t="s">
        <v>1497</v>
      </c>
    </row>
    <row r="378" spans="1:15">
      <c r="A378" t="s">
        <v>399</v>
      </c>
      <c r="B378" t="s">
        <v>839</v>
      </c>
      <c r="C378" t="s">
        <v>980</v>
      </c>
      <c r="D378" t="s">
        <v>981</v>
      </c>
      <c r="E378" t="s">
        <v>982</v>
      </c>
      <c r="F378" t="s">
        <v>994</v>
      </c>
      <c r="G378">
        <v>70000</v>
      </c>
      <c r="H378" t="s">
        <v>995</v>
      </c>
      <c r="I378" s="3">
        <f>G378 * J378</f>
        <v>0</v>
      </c>
      <c r="J378" s="3">
        <f>IF(H378="HUF", 1, IFERROR(VLOOKUP(B378&amp;H378, '22_ExchangeRates'!A:E, 5, FALSE), 1))</f>
        <v>0</v>
      </c>
      <c r="O378" t="s">
        <v>1497</v>
      </c>
    </row>
    <row r="379" spans="1:15">
      <c r="A379" t="s">
        <v>400</v>
      </c>
      <c r="B379" t="s">
        <v>839</v>
      </c>
      <c r="C379" t="s">
        <v>978</v>
      </c>
      <c r="D379" t="s">
        <v>981</v>
      </c>
      <c r="E379" t="s">
        <v>982</v>
      </c>
      <c r="G379">
        <v>350</v>
      </c>
      <c r="H379" t="s">
        <v>995</v>
      </c>
      <c r="I379" s="3">
        <f>G379 * J379</f>
        <v>0</v>
      </c>
      <c r="J379" s="3">
        <f>IF(H379="HUF", 1, IFERROR(VLOOKUP(B379&amp;H379, '22_ExchangeRates'!A:E, 5, FALSE), 1))</f>
        <v>0</v>
      </c>
      <c r="K379" t="s">
        <v>1006</v>
      </c>
      <c r="N379" t="s">
        <v>1257</v>
      </c>
      <c r="O379" t="s">
        <v>1497</v>
      </c>
    </row>
    <row r="380" spans="1:15">
      <c r="A380" t="s">
        <v>401</v>
      </c>
      <c r="B380" t="s">
        <v>840</v>
      </c>
      <c r="C380" t="s">
        <v>979</v>
      </c>
      <c r="D380" t="s">
        <v>981</v>
      </c>
      <c r="E380" t="s">
        <v>982</v>
      </c>
      <c r="G380">
        <v>76600</v>
      </c>
      <c r="H380" t="s">
        <v>995</v>
      </c>
      <c r="I380" s="3">
        <f>G380 * J380</f>
        <v>0</v>
      </c>
      <c r="J380" s="3">
        <f>IF(H380="HUF", 1, IFERROR(VLOOKUP(B380&amp;H380, '22_ExchangeRates'!A:E, 5, FALSE), 1))</f>
        <v>0</v>
      </c>
      <c r="K380" t="s">
        <v>1008</v>
      </c>
      <c r="O380" t="s">
        <v>1497</v>
      </c>
    </row>
    <row r="381" spans="1:15">
      <c r="A381" t="s">
        <v>402</v>
      </c>
      <c r="B381" t="s">
        <v>841</v>
      </c>
      <c r="C381" t="s">
        <v>978</v>
      </c>
      <c r="D381" t="s">
        <v>981</v>
      </c>
      <c r="E381" t="s">
        <v>983</v>
      </c>
      <c r="G381">
        <v>2500</v>
      </c>
      <c r="H381" t="s">
        <v>995</v>
      </c>
      <c r="I381" s="3">
        <f>G381 * J381</f>
        <v>0</v>
      </c>
      <c r="J381" s="3">
        <f>IF(H381="HUF", 1, IFERROR(VLOOKUP(B381&amp;H381, '22_ExchangeRates'!A:E, 5, FALSE), 1))</f>
        <v>0</v>
      </c>
      <c r="K381" t="s">
        <v>1005</v>
      </c>
      <c r="N381" t="s">
        <v>1334</v>
      </c>
      <c r="O381" t="s">
        <v>1497</v>
      </c>
    </row>
    <row r="382" spans="1:15">
      <c r="A382" t="s">
        <v>403</v>
      </c>
      <c r="B382" t="s">
        <v>842</v>
      </c>
      <c r="C382" t="s">
        <v>978</v>
      </c>
      <c r="D382" t="s">
        <v>981</v>
      </c>
      <c r="E382" t="s">
        <v>982</v>
      </c>
      <c r="G382">
        <v>4100</v>
      </c>
      <c r="H382" t="s">
        <v>995</v>
      </c>
      <c r="I382" s="3">
        <f>G382 * J382</f>
        <v>0</v>
      </c>
      <c r="J382" s="3">
        <f>IF(H382="HUF", 1, IFERROR(VLOOKUP(B382&amp;H382, '22_ExchangeRates'!A:E, 5, FALSE), 1))</f>
        <v>0</v>
      </c>
      <c r="K382" t="s">
        <v>1000</v>
      </c>
      <c r="N382" t="s">
        <v>1335</v>
      </c>
      <c r="O382" t="s">
        <v>1497</v>
      </c>
    </row>
    <row r="383" spans="1:15">
      <c r="A383" t="s">
        <v>404</v>
      </c>
      <c r="B383" t="s">
        <v>842</v>
      </c>
      <c r="C383" t="s">
        <v>978</v>
      </c>
      <c r="D383" t="s">
        <v>981</v>
      </c>
      <c r="E383" t="s">
        <v>982</v>
      </c>
      <c r="G383">
        <v>4725</v>
      </c>
      <c r="H383" t="s">
        <v>995</v>
      </c>
      <c r="I383" s="3">
        <f>G383 * J383</f>
        <v>0</v>
      </c>
      <c r="J383" s="3">
        <f>IF(H383="HUF", 1, IFERROR(VLOOKUP(B383&amp;H383, '22_ExchangeRates'!A:E, 5, FALSE), 1))</f>
        <v>0</v>
      </c>
      <c r="K383" t="s">
        <v>1000</v>
      </c>
      <c r="N383" t="s">
        <v>1336</v>
      </c>
      <c r="O383" t="s">
        <v>1497</v>
      </c>
    </row>
    <row r="384" spans="1:15">
      <c r="A384" t="s">
        <v>405</v>
      </c>
      <c r="B384" t="s">
        <v>842</v>
      </c>
      <c r="C384" t="s">
        <v>978</v>
      </c>
      <c r="D384" t="s">
        <v>981</v>
      </c>
      <c r="E384" t="s">
        <v>982</v>
      </c>
      <c r="G384">
        <v>4725</v>
      </c>
      <c r="H384" t="s">
        <v>995</v>
      </c>
      <c r="I384" s="3">
        <f>G384 * J384</f>
        <v>0</v>
      </c>
      <c r="J384" s="3">
        <f>IF(H384="HUF", 1, IFERROR(VLOOKUP(B384&amp;H384, '22_ExchangeRates'!A:E, 5, FALSE), 1))</f>
        <v>0</v>
      </c>
      <c r="K384" t="s">
        <v>1003</v>
      </c>
      <c r="N384" t="s">
        <v>1111</v>
      </c>
      <c r="O384" t="s">
        <v>1497</v>
      </c>
    </row>
    <row r="385" spans="1:15">
      <c r="A385" t="s">
        <v>406</v>
      </c>
      <c r="B385" t="s">
        <v>843</v>
      </c>
      <c r="C385" t="s">
        <v>978</v>
      </c>
      <c r="D385" t="s">
        <v>981</v>
      </c>
      <c r="E385" t="s">
        <v>982</v>
      </c>
      <c r="G385">
        <v>500</v>
      </c>
      <c r="H385" t="s">
        <v>995</v>
      </c>
      <c r="I385" s="3">
        <f>G385 * J385</f>
        <v>0</v>
      </c>
      <c r="J385" s="3">
        <f>IF(H385="HUF", 1, IFERROR(VLOOKUP(B385&amp;H385, '22_ExchangeRates'!A:E, 5, FALSE), 1))</f>
        <v>0</v>
      </c>
      <c r="K385" t="s">
        <v>1001</v>
      </c>
      <c r="N385" t="s">
        <v>1089</v>
      </c>
      <c r="O385" t="s">
        <v>1497</v>
      </c>
    </row>
    <row r="386" spans="1:15">
      <c r="A386" t="s">
        <v>407</v>
      </c>
      <c r="B386" t="s">
        <v>843</v>
      </c>
      <c r="C386" t="s">
        <v>978</v>
      </c>
      <c r="D386" t="s">
        <v>981</v>
      </c>
      <c r="E386" t="s">
        <v>982</v>
      </c>
      <c r="G386">
        <v>1890</v>
      </c>
      <c r="H386" t="s">
        <v>995</v>
      </c>
      <c r="I386" s="3">
        <f>G386 * J386</f>
        <v>0</v>
      </c>
      <c r="J386" s="3">
        <f>IF(H386="HUF", 1, IFERROR(VLOOKUP(B386&amp;H386, '22_ExchangeRates'!A:E, 5, FALSE), 1))</f>
        <v>0</v>
      </c>
      <c r="K386" t="s">
        <v>1001</v>
      </c>
      <c r="N386" t="s">
        <v>1202</v>
      </c>
      <c r="O386" t="s">
        <v>1497</v>
      </c>
    </row>
    <row r="387" spans="1:15">
      <c r="A387" t="s">
        <v>408</v>
      </c>
      <c r="B387" t="s">
        <v>844</v>
      </c>
      <c r="C387" t="s">
        <v>978</v>
      </c>
      <c r="D387" t="s">
        <v>981</v>
      </c>
      <c r="E387" t="s">
        <v>982</v>
      </c>
      <c r="G387">
        <v>1749</v>
      </c>
      <c r="H387" t="s">
        <v>995</v>
      </c>
      <c r="I387" s="3">
        <f>G387 * J387</f>
        <v>0</v>
      </c>
      <c r="J387" s="3">
        <f>IF(H387="HUF", 1, IFERROR(VLOOKUP(B387&amp;H387, '22_ExchangeRates'!A:E, 5, FALSE), 1))</f>
        <v>0</v>
      </c>
      <c r="K387" t="s">
        <v>1005</v>
      </c>
      <c r="N387" t="s">
        <v>1029</v>
      </c>
      <c r="O387" t="s">
        <v>1497</v>
      </c>
    </row>
    <row r="388" spans="1:15">
      <c r="A388" t="s">
        <v>409</v>
      </c>
      <c r="B388" t="s">
        <v>845</v>
      </c>
      <c r="C388" t="s">
        <v>979</v>
      </c>
      <c r="D388" t="s">
        <v>981</v>
      </c>
      <c r="E388" t="s">
        <v>983</v>
      </c>
      <c r="G388">
        <v>40000</v>
      </c>
      <c r="H388" t="s">
        <v>995</v>
      </c>
      <c r="I388" s="3">
        <f>G388 * J388</f>
        <v>0</v>
      </c>
      <c r="J388" s="3">
        <f>IF(H388="HUF", 1, IFERROR(VLOOKUP(B388&amp;H388, '22_ExchangeRates'!A:E, 5, FALSE), 1))</f>
        <v>0</v>
      </c>
      <c r="K388" t="s">
        <v>1000</v>
      </c>
      <c r="N388" t="s">
        <v>1337</v>
      </c>
      <c r="O388" t="s">
        <v>1497</v>
      </c>
    </row>
    <row r="389" spans="1:15">
      <c r="A389" t="s">
        <v>410</v>
      </c>
      <c r="B389" t="s">
        <v>846</v>
      </c>
      <c r="C389" t="s">
        <v>978</v>
      </c>
      <c r="D389" t="s">
        <v>981</v>
      </c>
      <c r="E389" t="s">
        <v>982</v>
      </c>
      <c r="G389">
        <v>350</v>
      </c>
      <c r="H389" t="s">
        <v>995</v>
      </c>
      <c r="I389" s="3">
        <f>G389 * J389</f>
        <v>0</v>
      </c>
      <c r="J389" s="3">
        <f>IF(H389="HUF", 1, IFERROR(VLOOKUP(B389&amp;H389, '22_ExchangeRates'!A:E, 5, FALSE), 1))</f>
        <v>0</v>
      </c>
      <c r="K389" t="s">
        <v>1001</v>
      </c>
      <c r="N389" t="s">
        <v>1338</v>
      </c>
      <c r="O389" t="s">
        <v>1497</v>
      </c>
    </row>
    <row r="390" spans="1:15">
      <c r="A390" t="s">
        <v>411</v>
      </c>
      <c r="B390" t="s">
        <v>847</v>
      </c>
      <c r="C390" t="s">
        <v>978</v>
      </c>
      <c r="D390" t="s">
        <v>981</v>
      </c>
      <c r="E390" t="s">
        <v>982</v>
      </c>
      <c r="G390">
        <v>3343</v>
      </c>
      <c r="H390" t="s">
        <v>995</v>
      </c>
      <c r="I390" s="3">
        <f>G390 * J390</f>
        <v>0</v>
      </c>
      <c r="J390" s="3">
        <f>IF(H390="HUF", 1, IFERROR(VLOOKUP(B390&amp;H390, '22_ExchangeRates'!A:E, 5, FALSE), 1))</f>
        <v>0</v>
      </c>
      <c r="K390" t="s">
        <v>1001</v>
      </c>
      <c r="N390" t="s">
        <v>1339</v>
      </c>
      <c r="O390" t="s">
        <v>1497</v>
      </c>
    </row>
    <row r="391" spans="1:15">
      <c r="A391" t="s">
        <v>412</v>
      </c>
      <c r="B391" t="s">
        <v>848</v>
      </c>
      <c r="C391" t="s">
        <v>978</v>
      </c>
      <c r="D391" t="s">
        <v>981</v>
      </c>
      <c r="E391" t="s">
        <v>982</v>
      </c>
      <c r="G391">
        <v>350</v>
      </c>
      <c r="H391" t="s">
        <v>995</v>
      </c>
      <c r="I391" s="3">
        <f>G391 * J391</f>
        <v>0</v>
      </c>
      <c r="J391" s="3">
        <f>IF(H391="HUF", 1, IFERROR(VLOOKUP(B391&amp;H391, '22_ExchangeRates'!A:E, 5, FALSE), 1))</f>
        <v>0</v>
      </c>
      <c r="K391" t="s">
        <v>1006</v>
      </c>
      <c r="N391" t="s">
        <v>1257</v>
      </c>
      <c r="O391" t="s">
        <v>1497</v>
      </c>
    </row>
    <row r="392" spans="1:15">
      <c r="A392" t="s">
        <v>413</v>
      </c>
      <c r="B392" t="s">
        <v>848</v>
      </c>
      <c r="C392" t="s">
        <v>978</v>
      </c>
      <c r="D392" t="s">
        <v>981</v>
      </c>
      <c r="E392" t="s">
        <v>982</v>
      </c>
      <c r="G392">
        <v>19900</v>
      </c>
      <c r="H392" t="s">
        <v>995</v>
      </c>
      <c r="I392" s="3">
        <f>G392 * J392</f>
        <v>0</v>
      </c>
      <c r="J392" s="3">
        <f>IF(H392="HUF", 1, IFERROR(VLOOKUP(B392&amp;H392, '22_ExchangeRates'!A:E, 5, FALSE), 1))</f>
        <v>0</v>
      </c>
      <c r="K392" t="s">
        <v>1006</v>
      </c>
      <c r="N392" t="s">
        <v>1340</v>
      </c>
      <c r="O392" t="s">
        <v>1497</v>
      </c>
    </row>
    <row r="393" spans="1:15">
      <c r="A393" t="s">
        <v>414</v>
      </c>
      <c r="B393" t="s">
        <v>848</v>
      </c>
      <c r="C393" t="s">
        <v>980</v>
      </c>
      <c r="D393" t="s">
        <v>981</v>
      </c>
      <c r="E393" t="s">
        <v>982</v>
      </c>
      <c r="F393" t="s">
        <v>994</v>
      </c>
      <c r="G393">
        <v>70000</v>
      </c>
      <c r="H393" t="s">
        <v>995</v>
      </c>
      <c r="I393" s="3">
        <f>G393 * J393</f>
        <v>0</v>
      </c>
      <c r="J393" s="3">
        <f>IF(H393="HUF", 1, IFERROR(VLOOKUP(B393&amp;H393, '22_ExchangeRates'!A:E, 5, FALSE), 1))</f>
        <v>0</v>
      </c>
      <c r="O393" t="s">
        <v>1497</v>
      </c>
    </row>
    <row r="394" spans="1:15">
      <c r="A394" t="s">
        <v>415</v>
      </c>
      <c r="B394" t="s">
        <v>849</v>
      </c>
      <c r="C394" t="s">
        <v>978</v>
      </c>
      <c r="D394" t="s">
        <v>981</v>
      </c>
      <c r="E394" t="s">
        <v>982</v>
      </c>
      <c r="G394">
        <v>2720</v>
      </c>
      <c r="H394" t="s">
        <v>995</v>
      </c>
      <c r="I394" s="3">
        <f>G394 * J394</f>
        <v>0</v>
      </c>
      <c r="J394" s="3">
        <f>IF(H394="HUF", 1, IFERROR(VLOOKUP(B394&amp;H394, '22_ExchangeRates'!A:E, 5, FALSE), 1))</f>
        <v>0</v>
      </c>
      <c r="K394" t="s">
        <v>1003</v>
      </c>
      <c r="N394" t="s">
        <v>1341</v>
      </c>
      <c r="O394" t="s">
        <v>1497</v>
      </c>
    </row>
    <row r="395" spans="1:15">
      <c r="A395" t="s">
        <v>416</v>
      </c>
      <c r="B395" t="s">
        <v>849</v>
      </c>
      <c r="C395" t="s">
        <v>978</v>
      </c>
      <c r="D395" t="s">
        <v>981</v>
      </c>
      <c r="E395" t="s">
        <v>982</v>
      </c>
      <c r="G395">
        <v>2720</v>
      </c>
      <c r="H395" t="s">
        <v>995</v>
      </c>
      <c r="I395" s="3">
        <f>G395 * J395</f>
        <v>0</v>
      </c>
      <c r="J395" s="3">
        <f>IF(H395="HUF", 1, IFERROR(VLOOKUP(B395&amp;H395, '22_ExchangeRates'!A:E, 5, FALSE), 1))</f>
        <v>0</v>
      </c>
      <c r="K395" t="s">
        <v>1000</v>
      </c>
      <c r="N395" t="s">
        <v>1342</v>
      </c>
      <c r="O395" t="s">
        <v>1497</v>
      </c>
    </row>
    <row r="396" spans="1:15">
      <c r="A396" t="s">
        <v>417</v>
      </c>
      <c r="B396" t="s">
        <v>850</v>
      </c>
      <c r="C396" t="s">
        <v>978</v>
      </c>
      <c r="D396" t="s">
        <v>981</v>
      </c>
      <c r="E396" t="s">
        <v>982</v>
      </c>
      <c r="G396">
        <v>9401</v>
      </c>
      <c r="H396" t="s">
        <v>995</v>
      </c>
      <c r="I396" s="3">
        <f>G396 * J396</f>
        <v>0</v>
      </c>
      <c r="J396" s="3">
        <f>IF(H396="HUF", 1, IFERROR(VLOOKUP(B396&amp;H396, '22_ExchangeRates'!A:E, 5, FALSE), 1))</f>
        <v>0</v>
      </c>
      <c r="K396" t="s">
        <v>1003</v>
      </c>
      <c r="N396" t="s">
        <v>1343</v>
      </c>
      <c r="O396" t="s">
        <v>1497</v>
      </c>
    </row>
    <row r="397" spans="1:15">
      <c r="A397" t="s">
        <v>418</v>
      </c>
      <c r="B397" t="s">
        <v>851</v>
      </c>
      <c r="C397" t="s">
        <v>978</v>
      </c>
      <c r="D397" t="s">
        <v>981</v>
      </c>
      <c r="E397" t="s">
        <v>982</v>
      </c>
      <c r="G397">
        <v>1425</v>
      </c>
      <c r="H397" t="s">
        <v>995</v>
      </c>
      <c r="I397" s="3">
        <f>G397 * J397</f>
        <v>0</v>
      </c>
      <c r="J397" s="3">
        <f>IF(H397="HUF", 1, IFERROR(VLOOKUP(B397&amp;H397, '22_ExchangeRates'!A:E, 5, FALSE), 1))</f>
        <v>0</v>
      </c>
      <c r="K397" t="s">
        <v>1001</v>
      </c>
      <c r="N397" t="s">
        <v>1344</v>
      </c>
      <c r="O397" t="s">
        <v>1497</v>
      </c>
    </row>
    <row r="398" spans="1:15">
      <c r="A398" t="s">
        <v>419</v>
      </c>
      <c r="B398" t="s">
        <v>852</v>
      </c>
      <c r="C398" t="s">
        <v>978</v>
      </c>
      <c r="D398" t="s">
        <v>981</v>
      </c>
      <c r="E398" t="s">
        <v>982</v>
      </c>
      <c r="G398">
        <v>500</v>
      </c>
      <c r="H398" t="s">
        <v>995</v>
      </c>
      <c r="I398" s="3">
        <f>G398 * J398</f>
        <v>0</v>
      </c>
      <c r="J398" s="3">
        <f>IF(H398="HUF", 1, IFERROR(VLOOKUP(B398&amp;H398, '22_ExchangeRates'!A:E, 5, FALSE), 1))</f>
        <v>0</v>
      </c>
      <c r="K398" t="s">
        <v>1001</v>
      </c>
      <c r="N398" t="s">
        <v>1345</v>
      </c>
      <c r="O398" t="s">
        <v>1497</v>
      </c>
    </row>
    <row r="399" spans="1:15">
      <c r="A399" t="s">
        <v>420</v>
      </c>
      <c r="B399" t="s">
        <v>853</v>
      </c>
      <c r="C399" t="s">
        <v>978</v>
      </c>
      <c r="D399" t="s">
        <v>981</v>
      </c>
      <c r="E399" t="s">
        <v>982</v>
      </c>
      <c r="G399">
        <v>750</v>
      </c>
      <c r="H399" t="s">
        <v>995</v>
      </c>
      <c r="I399" s="3">
        <f>G399 * J399</f>
        <v>0</v>
      </c>
      <c r="J399" s="3">
        <f>IF(H399="HUF", 1, IFERROR(VLOOKUP(B399&amp;H399, '22_ExchangeRates'!A:E, 5, FALSE), 1))</f>
        <v>0</v>
      </c>
      <c r="K399" t="s">
        <v>1002</v>
      </c>
      <c r="N399" t="s">
        <v>1346</v>
      </c>
      <c r="O399" t="s">
        <v>1497</v>
      </c>
    </row>
    <row r="400" spans="1:15">
      <c r="A400" t="s">
        <v>421</v>
      </c>
      <c r="B400" t="s">
        <v>853</v>
      </c>
      <c r="C400" t="s">
        <v>978</v>
      </c>
      <c r="D400" t="s">
        <v>981</v>
      </c>
      <c r="E400" t="s">
        <v>982</v>
      </c>
      <c r="G400">
        <v>540</v>
      </c>
      <c r="H400" t="s">
        <v>995</v>
      </c>
      <c r="I400" s="3">
        <f>G400 * J400</f>
        <v>0</v>
      </c>
      <c r="J400" s="3">
        <f>IF(H400="HUF", 1, IFERROR(VLOOKUP(B400&amp;H400, '22_ExchangeRates'!A:E, 5, FALSE), 1))</f>
        <v>0</v>
      </c>
      <c r="K400" t="s">
        <v>1006</v>
      </c>
      <c r="N400" t="s">
        <v>1347</v>
      </c>
      <c r="O400" t="s">
        <v>1497</v>
      </c>
    </row>
    <row r="401" spans="1:15">
      <c r="A401" t="s">
        <v>422</v>
      </c>
      <c r="B401" t="s">
        <v>854</v>
      </c>
      <c r="C401" t="s">
        <v>978</v>
      </c>
      <c r="D401" t="s">
        <v>981</v>
      </c>
      <c r="E401" t="s">
        <v>982</v>
      </c>
      <c r="G401">
        <v>5000</v>
      </c>
      <c r="H401" t="s">
        <v>995</v>
      </c>
      <c r="I401" s="3">
        <f>G401 * J401</f>
        <v>0</v>
      </c>
      <c r="J401" s="3">
        <f>IF(H401="HUF", 1, IFERROR(VLOOKUP(B401&amp;H401, '22_ExchangeRates'!A:E, 5, FALSE), 1))</f>
        <v>0</v>
      </c>
      <c r="K401" t="s">
        <v>1002</v>
      </c>
      <c r="N401" t="s">
        <v>1348</v>
      </c>
      <c r="O401" t="s">
        <v>1497</v>
      </c>
    </row>
    <row r="402" spans="1:15">
      <c r="A402" t="s">
        <v>423</v>
      </c>
      <c r="B402" t="s">
        <v>854</v>
      </c>
      <c r="C402" t="s">
        <v>978</v>
      </c>
      <c r="D402" t="s">
        <v>981</v>
      </c>
      <c r="E402" t="s">
        <v>982</v>
      </c>
      <c r="G402">
        <v>1890</v>
      </c>
      <c r="H402" t="s">
        <v>995</v>
      </c>
      <c r="I402" s="3">
        <f>G402 * J402</f>
        <v>0</v>
      </c>
      <c r="J402" s="3">
        <f>IF(H402="HUF", 1, IFERROR(VLOOKUP(B402&amp;H402, '22_ExchangeRates'!A:E, 5, FALSE), 1))</f>
        <v>0</v>
      </c>
      <c r="K402" t="s">
        <v>1001</v>
      </c>
      <c r="N402" t="s">
        <v>1202</v>
      </c>
      <c r="O402" t="s">
        <v>1497</v>
      </c>
    </row>
    <row r="403" spans="1:15">
      <c r="A403" t="s">
        <v>424</v>
      </c>
      <c r="B403" t="s">
        <v>855</v>
      </c>
      <c r="C403" t="s">
        <v>978</v>
      </c>
      <c r="D403" t="s">
        <v>981</v>
      </c>
      <c r="E403" t="s">
        <v>983</v>
      </c>
      <c r="G403">
        <v>14670</v>
      </c>
      <c r="H403" t="s">
        <v>995</v>
      </c>
      <c r="I403" s="3">
        <f>G403 * J403</f>
        <v>0</v>
      </c>
      <c r="J403" s="3">
        <f>IF(H403="HUF", 1, IFERROR(VLOOKUP(B403&amp;H403, '22_ExchangeRates'!A:E, 5, FALSE), 1))</f>
        <v>0</v>
      </c>
      <c r="K403" t="s">
        <v>1003</v>
      </c>
      <c r="N403" t="s">
        <v>1349</v>
      </c>
      <c r="O403" t="s">
        <v>1497</v>
      </c>
    </row>
    <row r="404" spans="1:15">
      <c r="A404" t="s">
        <v>425</v>
      </c>
      <c r="B404" t="s">
        <v>855</v>
      </c>
      <c r="C404" t="s">
        <v>978</v>
      </c>
      <c r="D404" t="s">
        <v>981</v>
      </c>
      <c r="E404" t="s">
        <v>983</v>
      </c>
      <c r="G404">
        <v>800</v>
      </c>
      <c r="H404" t="s">
        <v>995</v>
      </c>
      <c r="I404" s="3">
        <f>G404 * J404</f>
        <v>0</v>
      </c>
      <c r="J404" s="3">
        <f>IF(H404="HUF", 1, IFERROR(VLOOKUP(B404&amp;H404, '22_ExchangeRates'!A:E, 5, FALSE), 1))</f>
        <v>0</v>
      </c>
      <c r="K404" t="s">
        <v>1003</v>
      </c>
      <c r="N404" t="s">
        <v>1350</v>
      </c>
      <c r="O404" t="s">
        <v>1497</v>
      </c>
    </row>
    <row r="405" spans="1:15">
      <c r="A405" t="s">
        <v>426</v>
      </c>
      <c r="B405" t="s">
        <v>855</v>
      </c>
      <c r="C405" t="s">
        <v>978</v>
      </c>
      <c r="D405" t="s">
        <v>981</v>
      </c>
      <c r="E405" t="s">
        <v>983</v>
      </c>
      <c r="G405">
        <v>1900</v>
      </c>
      <c r="H405" t="s">
        <v>995</v>
      </c>
      <c r="I405" s="3">
        <f>G405 * J405</f>
        <v>0</v>
      </c>
      <c r="J405" s="3">
        <f>IF(H405="HUF", 1, IFERROR(VLOOKUP(B405&amp;H405, '22_ExchangeRates'!A:E, 5, FALSE), 1))</f>
        <v>0</v>
      </c>
      <c r="K405" t="s">
        <v>1003</v>
      </c>
      <c r="N405" t="s">
        <v>1351</v>
      </c>
      <c r="O405" t="s">
        <v>1497</v>
      </c>
    </row>
    <row r="406" spans="1:15">
      <c r="A406" t="s">
        <v>427</v>
      </c>
      <c r="B406" t="s">
        <v>855</v>
      </c>
      <c r="C406" t="s">
        <v>978</v>
      </c>
      <c r="D406" t="s">
        <v>981</v>
      </c>
      <c r="E406" t="s">
        <v>983</v>
      </c>
      <c r="G406">
        <v>1060</v>
      </c>
      <c r="H406" t="s">
        <v>995</v>
      </c>
      <c r="I406" s="3">
        <f>G406 * J406</f>
        <v>0</v>
      </c>
      <c r="J406" s="3">
        <f>IF(H406="HUF", 1, IFERROR(VLOOKUP(B406&amp;H406, '22_ExchangeRates'!A:E, 5, FALSE), 1))</f>
        <v>0</v>
      </c>
      <c r="K406" t="s">
        <v>1003</v>
      </c>
      <c r="N406" t="s">
        <v>1352</v>
      </c>
      <c r="O406" t="s">
        <v>1497</v>
      </c>
    </row>
    <row r="407" spans="1:15">
      <c r="A407" t="s">
        <v>428</v>
      </c>
      <c r="B407" t="s">
        <v>855</v>
      </c>
      <c r="C407" t="s">
        <v>978</v>
      </c>
      <c r="D407" t="s">
        <v>981</v>
      </c>
      <c r="E407" t="s">
        <v>982</v>
      </c>
      <c r="G407">
        <v>2950</v>
      </c>
      <c r="H407" t="s">
        <v>995</v>
      </c>
      <c r="I407" s="3">
        <f>G407 * J407</f>
        <v>0</v>
      </c>
      <c r="J407" s="3">
        <f>IF(H407="HUF", 1, IFERROR(VLOOKUP(B407&amp;H407, '22_ExchangeRates'!A:E, 5, FALSE), 1))</f>
        <v>0</v>
      </c>
      <c r="K407" t="s">
        <v>1002</v>
      </c>
      <c r="N407" t="s">
        <v>1353</v>
      </c>
      <c r="O407" t="s">
        <v>1497</v>
      </c>
    </row>
    <row r="408" spans="1:15">
      <c r="A408" t="s">
        <v>429</v>
      </c>
      <c r="B408" t="s">
        <v>855</v>
      </c>
      <c r="C408" t="s">
        <v>978</v>
      </c>
      <c r="D408" t="s">
        <v>981</v>
      </c>
      <c r="E408" t="s">
        <v>983</v>
      </c>
      <c r="G408">
        <v>4890</v>
      </c>
      <c r="H408" t="s">
        <v>995</v>
      </c>
      <c r="I408" s="3">
        <f>G408 * J408</f>
        <v>0</v>
      </c>
      <c r="J408" s="3">
        <f>IF(H408="HUF", 1, IFERROR(VLOOKUP(B408&amp;H408, '22_ExchangeRates'!A:E, 5, FALSE), 1))</f>
        <v>0</v>
      </c>
      <c r="K408" t="s">
        <v>1000</v>
      </c>
      <c r="N408" t="s">
        <v>1354</v>
      </c>
      <c r="O408" t="s">
        <v>1497</v>
      </c>
    </row>
    <row r="409" spans="1:15">
      <c r="A409" t="s">
        <v>430</v>
      </c>
      <c r="B409" t="s">
        <v>856</v>
      </c>
      <c r="C409" t="s">
        <v>978</v>
      </c>
      <c r="D409" t="s">
        <v>981</v>
      </c>
      <c r="E409" t="s">
        <v>982</v>
      </c>
      <c r="G409">
        <v>798</v>
      </c>
      <c r="H409" t="s">
        <v>995</v>
      </c>
      <c r="I409" s="3">
        <f>G409 * J409</f>
        <v>0</v>
      </c>
      <c r="J409" s="3">
        <f>IF(H409="HUF", 1, IFERROR(VLOOKUP(B409&amp;H409, '22_ExchangeRates'!A:E, 5, FALSE), 1))</f>
        <v>0</v>
      </c>
      <c r="K409" t="s">
        <v>1006</v>
      </c>
      <c r="N409" t="s">
        <v>1355</v>
      </c>
      <c r="O409" t="s">
        <v>1497</v>
      </c>
    </row>
    <row r="410" spans="1:15">
      <c r="A410" t="s">
        <v>431</v>
      </c>
      <c r="B410" t="s">
        <v>856</v>
      </c>
      <c r="C410" t="s">
        <v>978</v>
      </c>
      <c r="D410" t="s">
        <v>981</v>
      </c>
      <c r="E410" t="s">
        <v>982</v>
      </c>
      <c r="G410">
        <v>420</v>
      </c>
      <c r="H410" t="s">
        <v>995</v>
      </c>
      <c r="I410" s="3">
        <f>G410 * J410</f>
        <v>0</v>
      </c>
      <c r="J410" s="3">
        <f>IF(H410="HUF", 1, IFERROR(VLOOKUP(B410&amp;H410, '22_ExchangeRates'!A:E, 5, FALSE), 1))</f>
        <v>0</v>
      </c>
      <c r="K410" t="s">
        <v>1006</v>
      </c>
      <c r="N410" t="s">
        <v>1257</v>
      </c>
      <c r="O410" t="s">
        <v>1497</v>
      </c>
    </row>
    <row r="411" spans="1:15">
      <c r="A411" t="s">
        <v>432</v>
      </c>
      <c r="B411" t="s">
        <v>856</v>
      </c>
      <c r="C411" t="s">
        <v>980</v>
      </c>
      <c r="D411" t="s">
        <v>981</v>
      </c>
      <c r="E411" t="s">
        <v>982</v>
      </c>
      <c r="F411" t="s">
        <v>994</v>
      </c>
      <c r="G411">
        <v>70000</v>
      </c>
      <c r="H411" t="s">
        <v>995</v>
      </c>
      <c r="I411" s="3">
        <f>G411 * J411</f>
        <v>0</v>
      </c>
      <c r="J411" s="3">
        <f>IF(H411="HUF", 1, IFERROR(VLOOKUP(B411&amp;H411, '22_ExchangeRates'!A:E, 5, FALSE), 1))</f>
        <v>0</v>
      </c>
      <c r="O411" t="s">
        <v>1497</v>
      </c>
    </row>
    <row r="412" spans="1:15">
      <c r="A412" t="s">
        <v>433</v>
      </c>
      <c r="B412" t="s">
        <v>856</v>
      </c>
      <c r="C412" t="s">
        <v>978</v>
      </c>
      <c r="D412" t="s">
        <v>981</v>
      </c>
      <c r="E412" t="s">
        <v>982</v>
      </c>
      <c r="G412">
        <v>883</v>
      </c>
      <c r="H412" t="s">
        <v>995</v>
      </c>
      <c r="I412" s="3">
        <f>G412 * J412</f>
        <v>0</v>
      </c>
      <c r="J412" s="3">
        <f>IF(H412="HUF", 1, IFERROR(VLOOKUP(B412&amp;H412, '22_ExchangeRates'!A:E, 5, FALSE), 1))</f>
        <v>0</v>
      </c>
      <c r="K412" t="s">
        <v>1006</v>
      </c>
      <c r="N412" t="s">
        <v>1355</v>
      </c>
      <c r="O412" t="s">
        <v>1497</v>
      </c>
    </row>
    <row r="413" spans="1:15">
      <c r="A413" t="s">
        <v>434</v>
      </c>
      <c r="B413" t="s">
        <v>857</v>
      </c>
      <c r="C413" t="s">
        <v>979</v>
      </c>
      <c r="D413" t="s">
        <v>981</v>
      </c>
      <c r="E413" t="s">
        <v>983</v>
      </c>
      <c r="G413">
        <v>40000</v>
      </c>
      <c r="H413" t="s">
        <v>995</v>
      </c>
      <c r="I413" s="3">
        <f>G413 * J413</f>
        <v>0</v>
      </c>
      <c r="J413" s="3">
        <f>IF(H413="HUF", 1, IFERROR(VLOOKUP(B413&amp;H413, '22_ExchangeRates'!A:E, 5, FALSE), 1))</f>
        <v>0</v>
      </c>
      <c r="K413" t="s">
        <v>1000</v>
      </c>
      <c r="N413" t="s">
        <v>1356</v>
      </c>
      <c r="O413" t="s">
        <v>1497</v>
      </c>
    </row>
    <row r="414" spans="1:15">
      <c r="A414" t="s">
        <v>435</v>
      </c>
      <c r="B414" t="s">
        <v>858</v>
      </c>
      <c r="C414" t="s">
        <v>978</v>
      </c>
      <c r="D414" t="s">
        <v>981</v>
      </c>
      <c r="E414" t="s">
        <v>983</v>
      </c>
      <c r="G414">
        <v>5000</v>
      </c>
      <c r="H414" t="s">
        <v>995</v>
      </c>
      <c r="I414" s="3">
        <f>G414 * J414</f>
        <v>0</v>
      </c>
      <c r="J414" s="3">
        <f>IF(H414="HUF", 1, IFERROR(VLOOKUP(B414&amp;H414, '22_ExchangeRates'!A:E, 5, FALSE), 1))</f>
        <v>0</v>
      </c>
      <c r="K414" t="s">
        <v>1000</v>
      </c>
      <c r="N414" t="s">
        <v>1357</v>
      </c>
      <c r="O414" t="s">
        <v>1497</v>
      </c>
    </row>
    <row r="415" spans="1:15">
      <c r="A415" t="s">
        <v>436</v>
      </c>
      <c r="B415" t="s">
        <v>859</v>
      </c>
      <c r="C415" t="s">
        <v>978</v>
      </c>
      <c r="D415" t="s">
        <v>981</v>
      </c>
      <c r="E415" t="s">
        <v>983</v>
      </c>
      <c r="G415">
        <v>1500</v>
      </c>
      <c r="H415" t="s">
        <v>995</v>
      </c>
      <c r="I415" s="3">
        <f>G415 * J415</f>
        <v>0</v>
      </c>
      <c r="J415" s="3">
        <f>IF(H415="HUF", 1, IFERROR(VLOOKUP(B415&amp;H415, '22_ExchangeRates'!A:E, 5, FALSE), 1))</f>
        <v>0</v>
      </c>
      <c r="K415" t="s">
        <v>1005</v>
      </c>
      <c r="N415" t="s">
        <v>1358</v>
      </c>
      <c r="O415" t="s">
        <v>1497</v>
      </c>
    </row>
    <row r="416" spans="1:15">
      <c r="A416" t="s">
        <v>437</v>
      </c>
      <c r="B416" t="s">
        <v>859</v>
      </c>
      <c r="C416" t="s">
        <v>978</v>
      </c>
      <c r="D416" t="s">
        <v>981</v>
      </c>
      <c r="E416" t="s">
        <v>983</v>
      </c>
      <c r="G416">
        <v>1500</v>
      </c>
      <c r="H416" t="s">
        <v>995</v>
      </c>
      <c r="I416" s="3">
        <f>G416 * J416</f>
        <v>0</v>
      </c>
      <c r="J416" s="3">
        <f>IF(H416="HUF", 1, IFERROR(VLOOKUP(B416&amp;H416, '22_ExchangeRates'!A:E, 5, FALSE), 1))</f>
        <v>0</v>
      </c>
      <c r="K416" t="s">
        <v>1000</v>
      </c>
      <c r="N416" t="s">
        <v>1359</v>
      </c>
      <c r="O416" t="s">
        <v>1497</v>
      </c>
    </row>
    <row r="417" spans="1:15">
      <c r="A417" t="s">
        <v>438</v>
      </c>
      <c r="B417" t="s">
        <v>859</v>
      </c>
      <c r="C417" t="s">
        <v>978</v>
      </c>
      <c r="D417" t="s">
        <v>981</v>
      </c>
      <c r="E417" t="s">
        <v>982</v>
      </c>
      <c r="G417">
        <v>1000</v>
      </c>
      <c r="H417" t="s">
        <v>995</v>
      </c>
      <c r="I417" s="3">
        <f>G417 * J417</f>
        <v>0</v>
      </c>
      <c r="J417" s="3">
        <f>IF(H417="HUF", 1, IFERROR(VLOOKUP(B417&amp;H417, '22_ExchangeRates'!A:E, 5, FALSE), 1))</f>
        <v>0</v>
      </c>
      <c r="K417" t="s">
        <v>1001</v>
      </c>
      <c r="N417" t="s">
        <v>1360</v>
      </c>
      <c r="O417" t="s">
        <v>1497</v>
      </c>
    </row>
    <row r="418" spans="1:15">
      <c r="A418" t="s">
        <v>439</v>
      </c>
      <c r="B418" t="s">
        <v>859</v>
      </c>
      <c r="C418" t="s">
        <v>979</v>
      </c>
      <c r="D418" t="s">
        <v>981</v>
      </c>
      <c r="E418" t="s">
        <v>983</v>
      </c>
      <c r="G418">
        <v>20000</v>
      </c>
      <c r="H418" t="s">
        <v>995</v>
      </c>
      <c r="I418" s="3">
        <f>G418 * J418</f>
        <v>0</v>
      </c>
      <c r="J418" s="3">
        <f>IF(H418="HUF", 1, IFERROR(VLOOKUP(B418&amp;H418, '22_ExchangeRates'!A:E, 5, FALSE), 1))</f>
        <v>0</v>
      </c>
      <c r="K418" t="s">
        <v>1000</v>
      </c>
      <c r="N418" t="s">
        <v>1361</v>
      </c>
      <c r="O418" t="s">
        <v>1497</v>
      </c>
    </row>
    <row r="419" spans="1:15">
      <c r="A419" t="s">
        <v>440</v>
      </c>
      <c r="B419" t="s">
        <v>859</v>
      </c>
      <c r="C419" t="s">
        <v>979</v>
      </c>
      <c r="D419" t="s">
        <v>981</v>
      </c>
      <c r="E419" t="s">
        <v>983</v>
      </c>
      <c r="G419">
        <v>10000</v>
      </c>
      <c r="H419" t="s">
        <v>995</v>
      </c>
      <c r="I419" s="3">
        <f>G419 * J419</f>
        <v>0</v>
      </c>
      <c r="J419" s="3">
        <f>IF(H419="HUF", 1, IFERROR(VLOOKUP(B419&amp;H419, '22_ExchangeRates'!A:E, 5, FALSE), 1))</f>
        <v>0</v>
      </c>
      <c r="K419" t="s">
        <v>1000</v>
      </c>
      <c r="N419" t="s">
        <v>1362</v>
      </c>
      <c r="O419" t="s">
        <v>1497</v>
      </c>
    </row>
    <row r="420" spans="1:15">
      <c r="A420" t="s">
        <v>441</v>
      </c>
      <c r="B420" t="s">
        <v>860</v>
      </c>
      <c r="C420" t="s">
        <v>978</v>
      </c>
      <c r="D420" t="s">
        <v>981</v>
      </c>
      <c r="E420" t="s">
        <v>982</v>
      </c>
      <c r="G420">
        <v>1000</v>
      </c>
      <c r="H420" t="s">
        <v>995</v>
      </c>
      <c r="I420" s="3">
        <f>G420 * J420</f>
        <v>0</v>
      </c>
      <c r="J420" s="3">
        <f>IF(H420="HUF", 1, IFERROR(VLOOKUP(B420&amp;H420, '22_ExchangeRates'!A:E, 5, FALSE), 1))</f>
        <v>0</v>
      </c>
      <c r="K420" t="s">
        <v>1001</v>
      </c>
      <c r="N420" t="s">
        <v>1363</v>
      </c>
      <c r="O420" t="s">
        <v>1497</v>
      </c>
    </row>
    <row r="421" spans="1:15">
      <c r="A421" t="s">
        <v>442</v>
      </c>
      <c r="B421" t="s">
        <v>861</v>
      </c>
      <c r="C421" t="s">
        <v>980</v>
      </c>
      <c r="D421" t="s">
        <v>981</v>
      </c>
      <c r="E421" t="s">
        <v>982</v>
      </c>
      <c r="F421" t="s">
        <v>994</v>
      </c>
      <c r="G421">
        <v>70000</v>
      </c>
      <c r="H421" t="s">
        <v>995</v>
      </c>
      <c r="I421" s="3">
        <f>G421 * J421</f>
        <v>0</v>
      </c>
      <c r="J421" s="3">
        <f>IF(H421="HUF", 1, IFERROR(VLOOKUP(B421&amp;H421, '22_ExchangeRates'!A:E, 5, FALSE), 1))</f>
        <v>0</v>
      </c>
      <c r="O421" t="s">
        <v>1497</v>
      </c>
    </row>
    <row r="422" spans="1:15">
      <c r="A422" t="s">
        <v>443</v>
      </c>
      <c r="B422" t="s">
        <v>861</v>
      </c>
      <c r="C422" t="s">
        <v>978</v>
      </c>
      <c r="D422" t="s">
        <v>981</v>
      </c>
      <c r="E422" t="s">
        <v>982</v>
      </c>
      <c r="G422">
        <v>420</v>
      </c>
      <c r="H422" t="s">
        <v>995</v>
      </c>
      <c r="I422" s="3">
        <f>G422 * J422</f>
        <v>0</v>
      </c>
      <c r="J422" s="3">
        <f>IF(H422="HUF", 1, IFERROR(VLOOKUP(B422&amp;H422, '22_ExchangeRates'!A:E, 5, FALSE), 1))</f>
        <v>0</v>
      </c>
      <c r="K422" t="s">
        <v>1006</v>
      </c>
      <c r="N422" t="s">
        <v>1257</v>
      </c>
      <c r="O422" t="s">
        <v>1497</v>
      </c>
    </row>
    <row r="423" spans="1:15">
      <c r="A423" t="s">
        <v>444</v>
      </c>
      <c r="B423" t="s">
        <v>862</v>
      </c>
      <c r="C423" t="s">
        <v>978</v>
      </c>
      <c r="D423" t="s">
        <v>981</v>
      </c>
      <c r="E423" t="s">
        <v>983</v>
      </c>
      <c r="G423">
        <v>1200</v>
      </c>
      <c r="H423" t="s">
        <v>995</v>
      </c>
      <c r="I423" s="3">
        <f>G423 * J423</f>
        <v>0</v>
      </c>
      <c r="J423" s="3">
        <f>IF(H423="HUF", 1, IFERROR(VLOOKUP(B423&amp;H423, '22_ExchangeRates'!A:E, 5, FALSE), 1))</f>
        <v>0</v>
      </c>
      <c r="K423" t="s">
        <v>1003</v>
      </c>
      <c r="N423" t="s">
        <v>1364</v>
      </c>
      <c r="O423" t="s">
        <v>1497</v>
      </c>
    </row>
    <row r="424" spans="1:15">
      <c r="A424" t="s">
        <v>445</v>
      </c>
      <c r="B424" t="s">
        <v>862</v>
      </c>
      <c r="C424" t="s">
        <v>978</v>
      </c>
      <c r="D424" t="s">
        <v>981</v>
      </c>
      <c r="E424" t="s">
        <v>983</v>
      </c>
      <c r="G424">
        <v>1200</v>
      </c>
      <c r="H424" t="s">
        <v>995</v>
      </c>
      <c r="I424" s="3">
        <f>G424 * J424</f>
        <v>0</v>
      </c>
      <c r="J424" s="3">
        <f>IF(H424="HUF", 1, IFERROR(VLOOKUP(B424&amp;H424, '22_ExchangeRates'!A:E, 5, FALSE), 1))</f>
        <v>0</v>
      </c>
      <c r="K424" t="s">
        <v>1000</v>
      </c>
      <c r="N424" t="s">
        <v>1364</v>
      </c>
      <c r="O424" t="s">
        <v>1497</v>
      </c>
    </row>
    <row r="425" spans="1:15">
      <c r="A425" t="s">
        <v>446</v>
      </c>
      <c r="B425" t="s">
        <v>863</v>
      </c>
      <c r="C425" t="s">
        <v>978</v>
      </c>
      <c r="D425" t="s">
        <v>981</v>
      </c>
      <c r="E425" t="s">
        <v>982</v>
      </c>
      <c r="G425">
        <v>998</v>
      </c>
      <c r="H425" t="s">
        <v>995</v>
      </c>
      <c r="I425" s="3">
        <f>G425 * J425</f>
        <v>0</v>
      </c>
      <c r="J425" s="3">
        <f>IF(H425="HUF", 1, IFERROR(VLOOKUP(B425&amp;H425, '22_ExchangeRates'!A:E, 5, FALSE), 1))</f>
        <v>0</v>
      </c>
      <c r="K425" t="s">
        <v>1003</v>
      </c>
      <c r="N425" t="s">
        <v>1365</v>
      </c>
      <c r="O425" t="s">
        <v>1497</v>
      </c>
    </row>
    <row r="426" spans="1:15">
      <c r="A426" t="s">
        <v>447</v>
      </c>
      <c r="B426" t="s">
        <v>864</v>
      </c>
      <c r="C426" t="s">
        <v>978</v>
      </c>
      <c r="D426" t="s">
        <v>981</v>
      </c>
      <c r="E426" t="s">
        <v>983</v>
      </c>
      <c r="G426">
        <v>1660</v>
      </c>
      <c r="H426" t="s">
        <v>995</v>
      </c>
      <c r="I426" s="3">
        <f>G426 * J426</f>
        <v>0</v>
      </c>
      <c r="J426" s="3">
        <f>IF(H426="HUF", 1, IFERROR(VLOOKUP(B426&amp;H426, '22_ExchangeRates'!A:E, 5, FALSE), 1))</f>
        <v>0</v>
      </c>
      <c r="K426" t="s">
        <v>1002</v>
      </c>
      <c r="N426" t="s">
        <v>1366</v>
      </c>
      <c r="O426" t="s">
        <v>1497</v>
      </c>
    </row>
    <row r="427" spans="1:15">
      <c r="A427" t="s">
        <v>448</v>
      </c>
      <c r="B427" t="s">
        <v>865</v>
      </c>
      <c r="C427" t="s">
        <v>978</v>
      </c>
      <c r="D427" t="s">
        <v>981</v>
      </c>
      <c r="E427" t="s">
        <v>982</v>
      </c>
      <c r="G427">
        <v>1890</v>
      </c>
      <c r="H427" t="s">
        <v>995</v>
      </c>
      <c r="I427" s="3">
        <f>G427 * J427</f>
        <v>0</v>
      </c>
      <c r="J427" s="3">
        <f>IF(H427="HUF", 1, IFERROR(VLOOKUP(B427&amp;H427, '22_ExchangeRates'!A:E, 5, FALSE), 1))</f>
        <v>0</v>
      </c>
      <c r="K427" t="s">
        <v>1001</v>
      </c>
      <c r="N427" t="s">
        <v>1202</v>
      </c>
      <c r="O427" t="s">
        <v>1497</v>
      </c>
    </row>
    <row r="428" spans="1:15">
      <c r="A428" t="s">
        <v>449</v>
      </c>
      <c r="B428" t="s">
        <v>865</v>
      </c>
      <c r="C428" t="s">
        <v>978</v>
      </c>
      <c r="D428" t="s">
        <v>981</v>
      </c>
      <c r="E428" t="s">
        <v>982</v>
      </c>
      <c r="G428">
        <v>700</v>
      </c>
      <c r="H428" t="s">
        <v>995</v>
      </c>
      <c r="I428" s="3">
        <f>G428 * J428</f>
        <v>0</v>
      </c>
      <c r="J428" s="3">
        <f>IF(H428="HUF", 1, IFERROR(VLOOKUP(B428&amp;H428, '22_ExchangeRates'!A:E, 5, FALSE), 1))</f>
        <v>0</v>
      </c>
      <c r="K428" t="s">
        <v>1003</v>
      </c>
      <c r="N428" t="s">
        <v>1367</v>
      </c>
      <c r="O428" t="s">
        <v>1497</v>
      </c>
    </row>
    <row r="429" spans="1:15">
      <c r="A429" t="s">
        <v>450</v>
      </c>
      <c r="B429" t="s">
        <v>866</v>
      </c>
      <c r="C429" t="s">
        <v>978</v>
      </c>
      <c r="D429" t="s">
        <v>981</v>
      </c>
      <c r="E429" t="s">
        <v>982</v>
      </c>
      <c r="G429">
        <v>2209</v>
      </c>
      <c r="H429" t="s">
        <v>995</v>
      </c>
      <c r="I429" s="3">
        <f>G429 * J429</f>
        <v>0</v>
      </c>
      <c r="J429" s="3">
        <f>IF(H429="HUF", 1, IFERROR(VLOOKUP(B429&amp;H429, '22_ExchangeRates'!A:E, 5, FALSE), 1))</f>
        <v>0</v>
      </c>
      <c r="K429" t="s">
        <v>1005</v>
      </c>
      <c r="N429" t="s">
        <v>1368</v>
      </c>
      <c r="O429" t="s">
        <v>1497</v>
      </c>
    </row>
    <row r="430" spans="1:15">
      <c r="A430" t="s">
        <v>451</v>
      </c>
      <c r="B430" t="s">
        <v>867</v>
      </c>
      <c r="C430" t="s">
        <v>978</v>
      </c>
      <c r="D430" t="s">
        <v>981</v>
      </c>
      <c r="E430" t="s">
        <v>982</v>
      </c>
      <c r="G430">
        <v>220</v>
      </c>
      <c r="H430" t="s">
        <v>995</v>
      </c>
      <c r="I430" s="3">
        <f>G430 * J430</f>
        <v>0</v>
      </c>
      <c r="J430" s="3">
        <f>IF(H430="HUF", 1, IFERROR(VLOOKUP(B430&amp;H430, '22_ExchangeRates'!A:E, 5, FALSE), 1))</f>
        <v>0</v>
      </c>
      <c r="K430" t="s">
        <v>1001</v>
      </c>
      <c r="N430" t="s">
        <v>1093</v>
      </c>
      <c r="O430" t="s">
        <v>1497</v>
      </c>
    </row>
    <row r="431" spans="1:15">
      <c r="A431" t="s">
        <v>452</v>
      </c>
      <c r="B431" t="s">
        <v>868</v>
      </c>
      <c r="C431" t="s">
        <v>978</v>
      </c>
      <c r="D431" t="s">
        <v>981</v>
      </c>
      <c r="E431" t="s">
        <v>982</v>
      </c>
      <c r="G431">
        <v>13150</v>
      </c>
      <c r="H431" t="s">
        <v>995</v>
      </c>
      <c r="I431" s="3">
        <f>G431 * J431</f>
        <v>0</v>
      </c>
      <c r="J431" s="3">
        <f>IF(H431="HUF", 1, IFERROR(VLOOKUP(B431&amp;H431, '22_ExchangeRates'!A:E, 5, FALSE), 1))</f>
        <v>0</v>
      </c>
      <c r="K431" t="s">
        <v>1006</v>
      </c>
      <c r="N431" t="s">
        <v>1369</v>
      </c>
      <c r="O431" t="s">
        <v>1497</v>
      </c>
    </row>
    <row r="432" spans="1:15">
      <c r="A432" t="s">
        <v>453</v>
      </c>
      <c r="B432" t="s">
        <v>868</v>
      </c>
      <c r="C432" t="s">
        <v>978</v>
      </c>
      <c r="D432" t="s">
        <v>981</v>
      </c>
      <c r="E432" t="s">
        <v>982</v>
      </c>
      <c r="G432">
        <v>7490</v>
      </c>
      <c r="H432" t="s">
        <v>995</v>
      </c>
      <c r="I432" s="3">
        <f>G432 * J432</f>
        <v>0</v>
      </c>
      <c r="J432" s="3">
        <f>IF(H432="HUF", 1, IFERROR(VLOOKUP(B432&amp;H432, '22_ExchangeRates'!A:E, 5, FALSE), 1))</f>
        <v>0</v>
      </c>
      <c r="K432" t="s">
        <v>1000</v>
      </c>
      <c r="N432" t="s">
        <v>1370</v>
      </c>
      <c r="O432" t="s">
        <v>1497</v>
      </c>
    </row>
    <row r="433" spans="1:15">
      <c r="A433" t="s">
        <v>454</v>
      </c>
      <c r="B433" t="s">
        <v>868</v>
      </c>
      <c r="C433" t="s">
        <v>978</v>
      </c>
      <c r="D433" t="s">
        <v>981</v>
      </c>
      <c r="E433" t="s">
        <v>983</v>
      </c>
      <c r="G433">
        <v>2000</v>
      </c>
      <c r="H433" t="s">
        <v>995</v>
      </c>
      <c r="I433" s="3">
        <f>G433 * J433</f>
        <v>0</v>
      </c>
      <c r="J433" s="3">
        <f>IF(H433="HUF", 1, IFERROR(VLOOKUP(B433&amp;H433, '22_ExchangeRates'!A:E, 5, FALSE), 1))</f>
        <v>0</v>
      </c>
      <c r="K433" t="s">
        <v>1003</v>
      </c>
      <c r="N433" t="s">
        <v>1371</v>
      </c>
      <c r="O433" t="s">
        <v>1497</v>
      </c>
    </row>
    <row r="434" spans="1:15">
      <c r="A434" t="s">
        <v>455</v>
      </c>
      <c r="B434" t="s">
        <v>868</v>
      </c>
      <c r="C434" t="s">
        <v>978</v>
      </c>
      <c r="D434" t="s">
        <v>981</v>
      </c>
      <c r="E434" t="s">
        <v>983</v>
      </c>
      <c r="G434">
        <v>13149</v>
      </c>
      <c r="H434" t="s">
        <v>995</v>
      </c>
      <c r="I434" s="3">
        <f>G434 * J434</f>
        <v>0</v>
      </c>
      <c r="J434" s="3">
        <f>IF(H434="HUF", 1, IFERROR(VLOOKUP(B434&amp;H434, '22_ExchangeRates'!A:E, 5, FALSE), 1))</f>
        <v>0</v>
      </c>
      <c r="K434" t="s">
        <v>1006</v>
      </c>
      <c r="N434" t="s">
        <v>1372</v>
      </c>
      <c r="O434" t="s">
        <v>1497</v>
      </c>
    </row>
    <row r="435" spans="1:15">
      <c r="A435" t="s">
        <v>456</v>
      </c>
      <c r="B435" t="s">
        <v>868</v>
      </c>
      <c r="C435" t="s">
        <v>978</v>
      </c>
      <c r="D435" t="s">
        <v>981</v>
      </c>
      <c r="E435" t="s">
        <v>982</v>
      </c>
      <c r="G435">
        <v>4500</v>
      </c>
      <c r="H435" t="s">
        <v>995</v>
      </c>
      <c r="I435" s="3">
        <f>G435 * J435</f>
        <v>0</v>
      </c>
      <c r="J435" s="3">
        <f>IF(H435="HUF", 1, IFERROR(VLOOKUP(B435&amp;H435, '22_ExchangeRates'!A:E, 5, FALSE), 1))</f>
        <v>0</v>
      </c>
      <c r="K435" t="s">
        <v>1002</v>
      </c>
      <c r="N435" t="s">
        <v>1373</v>
      </c>
      <c r="O435" t="s">
        <v>1497</v>
      </c>
    </row>
    <row r="436" spans="1:15">
      <c r="A436" t="s">
        <v>457</v>
      </c>
      <c r="B436" t="s">
        <v>869</v>
      </c>
      <c r="C436" t="s">
        <v>978</v>
      </c>
      <c r="D436" t="s">
        <v>981</v>
      </c>
      <c r="E436" t="s">
        <v>982</v>
      </c>
      <c r="G436">
        <v>1660</v>
      </c>
      <c r="H436" t="s">
        <v>995</v>
      </c>
      <c r="I436" s="3">
        <f>G436 * J436</f>
        <v>0</v>
      </c>
      <c r="J436" s="3">
        <f>IF(H436="HUF", 1, IFERROR(VLOOKUP(B436&amp;H436, '22_ExchangeRates'!A:E, 5, FALSE), 1))</f>
        <v>0</v>
      </c>
      <c r="K436" t="s">
        <v>1000</v>
      </c>
      <c r="N436" t="s">
        <v>1374</v>
      </c>
      <c r="O436" t="s">
        <v>1497</v>
      </c>
    </row>
    <row r="437" spans="1:15">
      <c r="A437" t="s">
        <v>458</v>
      </c>
      <c r="B437" t="s">
        <v>870</v>
      </c>
      <c r="C437" t="s">
        <v>978</v>
      </c>
      <c r="D437" t="s">
        <v>981</v>
      </c>
      <c r="E437" t="s">
        <v>982</v>
      </c>
      <c r="G437">
        <v>1890</v>
      </c>
      <c r="H437" t="s">
        <v>995</v>
      </c>
      <c r="I437" s="3">
        <f>G437 * J437</f>
        <v>0</v>
      </c>
      <c r="J437" s="3">
        <f>IF(H437="HUF", 1, IFERROR(VLOOKUP(B437&amp;H437, '22_ExchangeRates'!A:E, 5, FALSE), 1))</f>
        <v>0</v>
      </c>
      <c r="K437" t="s">
        <v>1001</v>
      </c>
      <c r="N437" t="s">
        <v>1202</v>
      </c>
      <c r="O437" t="s">
        <v>1497</v>
      </c>
    </row>
    <row r="438" spans="1:15">
      <c r="A438" t="s">
        <v>459</v>
      </c>
      <c r="B438" t="s">
        <v>871</v>
      </c>
      <c r="C438" t="s">
        <v>978</v>
      </c>
      <c r="D438" t="s">
        <v>981</v>
      </c>
      <c r="E438" t="s">
        <v>982</v>
      </c>
      <c r="G438">
        <v>500</v>
      </c>
      <c r="H438" t="s">
        <v>995</v>
      </c>
      <c r="I438" s="3">
        <f>G438 * J438</f>
        <v>0</v>
      </c>
      <c r="J438" s="3">
        <f>IF(H438="HUF", 1, IFERROR(VLOOKUP(B438&amp;H438, '22_ExchangeRates'!A:E, 5, FALSE), 1))</f>
        <v>0</v>
      </c>
      <c r="K438" t="s">
        <v>1001</v>
      </c>
      <c r="N438" t="s">
        <v>1363</v>
      </c>
      <c r="O438" t="s">
        <v>1497</v>
      </c>
    </row>
    <row r="439" spans="1:15">
      <c r="A439" t="s">
        <v>460</v>
      </c>
      <c r="B439" t="s">
        <v>872</v>
      </c>
      <c r="C439" t="s">
        <v>978</v>
      </c>
      <c r="D439" t="s">
        <v>981</v>
      </c>
      <c r="E439" t="s">
        <v>983</v>
      </c>
      <c r="G439">
        <v>1400</v>
      </c>
      <c r="H439" t="s">
        <v>995</v>
      </c>
      <c r="I439" s="3">
        <f>G439 * J439</f>
        <v>0</v>
      </c>
      <c r="J439" s="3">
        <f>IF(H439="HUF", 1, IFERROR(VLOOKUP(B439&amp;H439, '22_ExchangeRates'!A:E, 5, FALSE), 1))</f>
        <v>0</v>
      </c>
      <c r="K439" t="s">
        <v>1003</v>
      </c>
      <c r="N439" t="s">
        <v>1375</v>
      </c>
      <c r="O439" t="s">
        <v>1497</v>
      </c>
    </row>
    <row r="440" spans="1:15">
      <c r="A440" t="s">
        <v>461</v>
      </c>
      <c r="B440" t="s">
        <v>872</v>
      </c>
      <c r="C440" t="s">
        <v>978</v>
      </c>
      <c r="D440" t="s">
        <v>981</v>
      </c>
      <c r="E440" t="s">
        <v>983</v>
      </c>
      <c r="G440">
        <v>1700</v>
      </c>
      <c r="H440" t="s">
        <v>995</v>
      </c>
      <c r="I440" s="3">
        <f>G440 * J440</f>
        <v>0</v>
      </c>
      <c r="J440" s="3">
        <f>IF(H440="HUF", 1, IFERROR(VLOOKUP(B440&amp;H440, '22_ExchangeRates'!A:E, 5, FALSE), 1))</f>
        <v>0</v>
      </c>
      <c r="K440" t="s">
        <v>1002</v>
      </c>
      <c r="N440" t="s">
        <v>1376</v>
      </c>
      <c r="O440" t="s">
        <v>1497</v>
      </c>
    </row>
    <row r="441" spans="1:15">
      <c r="A441" t="s">
        <v>462</v>
      </c>
      <c r="B441" t="s">
        <v>872</v>
      </c>
      <c r="C441" t="s">
        <v>978</v>
      </c>
      <c r="D441" t="s">
        <v>981</v>
      </c>
      <c r="E441" t="s">
        <v>982</v>
      </c>
      <c r="G441">
        <v>2090</v>
      </c>
      <c r="H441" t="s">
        <v>995</v>
      </c>
      <c r="I441" s="3">
        <f>G441 * J441</f>
        <v>0</v>
      </c>
      <c r="J441" s="3">
        <f>IF(H441="HUF", 1, IFERROR(VLOOKUP(B441&amp;H441, '22_ExchangeRates'!A:E, 5, FALSE), 1))</f>
        <v>0</v>
      </c>
      <c r="K441" t="s">
        <v>1002</v>
      </c>
      <c r="N441" t="s">
        <v>1377</v>
      </c>
      <c r="O441" t="s">
        <v>1497</v>
      </c>
    </row>
    <row r="442" spans="1:15">
      <c r="A442" t="s">
        <v>463</v>
      </c>
      <c r="B442" t="s">
        <v>872</v>
      </c>
      <c r="C442" t="s">
        <v>978</v>
      </c>
      <c r="D442" t="s">
        <v>981</v>
      </c>
      <c r="E442" t="s">
        <v>983</v>
      </c>
      <c r="G442">
        <v>2500</v>
      </c>
      <c r="H442" t="s">
        <v>995</v>
      </c>
      <c r="I442" s="3">
        <f>G442 * J442</f>
        <v>0</v>
      </c>
      <c r="J442" s="3">
        <f>IF(H442="HUF", 1, IFERROR(VLOOKUP(B442&amp;H442, '22_ExchangeRates'!A:E, 5, FALSE), 1))</f>
        <v>0</v>
      </c>
      <c r="K442" t="s">
        <v>1003</v>
      </c>
      <c r="N442" t="s">
        <v>1378</v>
      </c>
      <c r="O442" t="s">
        <v>1497</v>
      </c>
    </row>
    <row r="443" spans="1:15">
      <c r="A443" t="s">
        <v>464</v>
      </c>
      <c r="B443" t="s">
        <v>872</v>
      </c>
      <c r="C443" t="s">
        <v>978</v>
      </c>
      <c r="D443" t="s">
        <v>981</v>
      </c>
      <c r="E443" t="s">
        <v>983</v>
      </c>
      <c r="G443">
        <v>1500</v>
      </c>
      <c r="H443" t="s">
        <v>995</v>
      </c>
      <c r="I443" s="3">
        <f>G443 * J443</f>
        <v>0</v>
      </c>
      <c r="J443" s="3">
        <f>IF(H443="HUF", 1, IFERROR(VLOOKUP(B443&amp;H443, '22_ExchangeRates'!A:E, 5, FALSE), 1))</f>
        <v>0</v>
      </c>
      <c r="K443" t="s">
        <v>1003</v>
      </c>
      <c r="N443" t="s">
        <v>1379</v>
      </c>
      <c r="O443" t="s">
        <v>1497</v>
      </c>
    </row>
    <row r="444" spans="1:15">
      <c r="A444" t="s">
        <v>465</v>
      </c>
      <c r="B444" t="s">
        <v>873</v>
      </c>
      <c r="C444" t="s">
        <v>978</v>
      </c>
      <c r="D444" t="s">
        <v>981</v>
      </c>
      <c r="E444" t="s">
        <v>982</v>
      </c>
      <c r="G444">
        <v>6978</v>
      </c>
      <c r="H444" t="s">
        <v>995</v>
      </c>
      <c r="I444" s="3">
        <f>G444 * J444</f>
        <v>0</v>
      </c>
      <c r="J444" s="3">
        <f>IF(H444="HUF", 1, IFERROR(VLOOKUP(B444&amp;H444, '22_ExchangeRates'!A:E, 5, FALSE), 1))</f>
        <v>0</v>
      </c>
      <c r="K444" t="s">
        <v>1000</v>
      </c>
      <c r="N444" t="s">
        <v>1380</v>
      </c>
      <c r="O444" t="s">
        <v>1497</v>
      </c>
    </row>
    <row r="445" spans="1:15">
      <c r="A445" t="s">
        <v>466</v>
      </c>
      <c r="B445" t="s">
        <v>874</v>
      </c>
      <c r="C445" t="s">
        <v>978</v>
      </c>
      <c r="D445" t="s">
        <v>981</v>
      </c>
      <c r="E445" t="s">
        <v>982</v>
      </c>
      <c r="G445">
        <v>1500</v>
      </c>
      <c r="H445" t="s">
        <v>995</v>
      </c>
      <c r="I445" s="3">
        <f>G445 * J445</f>
        <v>0</v>
      </c>
      <c r="J445" s="3">
        <f>IF(H445="HUF", 1, IFERROR(VLOOKUP(B445&amp;H445, '22_ExchangeRates'!A:E, 5, FALSE), 1))</f>
        <v>0</v>
      </c>
      <c r="K445" t="s">
        <v>1000</v>
      </c>
      <c r="N445" t="s">
        <v>1381</v>
      </c>
      <c r="O445" t="s">
        <v>1497</v>
      </c>
    </row>
    <row r="446" spans="1:15">
      <c r="A446" t="s">
        <v>467</v>
      </c>
      <c r="B446" t="s">
        <v>875</v>
      </c>
      <c r="C446" t="s">
        <v>979</v>
      </c>
      <c r="D446" t="s">
        <v>981</v>
      </c>
      <c r="E446" t="s">
        <v>983</v>
      </c>
      <c r="G446">
        <v>50000</v>
      </c>
      <c r="H446" t="s">
        <v>995</v>
      </c>
      <c r="I446" s="3">
        <f>G446 * J446</f>
        <v>0</v>
      </c>
      <c r="J446" s="3">
        <f>IF(H446="HUF", 1, IFERROR(VLOOKUP(B446&amp;H446, '22_ExchangeRates'!A:E, 5, FALSE), 1))</f>
        <v>0</v>
      </c>
      <c r="K446" t="s">
        <v>1000</v>
      </c>
      <c r="N446" t="s">
        <v>1382</v>
      </c>
      <c r="O446" t="s">
        <v>1497</v>
      </c>
    </row>
    <row r="447" spans="1:15">
      <c r="A447" t="s">
        <v>468</v>
      </c>
      <c r="B447" t="s">
        <v>876</v>
      </c>
      <c r="C447" t="s">
        <v>979</v>
      </c>
      <c r="D447" t="s">
        <v>981</v>
      </c>
      <c r="E447" t="s">
        <v>983</v>
      </c>
      <c r="G447">
        <v>40000</v>
      </c>
      <c r="H447" t="s">
        <v>995</v>
      </c>
      <c r="I447" s="3">
        <f>G447 * J447</f>
        <v>0</v>
      </c>
      <c r="J447" s="3">
        <f>IF(H447="HUF", 1, IFERROR(VLOOKUP(B447&amp;H447, '22_ExchangeRates'!A:E, 5, FALSE), 1))</f>
        <v>0</v>
      </c>
      <c r="K447" t="s">
        <v>1000</v>
      </c>
      <c r="N447" t="s">
        <v>1231</v>
      </c>
      <c r="O447" t="s">
        <v>1497</v>
      </c>
    </row>
    <row r="448" spans="1:15">
      <c r="A448" t="s">
        <v>469</v>
      </c>
      <c r="B448" t="s">
        <v>876</v>
      </c>
      <c r="C448" t="s">
        <v>978</v>
      </c>
      <c r="D448" t="s">
        <v>981</v>
      </c>
      <c r="E448" t="s">
        <v>983</v>
      </c>
      <c r="G448">
        <v>3200</v>
      </c>
      <c r="H448" t="s">
        <v>995</v>
      </c>
      <c r="I448" s="3">
        <f>G448 * J448</f>
        <v>0</v>
      </c>
      <c r="J448" s="3">
        <f>IF(H448="HUF", 1, IFERROR(VLOOKUP(B448&amp;H448, '22_ExchangeRates'!A:E, 5, FALSE), 1))</f>
        <v>0</v>
      </c>
      <c r="K448" t="s">
        <v>1002</v>
      </c>
      <c r="N448" t="s">
        <v>1383</v>
      </c>
      <c r="O448" t="s">
        <v>1497</v>
      </c>
    </row>
    <row r="449" spans="1:15">
      <c r="A449" t="s">
        <v>470</v>
      </c>
      <c r="B449" t="s">
        <v>877</v>
      </c>
      <c r="C449" t="s">
        <v>978</v>
      </c>
      <c r="D449" t="s">
        <v>981</v>
      </c>
      <c r="E449" t="s">
        <v>983</v>
      </c>
      <c r="G449">
        <v>2820</v>
      </c>
      <c r="H449" t="s">
        <v>995</v>
      </c>
      <c r="I449" s="3">
        <f>G449 * J449</f>
        <v>0</v>
      </c>
      <c r="J449" s="3">
        <f>IF(H449="HUF", 1, IFERROR(VLOOKUP(B449&amp;H449, '22_ExchangeRates'!A:E, 5, FALSE), 1))</f>
        <v>0</v>
      </c>
      <c r="K449" t="s">
        <v>1002</v>
      </c>
      <c r="N449" t="s">
        <v>1384</v>
      </c>
      <c r="O449" t="s">
        <v>1497</v>
      </c>
    </row>
    <row r="450" spans="1:15">
      <c r="A450" t="s">
        <v>471</v>
      </c>
      <c r="B450" t="s">
        <v>877</v>
      </c>
      <c r="C450" t="s">
        <v>978</v>
      </c>
      <c r="D450" t="s">
        <v>981</v>
      </c>
      <c r="E450" t="s">
        <v>983</v>
      </c>
      <c r="G450">
        <v>4230</v>
      </c>
      <c r="H450" t="s">
        <v>995</v>
      </c>
      <c r="I450" s="3">
        <f>G450 * J450</f>
        <v>0</v>
      </c>
      <c r="J450" s="3">
        <f>IF(H450="HUF", 1, IFERROR(VLOOKUP(B450&amp;H450, '22_ExchangeRates'!A:E, 5, FALSE), 1))</f>
        <v>0</v>
      </c>
      <c r="K450" t="s">
        <v>1002</v>
      </c>
      <c r="N450" t="s">
        <v>1385</v>
      </c>
      <c r="O450" t="s">
        <v>1497</v>
      </c>
    </row>
    <row r="451" spans="1:15">
      <c r="A451" t="s">
        <v>472</v>
      </c>
      <c r="B451" t="s">
        <v>878</v>
      </c>
      <c r="C451" t="s">
        <v>978</v>
      </c>
      <c r="D451" t="s">
        <v>981</v>
      </c>
      <c r="E451" t="s">
        <v>982</v>
      </c>
      <c r="G451">
        <v>2400</v>
      </c>
      <c r="H451" t="s">
        <v>995</v>
      </c>
      <c r="I451" s="3">
        <f>G451 * J451</f>
        <v>0</v>
      </c>
      <c r="J451" s="3">
        <f>IF(H451="HUF", 1, IFERROR(VLOOKUP(B451&amp;H451, '22_ExchangeRates'!A:E, 5, FALSE), 1))</f>
        <v>0</v>
      </c>
      <c r="K451" t="s">
        <v>1002</v>
      </c>
      <c r="N451" t="s">
        <v>1386</v>
      </c>
      <c r="O451" t="s">
        <v>1497</v>
      </c>
    </row>
    <row r="452" spans="1:15">
      <c r="A452" t="s">
        <v>473</v>
      </c>
      <c r="B452" t="s">
        <v>879</v>
      </c>
      <c r="C452" t="s">
        <v>978</v>
      </c>
      <c r="D452" t="s">
        <v>981</v>
      </c>
      <c r="E452" t="s">
        <v>983</v>
      </c>
      <c r="G452">
        <v>1100</v>
      </c>
      <c r="H452" t="s">
        <v>995</v>
      </c>
      <c r="I452" s="3">
        <f>G452 * J452</f>
        <v>0</v>
      </c>
      <c r="J452" s="3">
        <f>IF(H452="HUF", 1, IFERROR(VLOOKUP(B452&amp;H452, '22_ExchangeRates'!A:E, 5, FALSE), 1))</f>
        <v>0</v>
      </c>
      <c r="K452" t="s">
        <v>1003</v>
      </c>
      <c r="N452" t="s">
        <v>1387</v>
      </c>
      <c r="O452" t="s">
        <v>1497</v>
      </c>
    </row>
    <row r="453" spans="1:15">
      <c r="A453" t="s">
        <v>474</v>
      </c>
      <c r="B453" t="s">
        <v>879</v>
      </c>
      <c r="C453" t="s">
        <v>978</v>
      </c>
      <c r="D453" t="s">
        <v>981</v>
      </c>
      <c r="E453" t="s">
        <v>983</v>
      </c>
      <c r="G453">
        <v>1400</v>
      </c>
      <c r="H453" t="s">
        <v>995</v>
      </c>
      <c r="I453" s="3">
        <f>G453 * J453</f>
        <v>0</v>
      </c>
      <c r="J453" s="3">
        <f>IF(H453="HUF", 1, IFERROR(VLOOKUP(B453&amp;H453, '22_ExchangeRates'!A:E, 5, FALSE), 1))</f>
        <v>0</v>
      </c>
      <c r="K453" t="s">
        <v>1003</v>
      </c>
      <c r="N453" t="s">
        <v>1388</v>
      </c>
      <c r="O453" t="s">
        <v>1497</v>
      </c>
    </row>
    <row r="454" spans="1:15">
      <c r="A454" t="s">
        <v>475</v>
      </c>
      <c r="B454" t="s">
        <v>880</v>
      </c>
      <c r="C454" t="s">
        <v>978</v>
      </c>
      <c r="D454" t="s">
        <v>981</v>
      </c>
      <c r="E454" t="s">
        <v>982</v>
      </c>
      <c r="G454">
        <v>1890</v>
      </c>
      <c r="H454" t="s">
        <v>995</v>
      </c>
      <c r="I454" s="3">
        <f>G454 * J454</f>
        <v>0</v>
      </c>
      <c r="J454" s="3">
        <f>IF(H454="HUF", 1, IFERROR(VLOOKUP(B454&amp;H454, '22_ExchangeRates'!A:E, 5, FALSE), 1))</f>
        <v>0</v>
      </c>
      <c r="K454" t="s">
        <v>1001</v>
      </c>
      <c r="N454" t="s">
        <v>1202</v>
      </c>
      <c r="O454" t="s">
        <v>1497</v>
      </c>
    </row>
    <row r="455" spans="1:15">
      <c r="A455" t="s">
        <v>476</v>
      </c>
      <c r="B455" t="s">
        <v>881</v>
      </c>
      <c r="C455" t="s">
        <v>980</v>
      </c>
      <c r="D455" t="s">
        <v>981</v>
      </c>
      <c r="E455" t="s">
        <v>983</v>
      </c>
      <c r="F455" t="s">
        <v>982</v>
      </c>
      <c r="G455">
        <v>500000</v>
      </c>
      <c r="H455" t="s">
        <v>995</v>
      </c>
      <c r="I455" s="3">
        <f>G455 * J455</f>
        <v>0</v>
      </c>
      <c r="J455" s="3">
        <f>IF(H455="HUF", 1, IFERROR(VLOOKUP(B455&amp;H455, '22_ExchangeRates'!A:E, 5, FALSE), 1))</f>
        <v>0</v>
      </c>
      <c r="O455" t="s">
        <v>1497</v>
      </c>
    </row>
    <row r="456" spans="1:15">
      <c r="A456" t="s">
        <v>477</v>
      </c>
      <c r="B456" t="s">
        <v>881</v>
      </c>
      <c r="C456" t="s">
        <v>978</v>
      </c>
      <c r="D456" t="s">
        <v>981</v>
      </c>
      <c r="E456" t="s">
        <v>982</v>
      </c>
      <c r="G456">
        <v>3200</v>
      </c>
      <c r="H456" t="s">
        <v>995</v>
      </c>
      <c r="I456" s="3">
        <f>G456 * J456</f>
        <v>0</v>
      </c>
      <c r="J456" s="3">
        <f>IF(H456="HUF", 1, IFERROR(VLOOKUP(B456&amp;H456, '22_ExchangeRates'!A:E, 5, FALSE), 1))</f>
        <v>0</v>
      </c>
      <c r="K456" t="s">
        <v>1002</v>
      </c>
      <c r="N456" t="s">
        <v>1389</v>
      </c>
      <c r="O456" t="s">
        <v>1497</v>
      </c>
    </row>
    <row r="457" spans="1:15">
      <c r="A457" t="s">
        <v>478</v>
      </c>
      <c r="B457" t="s">
        <v>882</v>
      </c>
      <c r="C457" t="s">
        <v>978</v>
      </c>
      <c r="D457" t="s">
        <v>981</v>
      </c>
      <c r="E457" t="s">
        <v>982</v>
      </c>
      <c r="G457">
        <v>1200</v>
      </c>
      <c r="H457" t="s">
        <v>995</v>
      </c>
      <c r="I457" s="3">
        <f>G457 * J457</f>
        <v>0</v>
      </c>
      <c r="J457" s="3">
        <f>IF(H457="HUF", 1, IFERROR(VLOOKUP(B457&amp;H457, '22_ExchangeRates'!A:E, 5, FALSE), 1))</f>
        <v>0</v>
      </c>
      <c r="K457" t="s">
        <v>1003</v>
      </c>
      <c r="N457" t="s">
        <v>1390</v>
      </c>
      <c r="O457" t="s">
        <v>1497</v>
      </c>
    </row>
    <row r="458" spans="1:15">
      <c r="A458" t="s">
        <v>479</v>
      </c>
      <c r="B458" t="s">
        <v>882</v>
      </c>
      <c r="C458" t="s">
        <v>978</v>
      </c>
      <c r="D458" t="s">
        <v>981</v>
      </c>
      <c r="E458" t="s">
        <v>982</v>
      </c>
      <c r="G458">
        <v>2800</v>
      </c>
      <c r="H458" t="s">
        <v>995</v>
      </c>
      <c r="I458" s="3">
        <f>G458 * J458</f>
        <v>0</v>
      </c>
      <c r="J458" s="3">
        <f>IF(H458="HUF", 1, IFERROR(VLOOKUP(B458&amp;H458, '22_ExchangeRates'!A:E, 5, FALSE), 1))</f>
        <v>0</v>
      </c>
      <c r="K458" t="s">
        <v>1002</v>
      </c>
      <c r="N458" t="s">
        <v>1391</v>
      </c>
      <c r="O458" t="s">
        <v>1497</v>
      </c>
    </row>
    <row r="459" spans="1:15">
      <c r="A459" t="s">
        <v>480</v>
      </c>
      <c r="B459" t="s">
        <v>883</v>
      </c>
      <c r="C459" t="s">
        <v>980</v>
      </c>
      <c r="D459" t="s">
        <v>981</v>
      </c>
      <c r="E459" t="s">
        <v>982</v>
      </c>
      <c r="F459" t="s">
        <v>984</v>
      </c>
      <c r="G459">
        <v>500000</v>
      </c>
      <c r="H459" t="s">
        <v>995</v>
      </c>
      <c r="I459" s="3">
        <f>G459 * J459</f>
        <v>0</v>
      </c>
      <c r="J459" s="3">
        <f>IF(H459="HUF", 1, IFERROR(VLOOKUP(B459&amp;H459, '22_ExchangeRates'!A:E, 5, FALSE), 1))</f>
        <v>0</v>
      </c>
      <c r="N459" t="s">
        <v>1392</v>
      </c>
      <c r="O459" t="s">
        <v>1497</v>
      </c>
    </row>
    <row r="460" spans="1:15">
      <c r="A460" t="s">
        <v>481</v>
      </c>
      <c r="B460" t="s">
        <v>884</v>
      </c>
      <c r="C460" t="s">
        <v>978</v>
      </c>
      <c r="D460" t="s">
        <v>981</v>
      </c>
      <c r="E460" t="s">
        <v>983</v>
      </c>
      <c r="G460">
        <v>6600</v>
      </c>
      <c r="H460" t="s">
        <v>995</v>
      </c>
      <c r="I460" s="3">
        <f>G460 * J460</f>
        <v>0</v>
      </c>
      <c r="J460" s="3">
        <f>IF(H460="HUF", 1, IFERROR(VLOOKUP(B460&amp;H460, '22_ExchangeRates'!A:E, 5, FALSE), 1))</f>
        <v>0</v>
      </c>
      <c r="K460" t="s">
        <v>1003</v>
      </c>
      <c r="N460" t="s">
        <v>1393</v>
      </c>
      <c r="O460" t="s">
        <v>1497</v>
      </c>
    </row>
    <row r="461" spans="1:15">
      <c r="A461" t="s">
        <v>482</v>
      </c>
      <c r="B461" t="s">
        <v>885</v>
      </c>
      <c r="C461" t="s">
        <v>978</v>
      </c>
      <c r="D461" t="s">
        <v>981</v>
      </c>
      <c r="E461" t="s">
        <v>982</v>
      </c>
      <c r="G461">
        <v>1200</v>
      </c>
      <c r="H461" t="s">
        <v>995</v>
      </c>
      <c r="I461" s="3">
        <f>G461 * J461</f>
        <v>0</v>
      </c>
      <c r="J461" s="3">
        <f>IF(H461="HUF", 1, IFERROR(VLOOKUP(B461&amp;H461, '22_ExchangeRates'!A:E, 5, FALSE), 1))</f>
        <v>0</v>
      </c>
      <c r="K461" t="s">
        <v>1003</v>
      </c>
      <c r="N461" t="s">
        <v>1394</v>
      </c>
      <c r="O461" t="s">
        <v>1497</v>
      </c>
    </row>
    <row r="462" spans="1:15">
      <c r="A462" t="s">
        <v>483</v>
      </c>
      <c r="B462" t="s">
        <v>885</v>
      </c>
      <c r="C462" t="s">
        <v>978</v>
      </c>
      <c r="D462" t="s">
        <v>981</v>
      </c>
      <c r="E462" t="s">
        <v>983</v>
      </c>
      <c r="G462">
        <v>4400</v>
      </c>
      <c r="H462" t="s">
        <v>995</v>
      </c>
      <c r="I462" s="3">
        <f>G462 * J462</f>
        <v>0</v>
      </c>
      <c r="J462" s="3">
        <f>IF(H462="HUF", 1, IFERROR(VLOOKUP(B462&amp;H462, '22_ExchangeRates'!A:E, 5, FALSE), 1))</f>
        <v>0</v>
      </c>
      <c r="K462" t="s">
        <v>1002</v>
      </c>
      <c r="N462" t="s">
        <v>1395</v>
      </c>
      <c r="O462" t="s">
        <v>1497</v>
      </c>
    </row>
    <row r="463" spans="1:15">
      <c r="A463" t="s">
        <v>484</v>
      </c>
      <c r="B463" t="s">
        <v>886</v>
      </c>
      <c r="C463" t="s">
        <v>980</v>
      </c>
      <c r="D463" t="s">
        <v>981</v>
      </c>
      <c r="E463" t="s">
        <v>991</v>
      </c>
      <c r="F463" t="s">
        <v>992</v>
      </c>
      <c r="G463">
        <v>2040</v>
      </c>
      <c r="H463" t="s">
        <v>996</v>
      </c>
      <c r="I463" s="3">
        <f>G463 * J463</f>
        <v>0</v>
      </c>
      <c r="J463" s="3">
        <f>IF(H463="HUF", 1, IFERROR(VLOOKUP(B463&amp;H463, '22_ExchangeRates'!A:E, 5, FALSE), 1))</f>
        <v>0</v>
      </c>
      <c r="O463" t="s">
        <v>1497</v>
      </c>
    </row>
    <row r="464" spans="1:15">
      <c r="A464" t="s">
        <v>485</v>
      </c>
      <c r="B464" t="s">
        <v>887</v>
      </c>
      <c r="C464" t="s">
        <v>980</v>
      </c>
      <c r="D464" t="s">
        <v>981</v>
      </c>
      <c r="E464" t="s">
        <v>992</v>
      </c>
      <c r="F464" t="s">
        <v>982</v>
      </c>
      <c r="G464">
        <v>2379</v>
      </c>
      <c r="H464" t="s">
        <v>998</v>
      </c>
      <c r="I464" s="3">
        <f>G464 * J464</f>
        <v>0</v>
      </c>
      <c r="J464" s="3">
        <f>IF(H464="HUF", 1, IFERROR(VLOOKUP(B464&amp;H464, '22_ExchangeRates'!A:E, 5, FALSE), 1))</f>
        <v>0</v>
      </c>
      <c r="O464" t="s">
        <v>1497</v>
      </c>
    </row>
    <row r="465" spans="1:15">
      <c r="A465" t="s">
        <v>486</v>
      </c>
      <c r="B465" t="s">
        <v>888</v>
      </c>
      <c r="C465" t="s">
        <v>978</v>
      </c>
      <c r="D465" t="s">
        <v>981</v>
      </c>
      <c r="E465" t="s">
        <v>982</v>
      </c>
      <c r="G465">
        <v>5990</v>
      </c>
      <c r="H465" t="s">
        <v>995</v>
      </c>
      <c r="I465" s="3">
        <f>G465 * J465</f>
        <v>0</v>
      </c>
      <c r="J465" s="3">
        <f>IF(H465="HUF", 1, IFERROR(VLOOKUP(B465&amp;H465, '22_ExchangeRates'!A:E, 5, FALSE), 1))</f>
        <v>0</v>
      </c>
      <c r="K465" t="s">
        <v>1000</v>
      </c>
      <c r="N465" t="s">
        <v>1396</v>
      </c>
      <c r="O465" t="s">
        <v>1497</v>
      </c>
    </row>
    <row r="466" spans="1:15">
      <c r="A466" t="s">
        <v>487</v>
      </c>
      <c r="B466" t="s">
        <v>889</v>
      </c>
      <c r="C466" t="s">
        <v>978</v>
      </c>
      <c r="D466" t="s">
        <v>981</v>
      </c>
      <c r="E466" t="s">
        <v>983</v>
      </c>
      <c r="G466">
        <v>5500</v>
      </c>
      <c r="H466" t="s">
        <v>995</v>
      </c>
      <c r="I466" s="3">
        <f>G466 * J466</f>
        <v>0</v>
      </c>
      <c r="J466" s="3">
        <f>IF(H466="HUF", 1, IFERROR(VLOOKUP(B466&amp;H466, '22_ExchangeRates'!A:E, 5, FALSE), 1))</f>
        <v>0</v>
      </c>
      <c r="K466" t="s">
        <v>1003</v>
      </c>
      <c r="N466" t="s">
        <v>1397</v>
      </c>
      <c r="O466" t="s">
        <v>1497</v>
      </c>
    </row>
    <row r="467" spans="1:15">
      <c r="A467" t="s">
        <v>488</v>
      </c>
      <c r="B467" t="s">
        <v>889</v>
      </c>
      <c r="C467" t="s">
        <v>979</v>
      </c>
      <c r="D467" t="s">
        <v>981</v>
      </c>
      <c r="E467" t="s">
        <v>983</v>
      </c>
      <c r="G467">
        <v>250000</v>
      </c>
      <c r="H467" t="s">
        <v>995</v>
      </c>
      <c r="I467" s="3">
        <f>G467 * J467</f>
        <v>0</v>
      </c>
      <c r="J467" s="3">
        <f>IF(H467="HUF", 1, IFERROR(VLOOKUP(B467&amp;H467, '22_ExchangeRates'!A:E, 5, FALSE), 1))</f>
        <v>0</v>
      </c>
      <c r="K467" t="s">
        <v>1000</v>
      </c>
      <c r="N467" t="s">
        <v>1255</v>
      </c>
      <c r="O467" t="s">
        <v>1497</v>
      </c>
    </row>
    <row r="468" spans="1:15">
      <c r="A468" t="s">
        <v>489</v>
      </c>
      <c r="B468" t="s">
        <v>890</v>
      </c>
      <c r="C468" t="s">
        <v>978</v>
      </c>
      <c r="D468" t="s">
        <v>981</v>
      </c>
      <c r="E468" t="s">
        <v>982</v>
      </c>
      <c r="G468">
        <v>2900</v>
      </c>
      <c r="H468" t="s">
        <v>995</v>
      </c>
      <c r="I468" s="3">
        <f>G468 * J468</f>
        <v>0</v>
      </c>
      <c r="J468" s="3">
        <f>IF(H468="HUF", 1, IFERROR(VLOOKUP(B468&amp;H468, '22_ExchangeRates'!A:E, 5, FALSE), 1))</f>
        <v>0</v>
      </c>
      <c r="K468" t="s">
        <v>1009</v>
      </c>
      <c r="N468" t="s">
        <v>1398</v>
      </c>
      <c r="O468" t="s">
        <v>1497</v>
      </c>
    </row>
    <row r="469" spans="1:15">
      <c r="A469" t="s">
        <v>490</v>
      </c>
      <c r="B469" t="s">
        <v>891</v>
      </c>
      <c r="C469" t="s">
        <v>978</v>
      </c>
      <c r="D469" t="s">
        <v>981</v>
      </c>
      <c r="E469" t="s">
        <v>982</v>
      </c>
      <c r="G469">
        <v>1890</v>
      </c>
      <c r="H469" t="s">
        <v>995</v>
      </c>
      <c r="I469" s="3">
        <f>G469 * J469</f>
        <v>0</v>
      </c>
      <c r="J469" s="3">
        <f>IF(H469="HUF", 1, IFERROR(VLOOKUP(B469&amp;H469, '22_ExchangeRates'!A:E, 5, FALSE), 1))</f>
        <v>0</v>
      </c>
      <c r="K469" t="s">
        <v>1001</v>
      </c>
      <c r="N469" t="s">
        <v>1202</v>
      </c>
      <c r="O469" t="s">
        <v>1497</v>
      </c>
    </row>
    <row r="470" spans="1:15">
      <c r="A470" t="s">
        <v>491</v>
      </c>
      <c r="B470" t="s">
        <v>892</v>
      </c>
      <c r="C470" t="s">
        <v>978</v>
      </c>
      <c r="D470" t="s">
        <v>981</v>
      </c>
      <c r="E470" t="s">
        <v>982</v>
      </c>
      <c r="G470">
        <v>552</v>
      </c>
      <c r="H470" t="s">
        <v>995</v>
      </c>
      <c r="I470" s="3">
        <f>G470 * J470</f>
        <v>0</v>
      </c>
      <c r="J470" s="3">
        <f>IF(H470="HUF", 1, IFERROR(VLOOKUP(B470&amp;H470, '22_ExchangeRates'!A:E, 5, FALSE), 1))</f>
        <v>0</v>
      </c>
      <c r="K470" t="s">
        <v>1000</v>
      </c>
      <c r="N470" t="s">
        <v>1399</v>
      </c>
      <c r="O470" t="s">
        <v>1497</v>
      </c>
    </row>
    <row r="471" spans="1:15">
      <c r="A471" t="s">
        <v>492</v>
      </c>
      <c r="B471" t="s">
        <v>893</v>
      </c>
      <c r="C471" t="s">
        <v>978</v>
      </c>
      <c r="D471" t="s">
        <v>981</v>
      </c>
      <c r="E471" t="s">
        <v>982</v>
      </c>
      <c r="G471">
        <v>2100</v>
      </c>
      <c r="H471" t="s">
        <v>995</v>
      </c>
      <c r="I471" s="3">
        <f>G471 * J471</f>
        <v>0</v>
      </c>
      <c r="J471" s="3">
        <f>IF(H471="HUF", 1, IFERROR(VLOOKUP(B471&amp;H471, '22_ExchangeRates'!A:E, 5, FALSE), 1))</f>
        <v>0</v>
      </c>
      <c r="K471" t="s">
        <v>1005</v>
      </c>
      <c r="N471" t="s">
        <v>1400</v>
      </c>
      <c r="O471" t="s">
        <v>1497</v>
      </c>
    </row>
    <row r="472" spans="1:15">
      <c r="A472" t="s">
        <v>493</v>
      </c>
      <c r="B472" t="s">
        <v>894</v>
      </c>
      <c r="C472" t="s">
        <v>978</v>
      </c>
      <c r="D472" t="s">
        <v>981</v>
      </c>
      <c r="E472" t="s">
        <v>982</v>
      </c>
      <c r="G472">
        <v>3554</v>
      </c>
      <c r="H472" t="s">
        <v>995</v>
      </c>
      <c r="I472" s="3">
        <f>G472 * J472</f>
        <v>0</v>
      </c>
      <c r="J472" s="3">
        <f>IF(H472="HUF", 1, IFERROR(VLOOKUP(B472&amp;H472, '22_ExchangeRates'!A:E, 5, FALSE), 1))</f>
        <v>0</v>
      </c>
      <c r="K472" t="s">
        <v>1003</v>
      </c>
      <c r="N472" t="s">
        <v>1401</v>
      </c>
      <c r="O472" t="s">
        <v>1497</v>
      </c>
    </row>
    <row r="473" spans="1:15">
      <c r="A473" t="s">
        <v>494</v>
      </c>
      <c r="B473" t="s">
        <v>895</v>
      </c>
      <c r="C473" t="s">
        <v>978</v>
      </c>
      <c r="D473" t="s">
        <v>981</v>
      </c>
      <c r="E473" t="s">
        <v>983</v>
      </c>
      <c r="G473">
        <v>2050</v>
      </c>
      <c r="H473" t="s">
        <v>995</v>
      </c>
      <c r="I473" s="3">
        <f>G473 * J473</f>
        <v>0</v>
      </c>
      <c r="J473" s="3">
        <f>IF(H473="HUF", 1, IFERROR(VLOOKUP(B473&amp;H473, '22_ExchangeRates'!A:E, 5, FALSE), 1))</f>
        <v>0</v>
      </c>
      <c r="K473" t="s">
        <v>1002</v>
      </c>
      <c r="N473" t="s">
        <v>1072</v>
      </c>
      <c r="O473" t="s">
        <v>1497</v>
      </c>
    </row>
    <row r="474" spans="1:15">
      <c r="A474" t="s">
        <v>495</v>
      </c>
      <c r="B474" t="s">
        <v>896</v>
      </c>
      <c r="C474" t="s">
        <v>978</v>
      </c>
      <c r="D474" t="s">
        <v>981</v>
      </c>
      <c r="E474" t="s">
        <v>982</v>
      </c>
      <c r="G474">
        <v>3490</v>
      </c>
      <c r="H474" t="s">
        <v>995</v>
      </c>
      <c r="I474" s="3">
        <f>G474 * J474</f>
        <v>0</v>
      </c>
      <c r="J474" s="3">
        <f>IF(H474="HUF", 1, IFERROR(VLOOKUP(B474&amp;H474, '22_ExchangeRates'!A:E, 5, FALSE), 1))</f>
        <v>0</v>
      </c>
      <c r="K474" t="s">
        <v>1002</v>
      </c>
      <c r="N474" t="s">
        <v>1402</v>
      </c>
      <c r="O474" t="s">
        <v>1497</v>
      </c>
    </row>
    <row r="475" spans="1:15">
      <c r="A475" t="s">
        <v>496</v>
      </c>
      <c r="B475" t="s">
        <v>897</v>
      </c>
      <c r="C475" t="s">
        <v>978</v>
      </c>
      <c r="D475" t="s">
        <v>981</v>
      </c>
      <c r="E475" t="s">
        <v>982</v>
      </c>
      <c r="G475">
        <v>2900</v>
      </c>
      <c r="H475" t="s">
        <v>995</v>
      </c>
      <c r="I475" s="3">
        <f>G475 * J475</f>
        <v>0</v>
      </c>
      <c r="J475" s="3">
        <f>IF(H475="HUF", 1, IFERROR(VLOOKUP(B475&amp;H475, '22_ExchangeRates'!A:E, 5, FALSE), 1))</f>
        <v>0</v>
      </c>
      <c r="K475" t="s">
        <v>1009</v>
      </c>
      <c r="N475" t="s">
        <v>1398</v>
      </c>
      <c r="O475" t="s">
        <v>1497</v>
      </c>
    </row>
    <row r="476" spans="1:15">
      <c r="A476" t="s">
        <v>497</v>
      </c>
      <c r="B476" t="s">
        <v>898</v>
      </c>
      <c r="C476" t="s">
        <v>978</v>
      </c>
      <c r="D476" t="s">
        <v>981</v>
      </c>
      <c r="E476" t="s">
        <v>982</v>
      </c>
      <c r="G476">
        <v>1890</v>
      </c>
      <c r="H476" t="s">
        <v>995</v>
      </c>
      <c r="I476" s="3">
        <f>G476 * J476</f>
        <v>0</v>
      </c>
      <c r="J476" s="3">
        <f>IF(H476="HUF", 1, IFERROR(VLOOKUP(B476&amp;H476, '22_ExchangeRates'!A:E, 5, FALSE), 1))</f>
        <v>0</v>
      </c>
      <c r="K476" t="s">
        <v>1001</v>
      </c>
      <c r="N476" t="s">
        <v>1202</v>
      </c>
      <c r="O476" t="s">
        <v>1497</v>
      </c>
    </row>
    <row r="477" spans="1:15">
      <c r="A477" t="s">
        <v>498</v>
      </c>
      <c r="B477" t="s">
        <v>899</v>
      </c>
      <c r="C477" t="s">
        <v>978</v>
      </c>
      <c r="D477" t="s">
        <v>981</v>
      </c>
      <c r="E477" t="s">
        <v>982</v>
      </c>
      <c r="G477">
        <v>5360</v>
      </c>
      <c r="H477" t="s">
        <v>995</v>
      </c>
      <c r="I477" s="3">
        <f>G477 * J477</f>
        <v>0</v>
      </c>
      <c r="J477" s="3">
        <f>IF(H477="HUF", 1, IFERROR(VLOOKUP(B477&amp;H477, '22_ExchangeRates'!A:E, 5, FALSE), 1))</f>
        <v>0</v>
      </c>
      <c r="K477" t="s">
        <v>1002</v>
      </c>
      <c r="N477" t="s">
        <v>1403</v>
      </c>
      <c r="O477" t="s">
        <v>1497</v>
      </c>
    </row>
    <row r="478" spans="1:15">
      <c r="A478" t="s">
        <v>499</v>
      </c>
      <c r="B478" t="s">
        <v>900</v>
      </c>
      <c r="C478" t="s">
        <v>978</v>
      </c>
      <c r="D478" t="s">
        <v>981</v>
      </c>
      <c r="E478" t="s">
        <v>982</v>
      </c>
      <c r="G478">
        <v>1200</v>
      </c>
      <c r="H478" t="s">
        <v>995</v>
      </c>
      <c r="I478" s="3">
        <f>G478 * J478</f>
        <v>0</v>
      </c>
      <c r="J478" s="3">
        <f>IF(H478="HUF", 1, IFERROR(VLOOKUP(B478&amp;H478, '22_ExchangeRates'!A:E, 5, FALSE), 1))</f>
        <v>0</v>
      </c>
      <c r="K478" t="s">
        <v>1000</v>
      </c>
      <c r="N478" t="s">
        <v>1404</v>
      </c>
      <c r="O478" t="s">
        <v>1497</v>
      </c>
    </row>
    <row r="479" spans="1:15">
      <c r="A479" t="s">
        <v>500</v>
      </c>
      <c r="B479" t="s">
        <v>900</v>
      </c>
      <c r="C479" t="s">
        <v>978</v>
      </c>
      <c r="D479" t="s">
        <v>981</v>
      </c>
      <c r="E479" t="s">
        <v>982</v>
      </c>
      <c r="G479">
        <v>540</v>
      </c>
      <c r="H479" t="s">
        <v>995</v>
      </c>
      <c r="I479" s="3">
        <f>G479 * J479</f>
        <v>0</v>
      </c>
      <c r="J479" s="3">
        <f>IF(H479="HUF", 1, IFERROR(VLOOKUP(B479&amp;H479, '22_ExchangeRates'!A:E, 5, FALSE), 1))</f>
        <v>0</v>
      </c>
      <c r="K479" t="s">
        <v>1002</v>
      </c>
      <c r="N479" t="s">
        <v>1405</v>
      </c>
      <c r="O479" t="s">
        <v>1497</v>
      </c>
    </row>
    <row r="480" spans="1:15">
      <c r="A480" t="s">
        <v>501</v>
      </c>
      <c r="B480" t="s">
        <v>900</v>
      </c>
      <c r="C480" t="s">
        <v>978</v>
      </c>
      <c r="D480" t="s">
        <v>981</v>
      </c>
      <c r="E480" t="s">
        <v>983</v>
      </c>
      <c r="G480">
        <v>2100</v>
      </c>
      <c r="H480" t="s">
        <v>995</v>
      </c>
      <c r="I480" s="3">
        <f>G480 * J480</f>
        <v>0</v>
      </c>
      <c r="J480" s="3">
        <f>IF(H480="HUF", 1, IFERROR(VLOOKUP(B480&amp;H480, '22_ExchangeRates'!A:E, 5, FALSE), 1))</f>
        <v>0</v>
      </c>
      <c r="K480" t="s">
        <v>1005</v>
      </c>
      <c r="N480" t="s">
        <v>1368</v>
      </c>
      <c r="O480" t="s">
        <v>1497</v>
      </c>
    </row>
    <row r="481" spans="1:15">
      <c r="A481" t="s">
        <v>502</v>
      </c>
      <c r="B481" t="s">
        <v>901</v>
      </c>
      <c r="C481" t="s">
        <v>978</v>
      </c>
      <c r="D481" t="s">
        <v>981</v>
      </c>
      <c r="E481" t="s">
        <v>982</v>
      </c>
      <c r="G481">
        <v>1985</v>
      </c>
      <c r="H481" t="s">
        <v>995</v>
      </c>
      <c r="I481" s="3">
        <f>G481 * J481</f>
        <v>0</v>
      </c>
      <c r="J481" s="3">
        <f>IF(H481="HUF", 1, IFERROR(VLOOKUP(B481&amp;H481, '22_ExchangeRates'!A:E, 5, FALSE), 1))</f>
        <v>0</v>
      </c>
      <c r="K481" t="s">
        <v>1009</v>
      </c>
      <c r="N481" t="s">
        <v>1406</v>
      </c>
      <c r="O481" t="s">
        <v>1497</v>
      </c>
    </row>
    <row r="482" spans="1:15">
      <c r="A482" t="s">
        <v>503</v>
      </c>
      <c r="B482" t="s">
        <v>902</v>
      </c>
      <c r="C482" t="s">
        <v>978</v>
      </c>
      <c r="D482" t="s">
        <v>981</v>
      </c>
      <c r="E482" t="s">
        <v>982</v>
      </c>
      <c r="G482">
        <v>920</v>
      </c>
      <c r="H482" t="s">
        <v>995</v>
      </c>
      <c r="I482" s="3">
        <f>G482 * J482</f>
        <v>0</v>
      </c>
      <c r="J482" s="3">
        <f>IF(H482="HUF", 1, IFERROR(VLOOKUP(B482&amp;H482, '22_ExchangeRates'!A:E, 5, FALSE), 1))</f>
        <v>0</v>
      </c>
      <c r="K482" t="s">
        <v>1002</v>
      </c>
      <c r="N482" t="s">
        <v>1407</v>
      </c>
      <c r="O482" t="s">
        <v>1497</v>
      </c>
    </row>
    <row r="483" spans="1:15">
      <c r="A483" t="s">
        <v>504</v>
      </c>
      <c r="B483" t="s">
        <v>903</v>
      </c>
      <c r="C483" t="s">
        <v>978</v>
      </c>
      <c r="D483" t="s">
        <v>981</v>
      </c>
      <c r="E483" t="s">
        <v>982</v>
      </c>
      <c r="G483">
        <v>3000</v>
      </c>
      <c r="H483" t="s">
        <v>995</v>
      </c>
      <c r="I483" s="3">
        <f>G483 * J483</f>
        <v>0</v>
      </c>
      <c r="J483" s="3">
        <f>IF(H483="HUF", 1, IFERROR(VLOOKUP(B483&amp;H483, '22_ExchangeRates'!A:E, 5, FALSE), 1))</f>
        <v>0</v>
      </c>
      <c r="K483" t="s">
        <v>1002</v>
      </c>
      <c r="N483" t="s">
        <v>1408</v>
      </c>
      <c r="O483" t="s">
        <v>1497</v>
      </c>
    </row>
    <row r="484" spans="1:15">
      <c r="A484" t="s">
        <v>505</v>
      </c>
      <c r="B484" t="s">
        <v>904</v>
      </c>
      <c r="C484" t="s">
        <v>978</v>
      </c>
      <c r="D484" t="s">
        <v>981</v>
      </c>
      <c r="E484" t="s">
        <v>982</v>
      </c>
      <c r="G484">
        <v>2820</v>
      </c>
      <c r="H484" t="s">
        <v>995</v>
      </c>
      <c r="I484" s="3">
        <f>G484 * J484</f>
        <v>0</v>
      </c>
      <c r="J484" s="3">
        <f>IF(H484="HUF", 1, IFERROR(VLOOKUP(B484&amp;H484, '22_ExchangeRates'!A:E, 5, FALSE), 1))</f>
        <v>0</v>
      </c>
      <c r="K484" t="s">
        <v>1003</v>
      </c>
      <c r="N484" t="s">
        <v>1409</v>
      </c>
      <c r="O484" t="s">
        <v>1497</v>
      </c>
    </row>
    <row r="485" spans="1:15">
      <c r="A485" t="s">
        <v>506</v>
      </c>
      <c r="B485" t="s">
        <v>905</v>
      </c>
      <c r="C485" t="s">
        <v>979</v>
      </c>
      <c r="D485" t="s">
        <v>981</v>
      </c>
      <c r="E485" t="s">
        <v>982</v>
      </c>
      <c r="G485">
        <v>220000</v>
      </c>
      <c r="H485" t="s">
        <v>995</v>
      </c>
      <c r="I485" s="3">
        <f>G485 * J485</f>
        <v>0</v>
      </c>
      <c r="J485" s="3">
        <f>IF(H485="HUF", 1, IFERROR(VLOOKUP(B485&amp;H485, '22_ExchangeRates'!A:E, 5, FALSE), 1))</f>
        <v>0</v>
      </c>
      <c r="K485" t="s">
        <v>1011</v>
      </c>
      <c r="O485" t="s">
        <v>1497</v>
      </c>
    </row>
    <row r="486" spans="1:15">
      <c r="A486" t="s">
        <v>507</v>
      </c>
      <c r="B486" t="s">
        <v>906</v>
      </c>
      <c r="C486" t="s">
        <v>978</v>
      </c>
      <c r="D486" t="s">
        <v>981</v>
      </c>
      <c r="E486" t="s">
        <v>983</v>
      </c>
      <c r="G486">
        <v>5400</v>
      </c>
      <c r="H486" t="s">
        <v>995</v>
      </c>
      <c r="I486" s="3">
        <f>G486 * J486</f>
        <v>0</v>
      </c>
      <c r="J486" s="3">
        <f>IF(H486="HUF", 1, IFERROR(VLOOKUP(B486&amp;H486, '22_ExchangeRates'!A:E, 5, FALSE), 1))</f>
        <v>0</v>
      </c>
      <c r="K486" t="s">
        <v>1002</v>
      </c>
      <c r="N486" t="s">
        <v>1410</v>
      </c>
      <c r="O486" t="s">
        <v>1497</v>
      </c>
    </row>
    <row r="487" spans="1:15">
      <c r="A487" t="s">
        <v>508</v>
      </c>
      <c r="B487" t="s">
        <v>907</v>
      </c>
      <c r="C487" t="s">
        <v>978</v>
      </c>
      <c r="D487" t="s">
        <v>981</v>
      </c>
      <c r="E487" t="s">
        <v>982</v>
      </c>
      <c r="G487">
        <v>3000</v>
      </c>
      <c r="H487" t="s">
        <v>995</v>
      </c>
      <c r="I487" s="3">
        <f>G487 * J487</f>
        <v>0</v>
      </c>
      <c r="J487" s="3">
        <f>IF(H487="HUF", 1, IFERROR(VLOOKUP(B487&amp;H487, '22_ExchangeRates'!A:E, 5, FALSE), 1))</f>
        <v>0</v>
      </c>
      <c r="K487" t="s">
        <v>1002</v>
      </c>
      <c r="N487" t="s">
        <v>1411</v>
      </c>
      <c r="O487" t="s">
        <v>1497</v>
      </c>
    </row>
    <row r="488" spans="1:15">
      <c r="A488" t="s">
        <v>509</v>
      </c>
      <c r="B488" t="s">
        <v>908</v>
      </c>
      <c r="C488" t="s">
        <v>978</v>
      </c>
      <c r="D488" t="s">
        <v>981</v>
      </c>
      <c r="E488" t="s">
        <v>982</v>
      </c>
      <c r="G488">
        <v>2000</v>
      </c>
      <c r="H488" t="s">
        <v>995</v>
      </c>
      <c r="I488" s="3">
        <f>G488 * J488</f>
        <v>0</v>
      </c>
      <c r="J488" s="3">
        <f>IF(H488="HUF", 1, IFERROR(VLOOKUP(B488&amp;H488, '22_ExchangeRates'!A:E, 5, FALSE), 1))</f>
        <v>0</v>
      </c>
      <c r="K488" t="s">
        <v>1009</v>
      </c>
      <c r="N488" t="s">
        <v>1412</v>
      </c>
      <c r="O488" t="s">
        <v>1497</v>
      </c>
    </row>
    <row r="489" spans="1:15">
      <c r="A489" t="s">
        <v>510</v>
      </c>
      <c r="B489" t="s">
        <v>908</v>
      </c>
      <c r="C489" t="s">
        <v>978</v>
      </c>
      <c r="D489" t="s">
        <v>981</v>
      </c>
      <c r="E489" t="s">
        <v>983</v>
      </c>
      <c r="G489">
        <v>2000</v>
      </c>
      <c r="H489" t="s">
        <v>995</v>
      </c>
      <c r="I489" s="3">
        <f>G489 * J489</f>
        <v>0</v>
      </c>
      <c r="J489" s="3">
        <f>IF(H489="HUF", 1, IFERROR(VLOOKUP(B489&amp;H489, '22_ExchangeRates'!A:E, 5, FALSE), 1))</f>
        <v>0</v>
      </c>
      <c r="K489" t="s">
        <v>1003</v>
      </c>
      <c r="N489" t="s">
        <v>1413</v>
      </c>
      <c r="O489" t="s">
        <v>1497</v>
      </c>
    </row>
    <row r="490" spans="1:15">
      <c r="A490" t="s">
        <v>511</v>
      </c>
      <c r="B490" t="s">
        <v>909</v>
      </c>
      <c r="C490" t="s">
        <v>978</v>
      </c>
      <c r="D490" t="s">
        <v>981</v>
      </c>
      <c r="E490" t="s">
        <v>982</v>
      </c>
      <c r="G490">
        <v>2900</v>
      </c>
      <c r="H490" t="s">
        <v>995</v>
      </c>
      <c r="I490" s="3">
        <f>G490 * J490</f>
        <v>0</v>
      </c>
      <c r="J490" s="3">
        <f>IF(H490="HUF", 1, IFERROR(VLOOKUP(B490&amp;H490, '22_ExchangeRates'!A:E, 5, FALSE), 1))</f>
        <v>0</v>
      </c>
      <c r="K490" t="s">
        <v>1009</v>
      </c>
      <c r="N490" t="s">
        <v>1398</v>
      </c>
      <c r="O490" t="s">
        <v>1497</v>
      </c>
    </row>
    <row r="491" spans="1:15">
      <c r="A491" t="s">
        <v>512</v>
      </c>
      <c r="B491" t="s">
        <v>910</v>
      </c>
      <c r="C491" t="s">
        <v>978</v>
      </c>
      <c r="D491" t="s">
        <v>981</v>
      </c>
      <c r="E491" t="s">
        <v>982</v>
      </c>
      <c r="G491">
        <v>1890</v>
      </c>
      <c r="H491" t="s">
        <v>995</v>
      </c>
      <c r="I491" s="3">
        <f>G491 * J491</f>
        <v>0</v>
      </c>
      <c r="J491" s="3">
        <f>IF(H491="HUF", 1, IFERROR(VLOOKUP(B491&amp;H491, '22_ExchangeRates'!A:E, 5, FALSE), 1))</f>
        <v>0</v>
      </c>
      <c r="K491" t="s">
        <v>1001</v>
      </c>
      <c r="N491" t="s">
        <v>1202</v>
      </c>
      <c r="O491" t="s">
        <v>1497</v>
      </c>
    </row>
    <row r="492" spans="1:15">
      <c r="A492" t="s">
        <v>513</v>
      </c>
      <c r="B492" t="s">
        <v>911</v>
      </c>
      <c r="C492" t="s">
        <v>979</v>
      </c>
      <c r="D492" t="s">
        <v>981</v>
      </c>
      <c r="E492" t="s">
        <v>982</v>
      </c>
      <c r="G492">
        <v>67998</v>
      </c>
      <c r="H492" t="s">
        <v>995</v>
      </c>
      <c r="I492" s="3">
        <f>G492 * J492</f>
        <v>0</v>
      </c>
      <c r="J492" s="3">
        <f>IF(H492="HUF", 1, IFERROR(VLOOKUP(B492&amp;H492, '22_ExchangeRates'!A:E, 5, FALSE), 1))</f>
        <v>0</v>
      </c>
      <c r="K492" t="s">
        <v>1007</v>
      </c>
      <c r="N492" t="s">
        <v>1007</v>
      </c>
      <c r="O492" t="s">
        <v>1497</v>
      </c>
    </row>
    <row r="493" spans="1:15">
      <c r="A493" t="s">
        <v>514</v>
      </c>
      <c r="B493" t="s">
        <v>912</v>
      </c>
      <c r="C493" t="s">
        <v>978</v>
      </c>
      <c r="D493" t="s">
        <v>981</v>
      </c>
      <c r="E493" t="s">
        <v>983</v>
      </c>
      <c r="G493">
        <v>2350</v>
      </c>
      <c r="H493" t="s">
        <v>995</v>
      </c>
      <c r="I493" s="3">
        <f>G493 * J493</f>
        <v>0</v>
      </c>
      <c r="J493" s="3">
        <f>IF(H493="HUF", 1, IFERROR(VLOOKUP(B493&amp;H493, '22_ExchangeRates'!A:E, 5, FALSE), 1))</f>
        <v>0</v>
      </c>
      <c r="K493" t="s">
        <v>1002</v>
      </c>
      <c r="N493" t="s">
        <v>1414</v>
      </c>
      <c r="O493" t="s">
        <v>1497</v>
      </c>
    </row>
    <row r="494" spans="1:15">
      <c r="A494" t="s">
        <v>515</v>
      </c>
      <c r="B494" t="s">
        <v>912</v>
      </c>
      <c r="C494" t="s">
        <v>978</v>
      </c>
      <c r="D494" t="s">
        <v>981</v>
      </c>
      <c r="E494" t="s">
        <v>983</v>
      </c>
      <c r="G494">
        <v>1600</v>
      </c>
      <c r="H494" t="s">
        <v>995</v>
      </c>
      <c r="I494" s="3">
        <f>G494 * J494</f>
        <v>0</v>
      </c>
      <c r="J494" s="3">
        <f>IF(H494="HUF", 1, IFERROR(VLOOKUP(B494&amp;H494, '22_ExchangeRates'!A:E, 5, FALSE), 1))</f>
        <v>0</v>
      </c>
      <c r="K494" t="s">
        <v>1003</v>
      </c>
      <c r="N494" t="s">
        <v>1415</v>
      </c>
      <c r="O494" t="s">
        <v>1497</v>
      </c>
    </row>
    <row r="495" spans="1:15">
      <c r="A495" t="s">
        <v>516</v>
      </c>
      <c r="B495" t="s">
        <v>913</v>
      </c>
      <c r="C495" t="s">
        <v>978</v>
      </c>
      <c r="D495" t="s">
        <v>981</v>
      </c>
      <c r="E495" t="s">
        <v>982</v>
      </c>
      <c r="G495">
        <v>2700</v>
      </c>
      <c r="H495" t="s">
        <v>995</v>
      </c>
      <c r="I495" s="3">
        <f>G495 * J495</f>
        <v>0</v>
      </c>
      <c r="J495" s="3">
        <f>IF(H495="HUF", 1, IFERROR(VLOOKUP(B495&amp;H495, '22_ExchangeRates'!A:E, 5, FALSE), 1))</f>
        <v>0</v>
      </c>
      <c r="K495" t="s">
        <v>1003</v>
      </c>
      <c r="N495" t="s">
        <v>1038</v>
      </c>
      <c r="O495" t="s">
        <v>1497</v>
      </c>
    </row>
    <row r="496" spans="1:15">
      <c r="A496" t="s">
        <v>517</v>
      </c>
      <c r="B496" t="s">
        <v>913</v>
      </c>
      <c r="C496" t="s">
        <v>978</v>
      </c>
      <c r="D496" t="s">
        <v>981</v>
      </c>
      <c r="E496" t="s">
        <v>982</v>
      </c>
      <c r="G496">
        <v>2500</v>
      </c>
      <c r="H496" t="s">
        <v>995</v>
      </c>
      <c r="I496" s="3">
        <f>G496 * J496</f>
        <v>0</v>
      </c>
      <c r="J496" s="3">
        <f>IF(H496="HUF", 1, IFERROR(VLOOKUP(B496&amp;H496, '22_ExchangeRates'!A:E, 5, FALSE), 1))</f>
        <v>0</v>
      </c>
      <c r="K496" t="s">
        <v>1003</v>
      </c>
      <c r="N496" t="s">
        <v>1416</v>
      </c>
      <c r="O496" t="s">
        <v>1497</v>
      </c>
    </row>
    <row r="497" spans="1:15">
      <c r="A497" t="s">
        <v>518</v>
      </c>
      <c r="B497" t="s">
        <v>913</v>
      </c>
      <c r="C497" t="s">
        <v>978</v>
      </c>
      <c r="D497" t="s">
        <v>981</v>
      </c>
      <c r="E497" t="s">
        <v>983</v>
      </c>
      <c r="G497">
        <v>1200</v>
      </c>
      <c r="H497" t="s">
        <v>995</v>
      </c>
      <c r="I497" s="3">
        <f>G497 * J497</f>
        <v>0</v>
      </c>
      <c r="J497" s="3">
        <f>IF(H497="HUF", 1, IFERROR(VLOOKUP(B497&amp;H497, '22_ExchangeRates'!A:E, 5, FALSE), 1))</f>
        <v>0</v>
      </c>
      <c r="K497" t="s">
        <v>1003</v>
      </c>
      <c r="N497" t="s">
        <v>1417</v>
      </c>
      <c r="O497" t="s">
        <v>1497</v>
      </c>
    </row>
    <row r="498" spans="1:15">
      <c r="A498" t="s">
        <v>519</v>
      </c>
      <c r="B498" t="s">
        <v>914</v>
      </c>
      <c r="C498" t="s">
        <v>979</v>
      </c>
      <c r="D498" t="s">
        <v>981</v>
      </c>
      <c r="E498" t="s">
        <v>982</v>
      </c>
      <c r="G498">
        <v>220050</v>
      </c>
      <c r="H498" t="s">
        <v>995</v>
      </c>
      <c r="I498" s="3">
        <f>G498 * J498</f>
        <v>0</v>
      </c>
      <c r="J498" s="3">
        <f>IF(H498="HUF", 1, IFERROR(VLOOKUP(B498&amp;H498, '22_ExchangeRates'!A:E, 5, FALSE), 1))</f>
        <v>0</v>
      </c>
      <c r="K498" t="s">
        <v>1011</v>
      </c>
      <c r="O498" t="s">
        <v>1497</v>
      </c>
    </row>
    <row r="499" spans="1:15">
      <c r="A499" t="s">
        <v>520</v>
      </c>
      <c r="B499" t="s">
        <v>914</v>
      </c>
      <c r="C499" t="s">
        <v>978</v>
      </c>
      <c r="D499" t="s">
        <v>981</v>
      </c>
      <c r="E499" t="s">
        <v>982</v>
      </c>
      <c r="G499">
        <v>3000</v>
      </c>
      <c r="H499" t="s">
        <v>995</v>
      </c>
      <c r="I499" s="3">
        <f>G499 * J499</f>
        <v>0</v>
      </c>
      <c r="J499" s="3">
        <f>IF(H499="HUF", 1, IFERROR(VLOOKUP(B499&amp;H499, '22_ExchangeRates'!A:E, 5, FALSE), 1))</f>
        <v>0</v>
      </c>
      <c r="K499" t="s">
        <v>1002</v>
      </c>
      <c r="N499" t="s">
        <v>1411</v>
      </c>
      <c r="O499" t="s">
        <v>1497</v>
      </c>
    </row>
    <row r="500" spans="1:15">
      <c r="A500" t="s">
        <v>521</v>
      </c>
      <c r="B500" t="s">
        <v>915</v>
      </c>
      <c r="C500" t="s">
        <v>978</v>
      </c>
      <c r="D500" t="s">
        <v>981</v>
      </c>
      <c r="E500" t="s">
        <v>982</v>
      </c>
      <c r="G500">
        <v>12000</v>
      </c>
      <c r="H500" t="s">
        <v>995</v>
      </c>
      <c r="I500" s="3">
        <f>G500 * J500</f>
        <v>0</v>
      </c>
      <c r="J500" s="3">
        <f>IF(H500="HUF", 1, IFERROR(VLOOKUP(B500&amp;H500, '22_ExchangeRates'!A:E, 5, FALSE), 1))</f>
        <v>0</v>
      </c>
      <c r="K500" t="s">
        <v>1000</v>
      </c>
      <c r="N500" t="s">
        <v>1418</v>
      </c>
      <c r="O500" t="s">
        <v>1497</v>
      </c>
    </row>
    <row r="501" spans="1:15">
      <c r="A501" t="s">
        <v>522</v>
      </c>
      <c r="B501" t="s">
        <v>915</v>
      </c>
      <c r="C501" t="s">
        <v>978</v>
      </c>
      <c r="D501" t="s">
        <v>981</v>
      </c>
      <c r="E501" t="s">
        <v>982</v>
      </c>
      <c r="G501">
        <v>6000</v>
      </c>
      <c r="H501" t="s">
        <v>995</v>
      </c>
      <c r="I501" s="3">
        <f>G501 * J501</f>
        <v>0</v>
      </c>
      <c r="J501" s="3">
        <f>IF(H501="HUF", 1, IFERROR(VLOOKUP(B501&amp;H501, '22_ExchangeRates'!A:E, 5, FALSE), 1))</f>
        <v>0</v>
      </c>
      <c r="K501" t="s">
        <v>1003</v>
      </c>
      <c r="N501" t="s">
        <v>1419</v>
      </c>
      <c r="O501" t="s">
        <v>1497</v>
      </c>
    </row>
    <row r="502" spans="1:15">
      <c r="A502" t="s">
        <v>523</v>
      </c>
      <c r="B502" t="s">
        <v>915</v>
      </c>
      <c r="C502" t="s">
        <v>978</v>
      </c>
      <c r="D502" t="s">
        <v>981</v>
      </c>
      <c r="E502" t="s">
        <v>982</v>
      </c>
      <c r="G502">
        <v>2360</v>
      </c>
      <c r="H502" t="s">
        <v>995</v>
      </c>
      <c r="I502" s="3">
        <f>G502 * J502</f>
        <v>0</v>
      </c>
      <c r="J502" s="3">
        <f>IF(H502="HUF", 1, IFERROR(VLOOKUP(B502&amp;H502, '22_ExchangeRates'!A:E, 5, FALSE), 1))</f>
        <v>0</v>
      </c>
      <c r="K502" t="s">
        <v>1005</v>
      </c>
      <c r="N502" t="s">
        <v>1420</v>
      </c>
      <c r="O502" t="s">
        <v>1497</v>
      </c>
    </row>
    <row r="503" spans="1:15">
      <c r="A503" t="s">
        <v>524</v>
      </c>
      <c r="B503" t="s">
        <v>916</v>
      </c>
      <c r="C503" t="s">
        <v>978</v>
      </c>
      <c r="D503" t="s">
        <v>981</v>
      </c>
      <c r="E503" t="s">
        <v>982</v>
      </c>
      <c r="G503">
        <v>3000</v>
      </c>
      <c r="H503" t="s">
        <v>995</v>
      </c>
      <c r="I503" s="3">
        <f>G503 * J503</f>
        <v>0</v>
      </c>
      <c r="J503" s="3">
        <f>IF(H503="HUF", 1, IFERROR(VLOOKUP(B503&amp;H503, '22_ExchangeRates'!A:E, 5, FALSE), 1))</f>
        <v>0</v>
      </c>
      <c r="K503" t="s">
        <v>1002</v>
      </c>
      <c r="N503" t="s">
        <v>1411</v>
      </c>
      <c r="O503" t="s">
        <v>1497</v>
      </c>
    </row>
    <row r="504" spans="1:15">
      <c r="A504" t="s">
        <v>525</v>
      </c>
      <c r="B504" t="s">
        <v>916</v>
      </c>
      <c r="C504" t="s">
        <v>978</v>
      </c>
      <c r="D504" t="s">
        <v>981</v>
      </c>
      <c r="E504" t="s">
        <v>982</v>
      </c>
      <c r="G504">
        <v>1250</v>
      </c>
      <c r="H504" t="s">
        <v>995</v>
      </c>
      <c r="I504" s="3">
        <f>G504 * J504</f>
        <v>0</v>
      </c>
      <c r="J504" s="3">
        <f>IF(H504="HUF", 1, IFERROR(VLOOKUP(B504&amp;H504, '22_ExchangeRates'!A:E, 5, FALSE), 1))</f>
        <v>0</v>
      </c>
      <c r="K504" t="s">
        <v>1003</v>
      </c>
      <c r="N504" t="s">
        <v>1421</v>
      </c>
      <c r="O504" t="s">
        <v>1497</v>
      </c>
    </row>
    <row r="505" spans="1:15">
      <c r="A505" t="s">
        <v>526</v>
      </c>
      <c r="B505" t="s">
        <v>917</v>
      </c>
      <c r="C505" t="s">
        <v>978</v>
      </c>
      <c r="D505" t="s">
        <v>981</v>
      </c>
      <c r="E505" t="s">
        <v>982</v>
      </c>
      <c r="G505">
        <v>5600</v>
      </c>
      <c r="H505" t="s">
        <v>995</v>
      </c>
      <c r="I505" s="3">
        <f>G505 * J505</f>
        <v>0</v>
      </c>
      <c r="J505" s="3">
        <f>IF(H505="HUF", 1, IFERROR(VLOOKUP(B505&amp;H505, '22_ExchangeRates'!A:E, 5, FALSE), 1))</f>
        <v>0</v>
      </c>
      <c r="K505" t="s">
        <v>1002</v>
      </c>
      <c r="N505" t="s">
        <v>1422</v>
      </c>
      <c r="O505" t="s">
        <v>1497</v>
      </c>
    </row>
    <row r="506" spans="1:15">
      <c r="A506" t="s">
        <v>527</v>
      </c>
      <c r="B506" t="s">
        <v>918</v>
      </c>
      <c r="C506" t="s">
        <v>978</v>
      </c>
      <c r="D506" t="s">
        <v>981</v>
      </c>
      <c r="E506" t="s">
        <v>982</v>
      </c>
      <c r="G506">
        <v>2000</v>
      </c>
      <c r="H506" t="s">
        <v>995</v>
      </c>
      <c r="I506" s="3">
        <f>G506 * J506</f>
        <v>0</v>
      </c>
      <c r="J506" s="3">
        <f>IF(H506="HUF", 1, IFERROR(VLOOKUP(B506&amp;H506, '22_ExchangeRates'!A:E, 5, FALSE), 1))</f>
        <v>0</v>
      </c>
      <c r="K506" t="s">
        <v>1003</v>
      </c>
      <c r="N506" t="s">
        <v>1423</v>
      </c>
      <c r="O506" t="s">
        <v>1497</v>
      </c>
    </row>
    <row r="507" spans="1:15">
      <c r="A507" t="s">
        <v>528</v>
      </c>
      <c r="B507" t="s">
        <v>919</v>
      </c>
      <c r="C507" t="s">
        <v>978</v>
      </c>
      <c r="D507" t="s">
        <v>981</v>
      </c>
      <c r="E507" t="s">
        <v>982</v>
      </c>
      <c r="G507">
        <v>2100</v>
      </c>
      <c r="H507" t="s">
        <v>995</v>
      </c>
      <c r="I507" s="3">
        <f>G507 * J507</f>
        <v>0</v>
      </c>
      <c r="J507" s="3">
        <f>IF(H507="HUF", 1, IFERROR(VLOOKUP(B507&amp;H507, '22_ExchangeRates'!A:E, 5, FALSE), 1))</f>
        <v>0</v>
      </c>
      <c r="K507" t="s">
        <v>1002</v>
      </c>
      <c r="N507" t="s">
        <v>1424</v>
      </c>
      <c r="O507" t="s">
        <v>1497</v>
      </c>
    </row>
    <row r="508" spans="1:15">
      <c r="A508" t="s">
        <v>529</v>
      </c>
      <c r="B508" t="s">
        <v>920</v>
      </c>
      <c r="C508" t="s">
        <v>978</v>
      </c>
      <c r="D508" t="s">
        <v>981</v>
      </c>
      <c r="E508" t="s">
        <v>982</v>
      </c>
      <c r="G508">
        <v>828</v>
      </c>
      <c r="H508" t="s">
        <v>995</v>
      </c>
      <c r="I508" s="3">
        <f>G508 * J508</f>
        <v>0</v>
      </c>
      <c r="J508" s="3">
        <f>IF(H508="HUF", 1, IFERROR(VLOOKUP(B508&amp;H508, '22_ExchangeRates'!A:E, 5, FALSE), 1))</f>
        <v>0</v>
      </c>
      <c r="K508" t="s">
        <v>1002</v>
      </c>
      <c r="N508" t="s">
        <v>1425</v>
      </c>
      <c r="O508" t="s">
        <v>1497</v>
      </c>
    </row>
    <row r="509" spans="1:15">
      <c r="A509" t="s">
        <v>530</v>
      </c>
      <c r="B509" t="s">
        <v>920</v>
      </c>
      <c r="C509" t="s">
        <v>978</v>
      </c>
      <c r="D509" t="s">
        <v>981</v>
      </c>
      <c r="E509" t="s">
        <v>982</v>
      </c>
      <c r="G509">
        <v>1245</v>
      </c>
      <c r="H509" t="s">
        <v>995</v>
      </c>
      <c r="I509" s="3">
        <f>G509 * J509</f>
        <v>0</v>
      </c>
      <c r="J509" s="3">
        <f>IF(H509="HUF", 1, IFERROR(VLOOKUP(B509&amp;H509, '22_ExchangeRates'!A:E, 5, FALSE), 1))</f>
        <v>0</v>
      </c>
      <c r="K509" t="s">
        <v>1009</v>
      </c>
      <c r="N509" t="s">
        <v>1426</v>
      </c>
      <c r="O509" t="s">
        <v>1497</v>
      </c>
    </row>
    <row r="510" spans="1:15">
      <c r="A510" t="s">
        <v>531</v>
      </c>
      <c r="B510" t="s">
        <v>921</v>
      </c>
      <c r="C510" t="s">
        <v>978</v>
      </c>
      <c r="D510" t="s">
        <v>981</v>
      </c>
      <c r="E510" t="s">
        <v>982</v>
      </c>
      <c r="G510">
        <v>8790</v>
      </c>
      <c r="H510" t="s">
        <v>995</v>
      </c>
      <c r="I510" s="3">
        <f>G510 * J510</f>
        <v>0</v>
      </c>
      <c r="J510" s="3">
        <f>IF(H510="HUF", 1, IFERROR(VLOOKUP(B510&amp;H510, '22_ExchangeRates'!A:E, 5, FALSE), 1))</f>
        <v>0</v>
      </c>
      <c r="K510" t="s">
        <v>1009</v>
      </c>
      <c r="N510" t="s">
        <v>1398</v>
      </c>
      <c r="O510" t="s">
        <v>1497</v>
      </c>
    </row>
    <row r="511" spans="1:15">
      <c r="A511" t="s">
        <v>532</v>
      </c>
      <c r="B511" t="s">
        <v>922</v>
      </c>
      <c r="C511" t="s">
        <v>978</v>
      </c>
      <c r="D511" t="s">
        <v>981</v>
      </c>
      <c r="E511" t="s">
        <v>982</v>
      </c>
      <c r="G511">
        <v>1890</v>
      </c>
      <c r="H511" t="s">
        <v>995</v>
      </c>
      <c r="I511" s="3">
        <f>G511 * J511</f>
        <v>0</v>
      </c>
      <c r="J511" s="3">
        <f>IF(H511="HUF", 1, IFERROR(VLOOKUP(B511&amp;H511, '22_ExchangeRates'!A:E, 5, FALSE), 1))</f>
        <v>0</v>
      </c>
      <c r="K511" t="s">
        <v>1001</v>
      </c>
      <c r="N511" t="s">
        <v>1202</v>
      </c>
      <c r="O511" t="s">
        <v>1497</v>
      </c>
    </row>
    <row r="512" spans="1:15">
      <c r="A512" t="s">
        <v>533</v>
      </c>
      <c r="B512" t="s">
        <v>923</v>
      </c>
      <c r="C512" t="s">
        <v>978</v>
      </c>
      <c r="D512" t="s">
        <v>981</v>
      </c>
      <c r="E512" t="s">
        <v>982</v>
      </c>
      <c r="G512">
        <v>25000</v>
      </c>
      <c r="H512" t="s">
        <v>995</v>
      </c>
      <c r="I512" s="3">
        <f>G512 * J512</f>
        <v>0</v>
      </c>
      <c r="J512" s="3">
        <f>IF(H512="HUF", 1, IFERROR(VLOOKUP(B512&amp;H512, '22_ExchangeRates'!A:E, 5, FALSE), 1))</f>
        <v>0</v>
      </c>
      <c r="K512" t="s">
        <v>1002</v>
      </c>
      <c r="N512" t="s">
        <v>1427</v>
      </c>
      <c r="O512" t="s">
        <v>1497</v>
      </c>
    </row>
    <row r="513" spans="1:15">
      <c r="A513" t="s">
        <v>534</v>
      </c>
      <c r="B513" t="s">
        <v>923</v>
      </c>
      <c r="C513" t="s">
        <v>978</v>
      </c>
      <c r="D513" t="s">
        <v>981</v>
      </c>
      <c r="E513" t="s">
        <v>982</v>
      </c>
      <c r="G513">
        <v>3730</v>
      </c>
      <c r="H513" t="s">
        <v>995</v>
      </c>
      <c r="I513" s="3">
        <f>G513 * J513</f>
        <v>0</v>
      </c>
      <c r="J513" s="3">
        <f>IF(H513="HUF", 1, IFERROR(VLOOKUP(B513&amp;H513, '22_ExchangeRates'!A:E, 5, FALSE), 1))</f>
        <v>0</v>
      </c>
      <c r="K513" t="s">
        <v>1003</v>
      </c>
      <c r="N513" t="s">
        <v>1428</v>
      </c>
      <c r="O513" t="s">
        <v>1497</v>
      </c>
    </row>
    <row r="514" spans="1:15">
      <c r="A514" t="s">
        <v>535</v>
      </c>
      <c r="B514" t="s">
        <v>924</v>
      </c>
      <c r="C514" t="s">
        <v>978</v>
      </c>
      <c r="D514" t="s">
        <v>981</v>
      </c>
      <c r="E514" t="s">
        <v>983</v>
      </c>
      <c r="G514">
        <v>1800</v>
      </c>
      <c r="H514" t="s">
        <v>995</v>
      </c>
      <c r="I514" s="3">
        <f>G514 * J514</f>
        <v>0</v>
      </c>
      <c r="J514" s="3">
        <f>IF(H514="HUF", 1, IFERROR(VLOOKUP(B514&amp;H514, '22_ExchangeRates'!A:E, 5, FALSE), 1))</f>
        <v>0</v>
      </c>
      <c r="K514" t="s">
        <v>1002</v>
      </c>
      <c r="N514" t="s">
        <v>1429</v>
      </c>
      <c r="O514" t="s">
        <v>1497</v>
      </c>
    </row>
    <row r="515" spans="1:15">
      <c r="A515" t="s">
        <v>536</v>
      </c>
      <c r="B515" t="s">
        <v>924</v>
      </c>
      <c r="C515" t="s">
        <v>978</v>
      </c>
      <c r="D515" t="s">
        <v>981</v>
      </c>
      <c r="E515" t="s">
        <v>983</v>
      </c>
      <c r="G515">
        <v>1020</v>
      </c>
      <c r="H515" t="s">
        <v>995</v>
      </c>
      <c r="I515" s="3">
        <f>G515 * J515</f>
        <v>0</v>
      </c>
      <c r="J515" s="3">
        <f>IF(H515="HUF", 1, IFERROR(VLOOKUP(B515&amp;H515, '22_ExchangeRates'!A:E, 5, FALSE), 1))</f>
        <v>0</v>
      </c>
      <c r="K515" t="s">
        <v>1003</v>
      </c>
      <c r="N515" t="s">
        <v>1430</v>
      </c>
      <c r="O515" t="s">
        <v>1497</v>
      </c>
    </row>
    <row r="516" spans="1:15">
      <c r="A516" t="s">
        <v>537</v>
      </c>
      <c r="B516" t="s">
        <v>925</v>
      </c>
      <c r="C516" t="s">
        <v>979</v>
      </c>
      <c r="D516" t="s">
        <v>981</v>
      </c>
      <c r="E516" t="s">
        <v>982</v>
      </c>
      <c r="G516">
        <v>220050</v>
      </c>
      <c r="H516" t="s">
        <v>995</v>
      </c>
      <c r="I516" s="3">
        <f>G516 * J516</f>
        <v>0</v>
      </c>
      <c r="J516" s="3">
        <f>IF(H516="HUF", 1, IFERROR(VLOOKUP(B516&amp;H516, '22_ExchangeRates'!A:E, 5, FALSE), 1))</f>
        <v>0</v>
      </c>
      <c r="K516" t="s">
        <v>1011</v>
      </c>
      <c r="O516" t="s">
        <v>1497</v>
      </c>
    </row>
    <row r="517" spans="1:15">
      <c r="A517" t="s">
        <v>538</v>
      </c>
      <c r="B517" t="s">
        <v>926</v>
      </c>
      <c r="C517" t="s">
        <v>978</v>
      </c>
      <c r="D517" t="s">
        <v>981</v>
      </c>
      <c r="E517" t="s">
        <v>982</v>
      </c>
      <c r="G517">
        <v>1429</v>
      </c>
      <c r="H517" t="s">
        <v>995</v>
      </c>
      <c r="I517" s="3">
        <f>G517 * J517</f>
        <v>0</v>
      </c>
      <c r="J517" s="3">
        <f>IF(H517="HUF", 1, IFERROR(VLOOKUP(B517&amp;H517, '22_ExchangeRates'!A:E, 5, FALSE), 1))</f>
        <v>0</v>
      </c>
      <c r="K517" t="s">
        <v>1009</v>
      </c>
      <c r="N517" t="s">
        <v>1431</v>
      </c>
      <c r="O517" t="s">
        <v>1497</v>
      </c>
    </row>
    <row r="518" spans="1:15">
      <c r="A518" t="s">
        <v>539</v>
      </c>
      <c r="B518" t="s">
        <v>927</v>
      </c>
      <c r="C518" t="s">
        <v>978</v>
      </c>
      <c r="D518" t="s">
        <v>981</v>
      </c>
      <c r="E518" t="s">
        <v>982</v>
      </c>
      <c r="G518">
        <v>1679</v>
      </c>
      <c r="H518" t="s">
        <v>995</v>
      </c>
      <c r="I518" s="3">
        <f>G518 * J518</f>
        <v>0</v>
      </c>
      <c r="J518" s="3">
        <f>IF(H518="HUF", 1, IFERROR(VLOOKUP(B518&amp;H518, '22_ExchangeRates'!A:E, 5, FALSE), 1))</f>
        <v>0</v>
      </c>
      <c r="K518" t="s">
        <v>1009</v>
      </c>
      <c r="N518" t="s">
        <v>1431</v>
      </c>
      <c r="O518" t="s">
        <v>1497</v>
      </c>
    </row>
    <row r="519" spans="1:15">
      <c r="A519" t="s">
        <v>540</v>
      </c>
      <c r="B519" t="s">
        <v>927</v>
      </c>
      <c r="C519" t="s">
        <v>979</v>
      </c>
      <c r="D519" t="s">
        <v>981</v>
      </c>
      <c r="E519" t="s">
        <v>983</v>
      </c>
      <c r="G519">
        <v>10000</v>
      </c>
      <c r="H519" t="s">
        <v>995</v>
      </c>
      <c r="I519" s="3">
        <f>G519 * J519</f>
        <v>0</v>
      </c>
      <c r="J519" s="3">
        <f>IF(H519="HUF", 1, IFERROR(VLOOKUP(B519&amp;H519, '22_ExchangeRates'!A:E, 5, FALSE), 1))</f>
        <v>0</v>
      </c>
      <c r="K519" t="s">
        <v>1000</v>
      </c>
      <c r="N519" t="s">
        <v>1321</v>
      </c>
      <c r="O519" t="s">
        <v>1497</v>
      </c>
    </row>
    <row r="520" spans="1:15">
      <c r="A520" t="s">
        <v>541</v>
      </c>
      <c r="B520" t="s">
        <v>927</v>
      </c>
      <c r="C520" t="s">
        <v>979</v>
      </c>
      <c r="D520" t="s">
        <v>981</v>
      </c>
      <c r="E520" t="s">
        <v>983</v>
      </c>
      <c r="G520">
        <v>100000</v>
      </c>
      <c r="H520" t="s">
        <v>995</v>
      </c>
      <c r="I520" s="3">
        <f>G520 * J520</f>
        <v>0</v>
      </c>
      <c r="J520" s="3">
        <f>IF(H520="HUF", 1, IFERROR(VLOOKUP(B520&amp;H520, '22_ExchangeRates'!A:E, 5, FALSE), 1))</f>
        <v>0</v>
      </c>
      <c r="K520" t="s">
        <v>1000</v>
      </c>
      <c r="N520" t="s">
        <v>1432</v>
      </c>
      <c r="O520" t="s">
        <v>1497</v>
      </c>
    </row>
    <row r="521" spans="1:15">
      <c r="A521" t="s">
        <v>542</v>
      </c>
      <c r="B521" t="s">
        <v>928</v>
      </c>
      <c r="C521" t="s">
        <v>978</v>
      </c>
      <c r="D521" t="s">
        <v>981</v>
      </c>
      <c r="E521" t="s">
        <v>982</v>
      </c>
      <c r="G521">
        <v>3000</v>
      </c>
      <c r="H521" t="s">
        <v>995</v>
      </c>
      <c r="I521" s="3">
        <f>G521 * J521</f>
        <v>0</v>
      </c>
      <c r="J521" s="3">
        <f>IF(H521="HUF", 1, IFERROR(VLOOKUP(B521&amp;H521, '22_ExchangeRates'!A:E, 5, FALSE), 1))</f>
        <v>0</v>
      </c>
      <c r="K521" t="s">
        <v>1002</v>
      </c>
      <c r="N521" t="s">
        <v>1411</v>
      </c>
      <c r="O521" t="s">
        <v>1497</v>
      </c>
    </row>
    <row r="522" spans="1:15">
      <c r="A522" t="s">
        <v>543</v>
      </c>
      <c r="B522" t="s">
        <v>929</v>
      </c>
      <c r="C522" t="s">
        <v>978</v>
      </c>
      <c r="D522" t="s">
        <v>981</v>
      </c>
      <c r="E522" t="s">
        <v>982</v>
      </c>
      <c r="G522">
        <v>349</v>
      </c>
      <c r="H522" t="s">
        <v>995</v>
      </c>
      <c r="I522" s="3">
        <f>G522 * J522</f>
        <v>0</v>
      </c>
      <c r="J522" s="3">
        <f>IF(H522="HUF", 1, IFERROR(VLOOKUP(B522&amp;H522, '22_ExchangeRates'!A:E, 5, FALSE), 1))</f>
        <v>0</v>
      </c>
      <c r="K522" t="s">
        <v>1003</v>
      </c>
      <c r="N522" t="s">
        <v>1433</v>
      </c>
      <c r="O522" t="s">
        <v>1497</v>
      </c>
    </row>
    <row r="523" spans="1:15">
      <c r="A523" t="s">
        <v>544</v>
      </c>
      <c r="B523" t="s">
        <v>930</v>
      </c>
      <c r="C523" t="s">
        <v>978</v>
      </c>
      <c r="D523" t="s">
        <v>981</v>
      </c>
      <c r="E523" t="s">
        <v>982</v>
      </c>
      <c r="G523">
        <v>646</v>
      </c>
      <c r="H523" t="s">
        <v>995</v>
      </c>
      <c r="I523" s="3">
        <f>G523 * J523</f>
        <v>0</v>
      </c>
      <c r="J523" s="3">
        <f>IF(H523="HUF", 1, IFERROR(VLOOKUP(B523&amp;H523, '22_ExchangeRates'!A:E, 5, FALSE), 1))</f>
        <v>0</v>
      </c>
      <c r="K523" t="s">
        <v>1009</v>
      </c>
      <c r="N523" t="s">
        <v>1431</v>
      </c>
      <c r="O523" t="s">
        <v>1497</v>
      </c>
    </row>
    <row r="524" spans="1:15">
      <c r="A524" t="s">
        <v>545</v>
      </c>
      <c r="B524" t="s">
        <v>930</v>
      </c>
      <c r="C524" t="s">
        <v>978</v>
      </c>
      <c r="D524" t="s">
        <v>981</v>
      </c>
      <c r="E524" t="s">
        <v>982</v>
      </c>
      <c r="G524">
        <v>670</v>
      </c>
      <c r="H524" t="s">
        <v>995</v>
      </c>
      <c r="I524" s="3">
        <f>G524 * J524</f>
        <v>0</v>
      </c>
      <c r="J524" s="3">
        <f>IF(H524="HUF", 1, IFERROR(VLOOKUP(B524&amp;H524, '22_ExchangeRates'!A:E, 5, FALSE), 1))</f>
        <v>0</v>
      </c>
      <c r="K524" t="s">
        <v>1009</v>
      </c>
      <c r="N524" t="s">
        <v>1431</v>
      </c>
      <c r="O524" t="s">
        <v>1497</v>
      </c>
    </row>
    <row r="525" spans="1:15">
      <c r="A525" t="s">
        <v>546</v>
      </c>
      <c r="B525" t="s">
        <v>931</v>
      </c>
      <c r="C525" t="s">
        <v>978</v>
      </c>
      <c r="D525" t="s">
        <v>981</v>
      </c>
      <c r="E525" t="s">
        <v>982</v>
      </c>
      <c r="G525">
        <v>745</v>
      </c>
      <c r="H525" t="s">
        <v>995</v>
      </c>
      <c r="I525" s="3">
        <f>G525 * J525</f>
        <v>0</v>
      </c>
      <c r="J525" s="3">
        <f>IF(H525="HUF", 1, IFERROR(VLOOKUP(B525&amp;H525, '22_ExchangeRates'!A:E, 5, FALSE), 1))</f>
        <v>0</v>
      </c>
      <c r="K525" t="s">
        <v>1009</v>
      </c>
      <c r="N525" t="s">
        <v>1431</v>
      </c>
      <c r="O525" t="s">
        <v>1497</v>
      </c>
    </row>
    <row r="526" spans="1:15">
      <c r="A526" t="s">
        <v>547</v>
      </c>
      <c r="B526" t="s">
        <v>932</v>
      </c>
      <c r="C526" t="s">
        <v>978</v>
      </c>
      <c r="D526" t="s">
        <v>981</v>
      </c>
      <c r="E526" t="s">
        <v>982</v>
      </c>
      <c r="G526">
        <v>3000</v>
      </c>
      <c r="H526" t="s">
        <v>995</v>
      </c>
      <c r="I526" s="3">
        <f>G526 * J526</f>
        <v>0</v>
      </c>
      <c r="J526" s="3">
        <f>IF(H526="HUF", 1, IFERROR(VLOOKUP(B526&amp;H526, '22_ExchangeRates'!A:E, 5, FALSE), 1))</f>
        <v>0</v>
      </c>
      <c r="K526" t="s">
        <v>1002</v>
      </c>
      <c r="N526" t="s">
        <v>1411</v>
      </c>
      <c r="O526" t="s">
        <v>1497</v>
      </c>
    </row>
    <row r="527" spans="1:15">
      <c r="A527" t="s">
        <v>548</v>
      </c>
      <c r="B527" t="s">
        <v>933</v>
      </c>
      <c r="C527" t="s">
        <v>978</v>
      </c>
      <c r="D527" t="s">
        <v>981</v>
      </c>
      <c r="E527" t="s">
        <v>982</v>
      </c>
      <c r="G527">
        <v>1016</v>
      </c>
      <c r="H527" t="s">
        <v>995</v>
      </c>
      <c r="I527" s="3">
        <f>G527 * J527</f>
        <v>0</v>
      </c>
      <c r="J527" s="3">
        <f>IF(H527="HUF", 1, IFERROR(VLOOKUP(B527&amp;H527, '22_ExchangeRates'!A:E, 5, FALSE), 1))</f>
        <v>0</v>
      </c>
      <c r="K527" t="s">
        <v>1009</v>
      </c>
      <c r="N527" t="s">
        <v>1431</v>
      </c>
      <c r="O527" t="s">
        <v>1497</v>
      </c>
    </row>
    <row r="528" spans="1:15">
      <c r="A528" t="s">
        <v>549</v>
      </c>
      <c r="B528" t="s">
        <v>934</v>
      </c>
      <c r="C528" t="s">
        <v>978</v>
      </c>
      <c r="D528" t="s">
        <v>981</v>
      </c>
      <c r="E528" t="s">
        <v>982</v>
      </c>
      <c r="G528">
        <v>3000</v>
      </c>
      <c r="H528" t="s">
        <v>995</v>
      </c>
      <c r="I528" s="3">
        <f>G528 * J528</f>
        <v>0</v>
      </c>
      <c r="J528" s="3">
        <f>IF(H528="HUF", 1, IFERROR(VLOOKUP(B528&amp;H528, '22_ExchangeRates'!A:E, 5, FALSE), 1))</f>
        <v>0</v>
      </c>
      <c r="K528" t="s">
        <v>1002</v>
      </c>
      <c r="N528" t="s">
        <v>1411</v>
      </c>
      <c r="O528" t="s">
        <v>1497</v>
      </c>
    </row>
    <row r="529" spans="1:15">
      <c r="A529" t="s">
        <v>550</v>
      </c>
      <c r="B529" t="s">
        <v>935</v>
      </c>
      <c r="C529" t="s">
        <v>978</v>
      </c>
      <c r="D529" t="s">
        <v>981</v>
      </c>
      <c r="E529" t="s">
        <v>982</v>
      </c>
      <c r="G529">
        <v>363</v>
      </c>
      <c r="H529" t="s">
        <v>995</v>
      </c>
      <c r="I529" s="3">
        <f>G529 * J529</f>
        <v>0</v>
      </c>
      <c r="J529" s="3">
        <f>IF(H529="HUF", 1, IFERROR(VLOOKUP(B529&amp;H529, '22_ExchangeRates'!A:E, 5, FALSE), 1))</f>
        <v>0</v>
      </c>
      <c r="K529" t="s">
        <v>1002</v>
      </c>
      <c r="N529" t="s">
        <v>1434</v>
      </c>
      <c r="O529" t="s">
        <v>1497</v>
      </c>
    </row>
    <row r="530" spans="1:15">
      <c r="A530" t="s">
        <v>551</v>
      </c>
      <c r="B530" t="s">
        <v>936</v>
      </c>
      <c r="C530" t="s">
        <v>978</v>
      </c>
      <c r="D530" t="s">
        <v>981</v>
      </c>
      <c r="E530" t="s">
        <v>982</v>
      </c>
      <c r="G530">
        <v>8790</v>
      </c>
      <c r="H530" t="s">
        <v>995</v>
      </c>
      <c r="I530" s="3">
        <f>G530 * J530</f>
        <v>0</v>
      </c>
      <c r="J530" s="3">
        <f>IF(H530="HUF", 1, IFERROR(VLOOKUP(B530&amp;H530, '22_ExchangeRates'!A:E, 5, FALSE), 1))</f>
        <v>0</v>
      </c>
      <c r="K530" t="s">
        <v>1009</v>
      </c>
      <c r="N530" t="s">
        <v>1398</v>
      </c>
      <c r="O530" t="s">
        <v>1497</v>
      </c>
    </row>
    <row r="531" spans="1:15">
      <c r="A531" t="s">
        <v>552</v>
      </c>
      <c r="B531" t="s">
        <v>936</v>
      </c>
      <c r="C531" t="s">
        <v>978</v>
      </c>
      <c r="D531" t="s">
        <v>981</v>
      </c>
      <c r="E531" t="s">
        <v>982</v>
      </c>
      <c r="G531">
        <v>2524</v>
      </c>
      <c r="H531" t="s">
        <v>995</v>
      </c>
      <c r="I531" s="3">
        <f>G531 * J531</f>
        <v>0</v>
      </c>
      <c r="J531" s="3">
        <f>IF(H531="HUF", 1, IFERROR(VLOOKUP(B531&amp;H531, '22_ExchangeRates'!A:E, 5, FALSE), 1))</f>
        <v>0</v>
      </c>
      <c r="K531" t="s">
        <v>1005</v>
      </c>
      <c r="N531" t="s">
        <v>1435</v>
      </c>
      <c r="O531" t="s">
        <v>1497</v>
      </c>
    </row>
    <row r="532" spans="1:15">
      <c r="A532" t="s">
        <v>553</v>
      </c>
      <c r="B532" t="s">
        <v>937</v>
      </c>
      <c r="C532" t="s">
        <v>978</v>
      </c>
      <c r="D532" t="s">
        <v>981</v>
      </c>
      <c r="E532" t="s">
        <v>982</v>
      </c>
      <c r="G532">
        <v>7866</v>
      </c>
      <c r="H532" t="s">
        <v>995</v>
      </c>
      <c r="I532" s="3">
        <f>G532 * J532</f>
        <v>0</v>
      </c>
      <c r="J532" s="3">
        <f>IF(H532="HUF", 1, IFERROR(VLOOKUP(B532&amp;H532, '22_ExchangeRates'!A:E, 5, FALSE), 1))</f>
        <v>0</v>
      </c>
      <c r="K532" t="s">
        <v>1002</v>
      </c>
      <c r="N532" t="s">
        <v>1436</v>
      </c>
      <c r="O532" t="s">
        <v>1497</v>
      </c>
    </row>
    <row r="533" spans="1:15">
      <c r="A533" t="s">
        <v>554</v>
      </c>
      <c r="B533" t="s">
        <v>938</v>
      </c>
      <c r="C533" t="s">
        <v>978</v>
      </c>
      <c r="D533" t="s">
        <v>981</v>
      </c>
      <c r="E533" t="s">
        <v>982</v>
      </c>
      <c r="G533">
        <v>1890</v>
      </c>
      <c r="H533" t="s">
        <v>995</v>
      </c>
      <c r="I533" s="3">
        <f>G533 * J533</f>
        <v>0</v>
      </c>
      <c r="J533" s="3">
        <f>IF(H533="HUF", 1, IFERROR(VLOOKUP(B533&amp;H533, '22_ExchangeRates'!A:E, 5, FALSE), 1))</f>
        <v>0</v>
      </c>
      <c r="K533" t="s">
        <v>1001</v>
      </c>
      <c r="N533" t="s">
        <v>1202</v>
      </c>
      <c r="O533" t="s">
        <v>1497</v>
      </c>
    </row>
    <row r="534" spans="1:15">
      <c r="A534" t="s">
        <v>555</v>
      </c>
      <c r="B534" t="s">
        <v>939</v>
      </c>
      <c r="C534" t="s">
        <v>978</v>
      </c>
      <c r="D534" t="s">
        <v>981</v>
      </c>
      <c r="E534" t="s">
        <v>982</v>
      </c>
      <c r="G534">
        <v>3000</v>
      </c>
      <c r="H534" t="s">
        <v>995</v>
      </c>
      <c r="I534" s="3">
        <f>G534 * J534</f>
        <v>0</v>
      </c>
      <c r="J534" s="3">
        <f>IF(H534="HUF", 1, IFERROR(VLOOKUP(B534&amp;H534, '22_ExchangeRates'!A:E, 5, FALSE), 1))</f>
        <v>0</v>
      </c>
      <c r="K534" t="s">
        <v>1002</v>
      </c>
      <c r="N534" t="s">
        <v>1411</v>
      </c>
      <c r="O534" t="s">
        <v>1497</v>
      </c>
    </row>
    <row r="535" spans="1:15">
      <c r="A535" t="s">
        <v>556</v>
      </c>
      <c r="B535" t="s">
        <v>940</v>
      </c>
      <c r="C535" t="s">
        <v>978</v>
      </c>
      <c r="D535" t="s">
        <v>981</v>
      </c>
      <c r="E535" t="s">
        <v>982</v>
      </c>
      <c r="G535">
        <v>4000</v>
      </c>
      <c r="H535" t="s">
        <v>995</v>
      </c>
      <c r="I535" s="3">
        <f>G535 * J535</f>
        <v>0</v>
      </c>
      <c r="J535" s="3">
        <f>IF(H535="HUF", 1, IFERROR(VLOOKUP(B535&amp;H535, '22_ExchangeRates'!A:E, 5, FALSE), 1))</f>
        <v>0</v>
      </c>
      <c r="K535" t="s">
        <v>1003</v>
      </c>
      <c r="N535" t="s">
        <v>1437</v>
      </c>
      <c r="O535" t="s">
        <v>1497</v>
      </c>
    </row>
    <row r="536" spans="1:15">
      <c r="A536" t="s">
        <v>557</v>
      </c>
      <c r="B536" t="s">
        <v>941</v>
      </c>
      <c r="C536" t="s">
        <v>978</v>
      </c>
      <c r="D536" t="s">
        <v>981</v>
      </c>
      <c r="E536" t="s">
        <v>982</v>
      </c>
      <c r="G536">
        <v>22500</v>
      </c>
      <c r="H536" t="s">
        <v>995</v>
      </c>
      <c r="I536" s="3">
        <f>G536 * J536</f>
        <v>0</v>
      </c>
      <c r="J536" s="3">
        <f>IF(H536="HUF", 1, IFERROR(VLOOKUP(B536&amp;H536, '22_ExchangeRates'!A:E, 5, FALSE), 1))</f>
        <v>0</v>
      </c>
      <c r="K536" t="s">
        <v>1002</v>
      </c>
      <c r="N536" t="s">
        <v>1438</v>
      </c>
      <c r="O536" t="s">
        <v>1497</v>
      </c>
    </row>
    <row r="537" spans="1:15">
      <c r="A537" t="s">
        <v>558</v>
      </c>
      <c r="B537" t="s">
        <v>942</v>
      </c>
      <c r="C537" t="s">
        <v>978</v>
      </c>
      <c r="D537" t="s">
        <v>981</v>
      </c>
      <c r="E537" t="s">
        <v>982</v>
      </c>
      <c r="G537">
        <v>217.39</v>
      </c>
      <c r="H537" t="s">
        <v>995</v>
      </c>
      <c r="I537" s="3">
        <f>G537 * J537</f>
        <v>0</v>
      </c>
      <c r="J537" s="3">
        <f>IF(H537="HUF", 1, IFERROR(VLOOKUP(B537&amp;H537, '22_ExchangeRates'!A:E, 5, FALSE), 1))</f>
        <v>0</v>
      </c>
      <c r="K537" t="s">
        <v>1003</v>
      </c>
      <c r="N537" t="s">
        <v>1439</v>
      </c>
      <c r="O537" t="s">
        <v>1497</v>
      </c>
    </row>
    <row r="538" spans="1:15">
      <c r="A538" t="s">
        <v>559</v>
      </c>
      <c r="B538" t="s">
        <v>942</v>
      </c>
      <c r="C538" t="s">
        <v>978</v>
      </c>
      <c r="D538" t="s">
        <v>981</v>
      </c>
      <c r="E538" t="s">
        <v>982</v>
      </c>
      <c r="G538">
        <v>1530</v>
      </c>
      <c r="H538" t="s">
        <v>995</v>
      </c>
      <c r="I538" s="3">
        <f>G538 * J538</f>
        <v>0</v>
      </c>
      <c r="J538" s="3">
        <f>IF(H538="HUF", 1, IFERROR(VLOOKUP(B538&amp;H538, '22_ExchangeRates'!A:E, 5, FALSE), 1))</f>
        <v>0</v>
      </c>
      <c r="K538" t="s">
        <v>1009</v>
      </c>
      <c r="N538" t="s">
        <v>1431</v>
      </c>
      <c r="O538" t="s">
        <v>1497</v>
      </c>
    </row>
    <row r="539" spans="1:15">
      <c r="A539" t="s">
        <v>560</v>
      </c>
      <c r="B539" t="s">
        <v>943</v>
      </c>
      <c r="C539" t="s">
        <v>978</v>
      </c>
      <c r="D539" t="s">
        <v>981</v>
      </c>
      <c r="E539" t="s">
        <v>982</v>
      </c>
      <c r="G539">
        <v>2180.52</v>
      </c>
      <c r="H539" t="s">
        <v>995</v>
      </c>
      <c r="I539" s="3">
        <f>G539 * J539</f>
        <v>0</v>
      </c>
      <c r="J539" s="3">
        <f>IF(H539="HUF", 1, IFERROR(VLOOKUP(B539&amp;H539, '22_ExchangeRates'!A:E, 5, FALSE), 1))</f>
        <v>0</v>
      </c>
      <c r="K539" t="s">
        <v>1001</v>
      </c>
      <c r="N539" t="s">
        <v>1440</v>
      </c>
      <c r="O539" t="s">
        <v>1497</v>
      </c>
    </row>
    <row r="540" spans="1:15">
      <c r="A540" t="s">
        <v>561</v>
      </c>
      <c r="B540" t="s">
        <v>943</v>
      </c>
      <c r="C540" t="s">
        <v>978</v>
      </c>
      <c r="D540" t="s">
        <v>981</v>
      </c>
      <c r="E540" t="s">
        <v>982</v>
      </c>
      <c r="G540">
        <v>2173.91</v>
      </c>
      <c r="H540" t="s">
        <v>995</v>
      </c>
      <c r="I540" s="3">
        <f>G540 * J540</f>
        <v>0</v>
      </c>
      <c r="J540" s="3">
        <f>IF(H540="HUF", 1, IFERROR(VLOOKUP(B540&amp;H540, '22_ExchangeRates'!A:E, 5, FALSE), 1))</f>
        <v>0</v>
      </c>
      <c r="K540" t="s">
        <v>1001</v>
      </c>
      <c r="N540" t="s">
        <v>1440</v>
      </c>
      <c r="O540" t="s">
        <v>1497</v>
      </c>
    </row>
    <row r="541" spans="1:15">
      <c r="A541" t="s">
        <v>562</v>
      </c>
      <c r="B541" t="s">
        <v>944</v>
      </c>
      <c r="C541" t="s">
        <v>978</v>
      </c>
      <c r="D541" t="s">
        <v>981</v>
      </c>
      <c r="E541" t="s">
        <v>982</v>
      </c>
      <c r="G541">
        <v>4377.96</v>
      </c>
      <c r="H541" t="s">
        <v>995</v>
      </c>
      <c r="I541" s="3">
        <f>G541 * J541</f>
        <v>0</v>
      </c>
      <c r="J541" s="3">
        <f>IF(H541="HUF", 1, IFERROR(VLOOKUP(B541&amp;H541, '22_ExchangeRates'!A:E, 5, FALSE), 1))</f>
        <v>0</v>
      </c>
      <c r="K541" t="s">
        <v>1001</v>
      </c>
      <c r="N541" t="s">
        <v>1441</v>
      </c>
      <c r="O541" t="s">
        <v>1497</v>
      </c>
    </row>
    <row r="542" spans="1:15">
      <c r="A542" t="s">
        <v>563</v>
      </c>
      <c r="B542" t="s">
        <v>944</v>
      </c>
      <c r="C542" t="s">
        <v>978</v>
      </c>
      <c r="D542" t="s">
        <v>981</v>
      </c>
      <c r="E542" t="s">
        <v>982</v>
      </c>
      <c r="G542">
        <v>5.2</v>
      </c>
      <c r="H542" t="s">
        <v>995</v>
      </c>
      <c r="I542" s="3">
        <f>G542 * J542</f>
        <v>0</v>
      </c>
      <c r="J542" s="3">
        <f>IF(H542="HUF", 1, IFERROR(VLOOKUP(B542&amp;H542, '22_ExchangeRates'!A:E, 5, FALSE), 1))</f>
        <v>0</v>
      </c>
      <c r="K542" t="s">
        <v>1003</v>
      </c>
      <c r="N542" t="s">
        <v>1442</v>
      </c>
      <c r="O542" t="s">
        <v>1497</v>
      </c>
    </row>
    <row r="543" spans="1:15">
      <c r="A543" t="s">
        <v>564</v>
      </c>
      <c r="B543" t="s">
        <v>945</v>
      </c>
      <c r="C543" t="s">
        <v>979</v>
      </c>
      <c r="D543" t="s">
        <v>981</v>
      </c>
      <c r="E543" t="s">
        <v>982</v>
      </c>
      <c r="G543">
        <v>220050</v>
      </c>
      <c r="H543" t="s">
        <v>995</v>
      </c>
      <c r="I543" s="3">
        <f>G543 * J543</f>
        <v>0</v>
      </c>
      <c r="J543" s="3">
        <f>IF(H543="HUF", 1, IFERROR(VLOOKUP(B543&amp;H543, '22_ExchangeRates'!A:E, 5, FALSE), 1))</f>
        <v>0</v>
      </c>
      <c r="K543" t="s">
        <v>1011</v>
      </c>
      <c r="O543" t="s">
        <v>1497</v>
      </c>
    </row>
    <row r="544" spans="1:15">
      <c r="A544" t="s">
        <v>565</v>
      </c>
      <c r="B544" t="s">
        <v>946</v>
      </c>
      <c r="C544" t="s">
        <v>978</v>
      </c>
      <c r="D544" t="s">
        <v>981</v>
      </c>
      <c r="E544" t="s">
        <v>982</v>
      </c>
      <c r="G544">
        <v>1890</v>
      </c>
      <c r="H544" t="s">
        <v>995</v>
      </c>
      <c r="I544" s="3">
        <f>G544 * J544</f>
        <v>0</v>
      </c>
      <c r="J544" s="3">
        <f>IF(H544="HUF", 1, IFERROR(VLOOKUP(B544&amp;H544, '22_ExchangeRates'!A:E, 5, FALSE), 1))</f>
        <v>0</v>
      </c>
      <c r="K544" t="s">
        <v>1003</v>
      </c>
      <c r="N544" t="s">
        <v>1443</v>
      </c>
      <c r="O544" t="s">
        <v>1497</v>
      </c>
    </row>
    <row r="545" spans="1:17">
      <c r="A545" t="s">
        <v>566</v>
      </c>
      <c r="B545" t="s">
        <v>946</v>
      </c>
      <c r="C545" t="s">
        <v>978</v>
      </c>
      <c r="D545" t="s">
        <v>981</v>
      </c>
      <c r="E545" t="s">
        <v>982</v>
      </c>
      <c r="G545">
        <v>3700</v>
      </c>
      <c r="H545" t="s">
        <v>995</v>
      </c>
      <c r="I545" s="3">
        <f>G545 * J545</f>
        <v>0</v>
      </c>
      <c r="J545" s="3">
        <f>IF(H545="HUF", 1, IFERROR(VLOOKUP(B545&amp;H545, '22_ExchangeRates'!A:E, 5, FALSE), 1))</f>
        <v>0</v>
      </c>
      <c r="K545" t="s">
        <v>1002</v>
      </c>
      <c r="N545" t="s">
        <v>1444</v>
      </c>
      <c r="O545" t="s">
        <v>1497</v>
      </c>
    </row>
    <row r="546" spans="1:17">
      <c r="A546" t="s">
        <v>567</v>
      </c>
      <c r="B546" t="s">
        <v>947</v>
      </c>
      <c r="C546" t="s">
        <v>978</v>
      </c>
      <c r="D546" t="s">
        <v>981</v>
      </c>
      <c r="E546" t="s">
        <v>982</v>
      </c>
      <c r="G546">
        <v>5000</v>
      </c>
      <c r="H546" t="s">
        <v>995</v>
      </c>
      <c r="I546" s="3">
        <f>G546 * J546</f>
        <v>0</v>
      </c>
      <c r="J546" s="3">
        <f>IF(H546="HUF", 1, IFERROR(VLOOKUP(B546&amp;H546, '22_ExchangeRates'!A:E, 5, FALSE), 1))</f>
        <v>0</v>
      </c>
      <c r="K546" t="s">
        <v>1012</v>
      </c>
      <c r="N546" t="s">
        <v>1445</v>
      </c>
      <c r="O546" t="s">
        <v>1497</v>
      </c>
    </row>
    <row r="547" spans="1:17">
      <c r="A547" t="s">
        <v>568</v>
      </c>
      <c r="B547" t="s">
        <v>947</v>
      </c>
      <c r="C547" t="s">
        <v>978</v>
      </c>
      <c r="D547" t="s">
        <v>981</v>
      </c>
      <c r="E547" t="s">
        <v>982</v>
      </c>
      <c r="G547">
        <v>25000</v>
      </c>
      <c r="H547" t="s">
        <v>995</v>
      </c>
      <c r="I547" s="3">
        <f>G547 * J547</f>
        <v>0</v>
      </c>
      <c r="J547" s="3">
        <f>IF(H547="HUF", 1, IFERROR(VLOOKUP(B547&amp;H547, '22_ExchangeRates'!A:E, 5, FALSE), 1))</f>
        <v>0</v>
      </c>
      <c r="K547" t="s">
        <v>1012</v>
      </c>
      <c r="N547" t="s">
        <v>1446</v>
      </c>
      <c r="O547" t="s">
        <v>1497</v>
      </c>
    </row>
    <row r="548" spans="1:17">
      <c r="A548" t="s">
        <v>569</v>
      </c>
      <c r="B548" t="s">
        <v>947</v>
      </c>
      <c r="C548" t="s">
        <v>978</v>
      </c>
      <c r="D548" t="s">
        <v>981</v>
      </c>
      <c r="E548" t="s">
        <v>993</v>
      </c>
      <c r="G548">
        <v>152000</v>
      </c>
      <c r="H548" t="s">
        <v>995</v>
      </c>
      <c r="I548" s="3">
        <f>G548 * J548</f>
        <v>0</v>
      </c>
      <c r="J548" s="3">
        <f>IF(H548="HUF", 1, IFERROR(VLOOKUP(B548&amp;H548, '22_ExchangeRates'!A:E, 5, FALSE), 1))</f>
        <v>0</v>
      </c>
      <c r="K548" t="s">
        <v>1012</v>
      </c>
      <c r="N548" t="s">
        <v>1447</v>
      </c>
      <c r="O548" t="s">
        <v>1497</v>
      </c>
    </row>
    <row r="549" spans="1:17">
      <c r="A549" t="s">
        <v>570</v>
      </c>
      <c r="B549" t="s">
        <v>947</v>
      </c>
      <c r="C549" t="s">
        <v>978</v>
      </c>
      <c r="D549" t="s">
        <v>981</v>
      </c>
      <c r="E549" t="s">
        <v>982</v>
      </c>
      <c r="G549">
        <v>1949</v>
      </c>
      <c r="H549" t="s">
        <v>995</v>
      </c>
      <c r="I549" s="3">
        <f>G549 * J549</f>
        <v>0</v>
      </c>
      <c r="J549" s="3">
        <f>IF(H549="HUF", 1, IFERROR(VLOOKUP(B549&amp;H549, '22_ExchangeRates'!A:E, 5, FALSE), 1))</f>
        <v>0</v>
      </c>
      <c r="K549" t="s">
        <v>1002</v>
      </c>
      <c r="N549" t="s">
        <v>1448</v>
      </c>
      <c r="O549" t="s">
        <v>1497</v>
      </c>
    </row>
    <row r="550" spans="1:17">
      <c r="A550" t="s">
        <v>571</v>
      </c>
      <c r="B550" t="s">
        <v>947</v>
      </c>
      <c r="C550" t="s">
        <v>980</v>
      </c>
      <c r="D550" t="s">
        <v>981</v>
      </c>
      <c r="E550" t="s">
        <v>982</v>
      </c>
      <c r="F550" t="s">
        <v>993</v>
      </c>
      <c r="G550">
        <v>155000</v>
      </c>
      <c r="H550" t="s">
        <v>995</v>
      </c>
      <c r="I550" s="3">
        <f>G550 * J550</f>
        <v>0</v>
      </c>
      <c r="J550" s="3">
        <f>IF(H550="HUF", 1, IFERROR(VLOOKUP(B550&amp;H550, '22_ExchangeRates'!A:E, 5, FALSE), 1))</f>
        <v>0</v>
      </c>
      <c r="O550" t="s">
        <v>1497</v>
      </c>
    </row>
    <row r="551" spans="1:17">
      <c r="A551" t="s">
        <v>572</v>
      </c>
      <c r="B551" t="s">
        <v>948</v>
      </c>
      <c r="C551" t="s">
        <v>978</v>
      </c>
      <c r="D551" t="s">
        <v>981</v>
      </c>
      <c r="E551" t="s">
        <v>983</v>
      </c>
      <c r="G551">
        <v>800</v>
      </c>
      <c r="H551" t="s">
        <v>995</v>
      </c>
      <c r="I551" s="3">
        <f>G551 * J551</f>
        <v>0</v>
      </c>
      <c r="J551" s="3">
        <f>IF(H551="HUF", 1, IFERROR(VLOOKUP(B551&amp;H551, '22_ExchangeRates'!A:E, 5, FALSE), 1))</f>
        <v>0</v>
      </c>
      <c r="K551" t="s">
        <v>1002</v>
      </c>
      <c r="N551" t="s">
        <v>1449</v>
      </c>
      <c r="O551" t="s">
        <v>1497</v>
      </c>
    </row>
    <row r="552" spans="1:17">
      <c r="A552" t="s">
        <v>573</v>
      </c>
      <c r="B552" t="s">
        <v>948</v>
      </c>
      <c r="C552" t="s">
        <v>978</v>
      </c>
      <c r="D552" t="s">
        <v>981</v>
      </c>
      <c r="E552" t="s">
        <v>983</v>
      </c>
      <c r="G552">
        <v>2880</v>
      </c>
      <c r="H552" t="s">
        <v>995</v>
      </c>
      <c r="I552" s="3">
        <f>G552 * J552</f>
        <v>0</v>
      </c>
      <c r="J552" s="3">
        <f>IF(H552="HUF", 1, IFERROR(VLOOKUP(B552&amp;H552, '22_ExchangeRates'!A:E, 5, FALSE), 1))</f>
        <v>0</v>
      </c>
      <c r="K552" t="s">
        <v>1002</v>
      </c>
      <c r="N552" t="s">
        <v>1450</v>
      </c>
      <c r="O552" t="s">
        <v>1497</v>
      </c>
    </row>
    <row r="553" spans="1:17">
      <c r="A553" t="s">
        <v>574</v>
      </c>
      <c r="B553" t="s">
        <v>948</v>
      </c>
      <c r="C553" t="s">
        <v>978</v>
      </c>
      <c r="D553" t="s">
        <v>981</v>
      </c>
      <c r="E553" t="s">
        <v>982</v>
      </c>
      <c r="G553">
        <v>19866</v>
      </c>
      <c r="H553" t="s">
        <v>995</v>
      </c>
      <c r="I553" s="3">
        <f>G553 * J553</f>
        <v>0</v>
      </c>
      <c r="J553" s="3">
        <f>IF(H553="HUF", 1, IFERROR(VLOOKUP(B553&amp;H553, '22_ExchangeRates'!A:E, 5, FALSE), 1))</f>
        <v>0</v>
      </c>
      <c r="K553" t="s">
        <v>1010</v>
      </c>
      <c r="N553" t="s">
        <v>1451</v>
      </c>
      <c r="O553" t="s">
        <v>1497</v>
      </c>
    </row>
    <row r="554" spans="1:17">
      <c r="A554" t="s">
        <v>575</v>
      </c>
      <c r="B554" t="s">
        <v>949</v>
      </c>
      <c r="C554" t="s">
        <v>979</v>
      </c>
      <c r="D554" t="s">
        <v>981</v>
      </c>
      <c r="E554" t="s">
        <v>982</v>
      </c>
      <c r="G554">
        <v>150000</v>
      </c>
      <c r="H554" t="s">
        <v>995</v>
      </c>
      <c r="I554" s="3">
        <f>G554 * J554</f>
        <v>0</v>
      </c>
      <c r="J554" s="3">
        <f>IF(H554="HUF", 1, IFERROR(VLOOKUP(B554&amp;H554, '22_ExchangeRates'!A:E, 5, FALSE), 1))</f>
        <v>0</v>
      </c>
      <c r="L554" t="s">
        <v>1013</v>
      </c>
      <c r="N554" t="s">
        <v>1452</v>
      </c>
      <c r="O554" t="s">
        <v>1497</v>
      </c>
      <c r="Q554" t="s">
        <v>1498</v>
      </c>
    </row>
    <row r="555" spans="1:17">
      <c r="A555" t="s">
        <v>576</v>
      </c>
      <c r="B555" t="s">
        <v>949</v>
      </c>
      <c r="C555" t="s">
        <v>979</v>
      </c>
      <c r="D555" t="s">
        <v>981</v>
      </c>
      <c r="E555" t="s">
        <v>983</v>
      </c>
      <c r="G555">
        <v>400000</v>
      </c>
      <c r="H555" t="s">
        <v>995</v>
      </c>
      <c r="I555" s="3">
        <f>G555 * J555</f>
        <v>0</v>
      </c>
      <c r="J555" s="3">
        <f>IF(H555="HUF", 1, IFERROR(VLOOKUP(B555&amp;H555, '22_ExchangeRates'!A:E, 5, FALSE), 1))</f>
        <v>0</v>
      </c>
      <c r="L555" t="s">
        <v>1014</v>
      </c>
      <c r="N555" t="s">
        <v>1452</v>
      </c>
      <c r="O555" t="s">
        <v>1497</v>
      </c>
      <c r="Q555" t="s">
        <v>1499</v>
      </c>
    </row>
    <row r="556" spans="1:17">
      <c r="A556" t="s">
        <v>577</v>
      </c>
      <c r="B556" t="s">
        <v>949</v>
      </c>
      <c r="C556" t="s">
        <v>979</v>
      </c>
      <c r="D556" t="s">
        <v>981</v>
      </c>
      <c r="E556" t="s">
        <v>984</v>
      </c>
      <c r="G556">
        <v>1850000</v>
      </c>
      <c r="H556" t="s">
        <v>995</v>
      </c>
      <c r="I556" s="3">
        <f>G556 * J556</f>
        <v>0</v>
      </c>
      <c r="J556" s="3">
        <f>IF(H556="HUF", 1, IFERROR(VLOOKUP(B556&amp;H556, '22_ExchangeRates'!A:E, 5, FALSE), 1))</f>
        <v>0</v>
      </c>
      <c r="L556" t="s">
        <v>1015</v>
      </c>
      <c r="N556" t="s">
        <v>1452</v>
      </c>
      <c r="O556" t="s">
        <v>1497</v>
      </c>
      <c r="Q556" t="s">
        <v>1500</v>
      </c>
    </row>
    <row r="557" spans="1:17">
      <c r="A557" t="s">
        <v>578</v>
      </c>
      <c r="B557" t="s">
        <v>949</v>
      </c>
      <c r="C557" t="s">
        <v>979</v>
      </c>
      <c r="D557" t="s">
        <v>981</v>
      </c>
      <c r="E557" t="s">
        <v>984</v>
      </c>
      <c r="G557">
        <v>840000</v>
      </c>
      <c r="H557" t="s">
        <v>995</v>
      </c>
      <c r="I557" s="3">
        <f>G557 * J557</f>
        <v>0</v>
      </c>
      <c r="J557" s="3">
        <f>IF(H557="HUF", 1, IFERROR(VLOOKUP(B557&amp;H557, '22_ExchangeRates'!A:E, 5, FALSE), 1))</f>
        <v>0</v>
      </c>
      <c r="L557" t="s">
        <v>1015</v>
      </c>
      <c r="N557" t="s">
        <v>1452</v>
      </c>
      <c r="O557" t="s">
        <v>1497</v>
      </c>
      <c r="Q557" t="s">
        <v>1501</v>
      </c>
    </row>
    <row r="558" spans="1:17">
      <c r="A558" t="s">
        <v>579</v>
      </c>
      <c r="B558" t="s">
        <v>949</v>
      </c>
      <c r="C558" t="s">
        <v>978</v>
      </c>
      <c r="D558" t="s">
        <v>981</v>
      </c>
      <c r="E558" t="s">
        <v>993</v>
      </c>
      <c r="G558">
        <v>1058</v>
      </c>
      <c r="H558" t="s">
        <v>995</v>
      </c>
      <c r="I558" s="3">
        <f>G558 * J558</f>
        <v>0</v>
      </c>
      <c r="J558" s="3">
        <f>IF(H558="HUF", 1, IFERROR(VLOOKUP(B558&amp;H558, '22_ExchangeRates'!A:E, 5, FALSE), 1))</f>
        <v>0</v>
      </c>
      <c r="K558" t="s">
        <v>1012</v>
      </c>
      <c r="O558" t="s">
        <v>1497</v>
      </c>
      <c r="Q558" t="s">
        <v>1502</v>
      </c>
    </row>
    <row r="559" spans="1:17">
      <c r="A559" t="s">
        <v>580</v>
      </c>
      <c r="B559" t="s">
        <v>950</v>
      </c>
      <c r="C559" t="s">
        <v>979</v>
      </c>
      <c r="D559" t="s">
        <v>981</v>
      </c>
      <c r="E559" t="s">
        <v>993</v>
      </c>
      <c r="G559">
        <v>7990</v>
      </c>
      <c r="H559" t="s">
        <v>995</v>
      </c>
      <c r="I559" s="3">
        <f>G559 * J559</f>
        <v>0</v>
      </c>
      <c r="J559" s="3">
        <f>IF(H559="HUF", 1, IFERROR(VLOOKUP(B559&amp;H559, '22_ExchangeRates'!A:E, 5, FALSE), 1))</f>
        <v>0</v>
      </c>
      <c r="K559" t="s">
        <v>1012</v>
      </c>
      <c r="O559" t="s">
        <v>1497</v>
      </c>
      <c r="Q559" t="s">
        <v>1503</v>
      </c>
    </row>
    <row r="560" spans="1:17">
      <c r="A560" t="s">
        <v>581</v>
      </c>
      <c r="B560" t="s">
        <v>951</v>
      </c>
      <c r="C560" t="s">
        <v>978</v>
      </c>
      <c r="D560" t="s">
        <v>981</v>
      </c>
      <c r="E560" t="s">
        <v>982</v>
      </c>
      <c r="G560">
        <v>-3957</v>
      </c>
      <c r="H560" t="s">
        <v>995</v>
      </c>
      <c r="I560" s="3">
        <f>G560 * J560</f>
        <v>0</v>
      </c>
      <c r="J560" s="3">
        <f>IF(H560="HUF", 1, IFERROR(VLOOKUP(B560&amp;H560, '22_ExchangeRates'!A:E, 5, FALSE), 1))</f>
        <v>0</v>
      </c>
      <c r="K560" t="s">
        <v>1003</v>
      </c>
      <c r="N560" t="s">
        <v>1453</v>
      </c>
      <c r="O560" t="s">
        <v>1497</v>
      </c>
      <c r="Q560" t="s">
        <v>1504</v>
      </c>
    </row>
    <row r="561" spans="1:17">
      <c r="A561" t="s">
        <v>582</v>
      </c>
      <c r="B561" t="s">
        <v>952</v>
      </c>
      <c r="C561" t="s">
        <v>978</v>
      </c>
      <c r="D561" t="s">
        <v>981</v>
      </c>
      <c r="E561" t="s">
        <v>983</v>
      </c>
      <c r="G561">
        <v>1150</v>
      </c>
      <c r="H561" t="s">
        <v>995</v>
      </c>
      <c r="I561" s="3">
        <f>G561 * J561</f>
        <v>0</v>
      </c>
      <c r="J561" s="3">
        <f>IF(H561="HUF", 1, IFERROR(VLOOKUP(B561&amp;H561, '22_ExchangeRates'!A:E, 5, FALSE), 1))</f>
        <v>0</v>
      </c>
      <c r="K561" t="s">
        <v>1002</v>
      </c>
      <c r="N561" t="s">
        <v>1454</v>
      </c>
      <c r="O561" t="s">
        <v>1497</v>
      </c>
      <c r="Q561" t="s">
        <v>1505</v>
      </c>
    </row>
    <row r="562" spans="1:17">
      <c r="A562" t="s">
        <v>583</v>
      </c>
      <c r="B562" t="s">
        <v>953</v>
      </c>
      <c r="C562" t="s">
        <v>978</v>
      </c>
      <c r="D562" t="s">
        <v>981</v>
      </c>
      <c r="E562" t="s">
        <v>982</v>
      </c>
      <c r="G562">
        <v>4950</v>
      </c>
      <c r="H562" t="s">
        <v>995</v>
      </c>
      <c r="I562" s="3">
        <f>G562 * J562</f>
        <v>0</v>
      </c>
      <c r="J562" s="3">
        <f>IF(H562="HUF", 1, IFERROR(VLOOKUP(B562&amp;H562, '22_ExchangeRates'!A:E, 5, FALSE), 1))</f>
        <v>0</v>
      </c>
      <c r="N562" t="s">
        <v>1455</v>
      </c>
      <c r="O562" t="s">
        <v>1497</v>
      </c>
      <c r="Q562" t="s">
        <v>1506</v>
      </c>
    </row>
    <row r="563" spans="1:17">
      <c r="A563" t="s">
        <v>584</v>
      </c>
      <c r="B563" t="s">
        <v>954</v>
      </c>
      <c r="C563" t="s">
        <v>978</v>
      </c>
      <c r="D563" t="s">
        <v>981</v>
      </c>
      <c r="E563" t="s">
        <v>982</v>
      </c>
      <c r="G563">
        <v>8790</v>
      </c>
      <c r="H563" t="s">
        <v>995</v>
      </c>
      <c r="I563" s="3">
        <f>G563 * J563</f>
        <v>0</v>
      </c>
      <c r="J563" s="3">
        <f>IF(H563="HUF", 1, IFERROR(VLOOKUP(B563&amp;H563, '22_ExchangeRates'!A:E, 5, FALSE), 1))</f>
        <v>0</v>
      </c>
      <c r="K563" t="s">
        <v>1009</v>
      </c>
      <c r="N563" t="s">
        <v>1456</v>
      </c>
      <c r="O563" t="s">
        <v>1497</v>
      </c>
      <c r="Q563" t="s">
        <v>1507</v>
      </c>
    </row>
    <row r="564" spans="1:17">
      <c r="A564" t="s">
        <v>585</v>
      </c>
      <c r="B564" t="s">
        <v>955</v>
      </c>
      <c r="C564" t="s">
        <v>978</v>
      </c>
      <c r="D564" t="s">
        <v>981</v>
      </c>
      <c r="E564" t="s">
        <v>982</v>
      </c>
      <c r="G564">
        <v>1749</v>
      </c>
      <c r="H564" t="s">
        <v>995</v>
      </c>
      <c r="I564" s="3">
        <f>G564 * J564</f>
        <v>0</v>
      </c>
      <c r="J564" s="3">
        <f>IF(H564="HUF", 1, IFERROR(VLOOKUP(B564&amp;H564, '22_ExchangeRates'!A:E, 5, FALSE), 1))</f>
        <v>0</v>
      </c>
      <c r="K564" t="s">
        <v>1005</v>
      </c>
      <c r="N564" t="s">
        <v>1457</v>
      </c>
      <c r="O564" t="s">
        <v>1497</v>
      </c>
      <c r="Q564" t="s">
        <v>1508</v>
      </c>
    </row>
    <row r="565" spans="1:17">
      <c r="A565" t="s">
        <v>586</v>
      </c>
      <c r="B565" t="s">
        <v>956</v>
      </c>
      <c r="C565" t="s">
        <v>978</v>
      </c>
      <c r="D565" t="s">
        <v>981</v>
      </c>
      <c r="E565" t="s">
        <v>982</v>
      </c>
      <c r="G565">
        <v>39396</v>
      </c>
      <c r="H565" t="s">
        <v>995</v>
      </c>
      <c r="I565" s="3">
        <f>G565 * J565</f>
        <v>0</v>
      </c>
      <c r="J565" s="3">
        <f>IF(H565="HUF", 1, IFERROR(VLOOKUP(B565&amp;H565, '22_ExchangeRates'!A:E, 5, FALSE), 1))</f>
        <v>0</v>
      </c>
      <c r="K565" t="s">
        <v>1010</v>
      </c>
      <c r="N565" t="s">
        <v>1458</v>
      </c>
      <c r="O565" t="s">
        <v>1497</v>
      </c>
      <c r="Q565" t="s">
        <v>1509</v>
      </c>
    </row>
    <row r="566" spans="1:17">
      <c r="A566" t="s">
        <v>587</v>
      </c>
      <c r="B566" t="s">
        <v>956</v>
      </c>
      <c r="C566" t="s">
        <v>978</v>
      </c>
      <c r="D566" t="s">
        <v>981</v>
      </c>
      <c r="E566" t="s">
        <v>982</v>
      </c>
      <c r="G566">
        <v>1500</v>
      </c>
      <c r="H566" t="s">
        <v>995</v>
      </c>
      <c r="I566" s="3">
        <f>G566 * J566</f>
        <v>0</v>
      </c>
      <c r="J566" s="3">
        <f>IF(H566="HUF", 1, IFERROR(VLOOKUP(B566&amp;H566, '22_ExchangeRates'!A:E, 5, FALSE), 1))</f>
        <v>0</v>
      </c>
      <c r="K566" t="s">
        <v>1003</v>
      </c>
      <c r="N566" t="s">
        <v>1459</v>
      </c>
      <c r="O566" t="s">
        <v>1497</v>
      </c>
      <c r="Q566" t="s">
        <v>1510</v>
      </c>
    </row>
    <row r="567" spans="1:17">
      <c r="A567" t="s">
        <v>588</v>
      </c>
      <c r="B567" t="s">
        <v>956</v>
      </c>
      <c r="C567" t="s">
        <v>978</v>
      </c>
      <c r="D567" t="s">
        <v>981</v>
      </c>
      <c r="E567" t="s">
        <v>982</v>
      </c>
      <c r="G567">
        <v>357</v>
      </c>
      <c r="H567" t="s">
        <v>995</v>
      </c>
      <c r="I567" s="3">
        <f>G567 * J567</f>
        <v>0</v>
      </c>
      <c r="J567" s="3">
        <f>IF(H567="HUF", 1, IFERROR(VLOOKUP(B567&amp;H567, '22_ExchangeRates'!A:E, 5, FALSE), 1))</f>
        <v>0</v>
      </c>
      <c r="K567" t="s">
        <v>1002</v>
      </c>
      <c r="N567" t="s">
        <v>1460</v>
      </c>
      <c r="O567" t="s">
        <v>1497</v>
      </c>
      <c r="Q567" t="s">
        <v>1511</v>
      </c>
    </row>
    <row r="568" spans="1:17">
      <c r="A568" t="s">
        <v>589</v>
      </c>
      <c r="B568" t="s">
        <v>956</v>
      </c>
      <c r="C568" t="s">
        <v>978</v>
      </c>
      <c r="D568" t="s">
        <v>981</v>
      </c>
      <c r="E568" t="s">
        <v>982</v>
      </c>
      <c r="G568">
        <v>39396</v>
      </c>
      <c r="H568" t="s">
        <v>995</v>
      </c>
      <c r="I568" s="3">
        <f>G568 * J568</f>
        <v>0</v>
      </c>
      <c r="J568" s="3">
        <f>IF(H568="HUF", 1, IFERROR(VLOOKUP(B568&amp;H568, '22_ExchangeRates'!A:E, 5, FALSE), 1))</f>
        <v>0</v>
      </c>
      <c r="K568" t="s">
        <v>1010</v>
      </c>
      <c r="N568" t="s">
        <v>1461</v>
      </c>
      <c r="O568" t="s">
        <v>1497</v>
      </c>
      <c r="Q568" t="s">
        <v>1512</v>
      </c>
    </row>
    <row r="569" spans="1:17">
      <c r="A569" t="s">
        <v>590</v>
      </c>
      <c r="B569" t="s">
        <v>956</v>
      </c>
      <c r="C569" t="s">
        <v>979</v>
      </c>
      <c r="D569" t="s">
        <v>981</v>
      </c>
      <c r="E569" t="s">
        <v>982</v>
      </c>
      <c r="G569">
        <v>11896</v>
      </c>
      <c r="H569" t="s">
        <v>995</v>
      </c>
      <c r="I569" s="3">
        <f>G569 * J569</f>
        <v>0</v>
      </c>
      <c r="J569" s="3">
        <f>IF(H569="HUF", 1, IFERROR(VLOOKUP(B569&amp;H569, '22_ExchangeRates'!A:E, 5, FALSE), 1))</f>
        <v>0</v>
      </c>
      <c r="K569" t="s">
        <v>1002</v>
      </c>
      <c r="N569" t="s">
        <v>1462</v>
      </c>
      <c r="O569" t="s">
        <v>1497</v>
      </c>
      <c r="Q569" t="s">
        <v>1513</v>
      </c>
    </row>
    <row r="570" spans="1:17">
      <c r="A570" t="s">
        <v>591</v>
      </c>
      <c r="B570" t="s">
        <v>956</v>
      </c>
      <c r="C570" t="s">
        <v>978</v>
      </c>
      <c r="D570" t="s">
        <v>981</v>
      </c>
      <c r="E570" t="s">
        <v>982</v>
      </c>
      <c r="G570">
        <v>4050</v>
      </c>
      <c r="H570" t="s">
        <v>995</v>
      </c>
      <c r="I570" s="3">
        <f>G570 * J570</f>
        <v>0</v>
      </c>
      <c r="J570" s="3">
        <f>IF(H570="HUF", 1, IFERROR(VLOOKUP(B570&amp;H570, '22_ExchangeRates'!A:E, 5, FALSE), 1))</f>
        <v>0</v>
      </c>
      <c r="K570" t="s">
        <v>1002</v>
      </c>
      <c r="N570" t="s">
        <v>1463</v>
      </c>
      <c r="O570" t="s">
        <v>1497</v>
      </c>
      <c r="Q570" t="s">
        <v>1514</v>
      </c>
    </row>
    <row r="571" spans="1:17">
      <c r="A571" t="s">
        <v>592</v>
      </c>
      <c r="B571" t="s">
        <v>957</v>
      </c>
      <c r="C571" t="s">
        <v>978</v>
      </c>
      <c r="D571" t="s">
        <v>981</v>
      </c>
      <c r="E571" t="s">
        <v>982</v>
      </c>
      <c r="G571">
        <v>7690</v>
      </c>
      <c r="H571" t="s">
        <v>995</v>
      </c>
      <c r="I571" s="3">
        <f>G571 * J571</f>
        <v>0</v>
      </c>
      <c r="J571" s="3">
        <f>IF(H571="HUF", 1, IFERROR(VLOOKUP(B571&amp;H571, '22_ExchangeRates'!A:E, 5, FALSE), 1))</f>
        <v>0</v>
      </c>
      <c r="K571" t="s">
        <v>1003</v>
      </c>
      <c r="N571" t="s">
        <v>1464</v>
      </c>
      <c r="O571" t="s">
        <v>1497</v>
      </c>
      <c r="Q571" t="s">
        <v>1515</v>
      </c>
    </row>
    <row r="572" spans="1:17">
      <c r="A572" t="s">
        <v>593</v>
      </c>
      <c r="B572" t="s">
        <v>958</v>
      </c>
      <c r="C572" t="s">
        <v>979</v>
      </c>
      <c r="D572" t="s">
        <v>981</v>
      </c>
      <c r="E572" t="s">
        <v>982</v>
      </c>
      <c r="G572">
        <v>220050</v>
      </c>
      <c r="H572" t="s">
        <v>995</v>
      </c>
      <c r="I572" s="3">
        <f>G572 * J572</f>
        <v>0</v>
      </c>
      <c r="J572" s="3">
        <f>IF(H572="HUF", 1, IFERROR(VLOOKUP(B572&amp;H572, '22_ExchangeRates'!A:E, 5, FALSE), 1))</f>
        <v>0</v>
      </c>
      <c r="K572" t="s">
        <v>1011</v>
      </c>
      <c r="O572" t="s">
        <v>1497</v>
      </c>
      <c r="Q572" t="s">
        <v>1516</v>
      </c>
    </row>
    <row r="573" spans="1:17">
      <c r="A573" t="s">
        <v>594</v>
      </c>
      <c r="B573" t="s">
        <v>959</v>
      </c>
      <c r="C573" t="s">
        <v>978</v>
      </c>
      <c r="D573" t="s">
        <v>981</v>
      </c>
      <c r="E573" t="s">
        <v>982</v>
      </c>
      <c r="G573">
        <v>2010</v>
      </c>
      <c r="H573" t="s">
        <v>995</v>
      </c>
      <c r="I573" s="3">
        <f>G573 * J573</f>
        <v>0</v>
      </c>
      <c r="J573" s="3">
        <f>IF(H573="HUF", 1, IFERROR(VLOOKUP(B573&amp;H573, '22_ExchangeRates'!A:E, 5, FALSE), 1))</f>
        <v>0</v>
      </c>
      <c r="K573" t="s">
        <v>1003</v>
      </c>
      <c r="N573" t="s">
        <v>1465</v>
      </c>
      <c r="O573" t="s">
        <v>1497</v>
      </c>
      <c r="Q573" t="s">
        <v>1517</v>
      </c>
    </row>
    <row r="574" spans="1:17">
      <c r="A574" t="s">
        <v>595</v>
      </c>
      <c r="B574" t="s">
        <v>960</v>
      </c>
      <c r="C574" t="s">
        <v>978</v>
      </c>
      <c r="D574" t="s">
        <v>981</v>
      </c>
      <c r="E574" t="s">
        <v>982</v>
      </c>
      <c r="G574">
        <v>2193</v>
      </c>
      <c r="H574" t="s">
        <v>995</v>
      </c>
      <c r="I574" s="3">
        <f>G574 * J574</f>
        <v>0</v>
      </c>
      <c r="J574" s="3">
        <f>IF(H574="HUF", 1, IFERROR(VLOOKUP(B574&amp;H574, '22_ExchangeRates'!A:E, 5, FALSE), 1))</f>
        <v>0</v>
      </c>
      <c r="K574" t="s">
        <v>1010</v>
      </c>
      <c r="N574" t="s">
        <v>1466</v>
      </c>
      <c r="O574" t="s">
        <v>1497</v>
      </c>
      <c r="Q574" t="s">
        <v>1518</v>
      </c>
    </row>
    <row r="575" spans="1:17">
      <c r="A575" t="s">
        <v>596</v>
      </c>
      <c r="B575" t="s">
        <v>961</v>
      </c>
      <c r="C575" t="s">
        <v>978</v>
      </c>
      <c r="D575" t="s">
        <v>981</v>
      </c>
      <c r="E575" t="s">
        <v>982</v>
      </c>
      <c r="G575">
        <v>3500</v>
      </c>
      <c r="H575" t="s">
        <v>995</v>
      </c>
      <c r="I575" s="3">
        <f>G575 * J575</f>
        <v>0</v>
      </c>
      <c r="J575" s="3">
        <f>IF(H575="HUF", 1, IFERROR(VLOOKUP(B575&amp;H575, '22_ExchangeRates'!A:E, 5, FALSE), 1))</f>
        <v>0</v>
      </c>
      <c r="K575" t="s">
        <v>1003</v>
      </c>
      <c r="N575" t="s">
        <v>1467</v>
      </c>
      <c r="O575" t="s">
        <v>1497</v>
      </c>
      <c r="Q575" t="s">
        <v>1519</v>
      </c>
    </row>
    <row r="576" spans="1:17">
      <c r="A576" t="s">
        <v>597</v>
      </c>
      <c r="B576" t="s">
        <v>962</v>
      </c>
      <c r="C576" t="s">
        <v>978</v>
      </c>
      <c r="D576" t="s">
        <v>981</v>
      </c>
      <c r="E576" t="s">
        <v>982</v>
      </c>
      <c r="G576">
        <v>2400</v>
      </c>
      <c r="H576" t="s">
        <v>995</v>
      </c>
      <c r="I576" s="3">
        <f>G576 * J576</f>
        <v>0</v>
      </c>
      <c r="J576" s="3">
        <f>IF(H576="HUF", 1, IFERROR(VLOOKUP(B576&amp;H576, '22_ExchangeRates'!A:E, 5, FALSE), 1))</f>
        <v>0</v>
      </c>
      <c r="K576" t="s">
        <v>1002</v>
      </c>
      <c r="N576" t="s">
        <v>1468</v>
      </c>
      <c r="O576" t="s">
        <v>1497</v>
      </c>
      <c r="Q576" t="s">
        <v>1520</v>
      </c>
    </row>
    <row r="577" spans="1:17">
      <c r="A577" t="s">
        <v>598</v>
      </c>
      <c r="B577" t="s">
        <v>963</v>
      </c>
      <c r="C577" t="s">
        <v>978</v>
      </c>
      <c r="D577" t="s">
        <v>981</v>
      </c>
      <c r="E577" t="s">
        <v>982</v>
      </c>
      <c r="G577">
        <v>3500</v>
      </c>
      <c r="H577" t="s">
        <v>995</v>
      </c>
      <c r="I577" s="3">
        <f>G577 * J577</f>
        <v>0</v>
      </c>
      <c r="J577" s="3">
        <f>IF(H577="HUF", 1, IFERROR(VLOOKUP(B577&amp;H577, '22_ExchangeRates'!A:E, 5, FALSE), 1))</f>
        <v>0</v>
      </c>
      <c r="K577" t="s">
        <v>1003</v>
      </c>
      <c r="N577" t="s">
        <v>1469</v>
      </c>
      <c r="O577" t="s">
        <v>1497</v>
      </c>
      <c r="Q577" t="s">
        <v>1521</v>
      </c>
    </row>
    <row r="578" spans="1:17">
      <c r="A578" t="s">
        <v>599</v>
      </c>
      <c r="B578" t="s">
        <v>963</v>
      </c>
      <c r="C578" t="s">
        <v>978</v>
      </c>
      <c r="D578" t="s">
        <v>981</v>
      </c>
      <c r="E578" t="s">
        <v>982</v>
      </c>
      <c r="G578">
        <v>2400</v>
      </c>
      <c r="H578" t="s">
        <v>995</v>
      </c>
      <c r="I578" s="3">
        <f>G578 * J578</f>
        <v>0</v>
      </c>
      <c r="J578" s="3">
        <f>IF(H578="HUF", 1, IFERROR(VLOOKUP(B578&amp;H578, '22_ExchangeRates'!A:E, 5, FALSE), 1))</f>
        <v>0</v>
      </c>
      <c r="K578" t="s">
        <v>1002</v>
      </c>
      <c r="N578" t="s">
        <v>1470</v>
      </c>
      <c r="O578" t="s">
        <v>1497</v>
      </c>
      <c r="Q578" t="s">
        <v>1522</v>
      </c>
    </row>
    <row r="579" spans="1:17">
      <c r="A579" t="s">
        <v>600</v>
      </c>
      <c r="B579" t="s">
        <v>963</v>
      </c>
      <c r="C579" t="s">
        <v>978</v>
      </c>
      <c r="D579" t="s">
        <v>981</v>
      </c>
      <c r="E579" t="s">
        <v>982</v>
      </c>
      <c r="G579">
        <v>4000</v>
      </c>
      <c r="H579" t="s">
        <v>995</v>
      </c>
      <c r="I579" s="3">
        <f>G579 * J579</f>
        <v>0</v>
      </c>
      <c r="J579" s="3">
        <f>IF(H579="HUF", 1, IFERROR(VLOOKUP(B579&amp;H579, '22_ExchangeRates'!A:E, 5, FALSE), 1))</f>
        <v>0</v>
      </c>
      <c r="K579" t="s">
        <v>1000</v>
      </c>
      <c r="N579" t="s">
        <v>1471</v>
      </c>
      <c r="O579" t="s">
        <v>1497</v>
      </c>
      <c r="Q579" t="s">
        <v>1523</v>
      </c>
    </row>
    <row r="580" spans="1:17">
      <c r="A580" t="s">
        <v>601</v>
      </c>
      <c r="B580" t="s">
        <v>964</v>
      </c>
      <c r="C580" t="s">
        <v>978</v>
      </c>
      <c r="D580" t="s">
        <v>981</v>
      </c>
      <c r="E580" t="s">
        <v>986</v>
      </c>
      <c r="G580">
        <v>41.68</v>
      </c>
      <c r="H580" t="s">
        <v>996</v>
      </c>
      <c r="I580" s="3">
        <f>G580 * J580</f>
        <v>0</v>
      </c>
      <c r="J580" s="3">
        <f>IF(H580="HUF", 1, IFERROR(VLOOKUP(B580&amp;H580, '22_ExchangeRates'!A:E, 5, FALSE), 1))</f>
        <v>0</v>
      </c>
      <c r="K580" t="s">
        <v>1010</v>
      </c>
      <c r="N580" t="s">
        <v>1472</v>
      </c>
      <c r="O580" t="s">
        <v>1497</v>
      </c>
      <c r="Q580" t="s">
        <v>1524</v>
      </c>
    </row>
    <row r="581" spans="1:17">
      <c r="A581" t="s">
        <v>602</v>
      </c>
      <c r="B581" t="s">
        <v>964</v>
      </c>
      <c r="C581" t="s">
        <v>978</v>
      </c>
      <c r="D581" t="s">
        <v>981</v>
      </c>
      <c r="E581" t="s">
        <v>982</v>
      </c>
      <c r="G581">
        <v>45465</v>
      </c>
      <c r="H581" t="s">
        <v>995</v>
      </c>
      <c r="I581" s="3">
        <f>G581 * J581</f>
        <v>0</v>
      </c>
      <c r="J581" s="3">
        <f>IF(H581="HUF", 1, IFERROR(VLOOKUP(B581&amp;H581, '22_ExchangeRates'!A:E, 5, FALSE), 1))</f>
        <v>0</v>
      </c>
      <c r="K581" t="s">
        <v>1000</v>
      </c>
      <c r="N581" t="s">
        <v>1472</v>
      </c>
      <c r="O581" t="s">
        <v>1497</v>
      </c>
      <c r="Q581" t="s">
        <v>1525</v>
      </c>
    </row>
    <row r="582" spans="1:17">
      <c r="A582" t="s">
        <v>603</v>
      </c>
      <c r="B582" t="s">
        <v>965</v>
      </c>
      <c r="C582" t="s">
        <v>978</v>
      </c>
      <c r="D582" t="s">
        <v>981</v>
      </c>
      <c r="E582" t="s">
        <v>982</v>
      </c>
      <c r="G582">
        <v>565</v>
      </c>
      <c r="H582" t="s">
        <v>995</v>
      </c>
      <c r="I582" s="3">
        <f>G582 * J582</f>
        <v>0</v>
      </c>
      <c r="J582" s="3">
        <f>IF(H582="HUF", 1, IFERROR(VLOOKUP(B582&amp;H582, '22_ExchangeRates'!A:E, 5, FALSE), 1))</f>
        <v>0</v>
      </c>
      <c r="K582" t="s">
        <v>1004</v>
      </c>
      <c r="N582" t="s">
        <v>1473</v>
      </c>
      <c r="O582" t="s">
        <v>1497</v>
      </c>
      <c r="Q582" t="s">
        <v>1526</v>
      </c>
    </row>
    <row r="583" spans="1:17">
      <c r="A583" t="s">
        <v>604</v>
      </c>
      <c r="B583" t="s">
        <v>965</v>
      </c>
      <c r="C583" t="s">
        <v>978</v>
      </c>
      <c r="D583" t="s">
        <v>981</v>
      </c>
      <c r="E583" t="s">
        <v>982</v>
      </c>
      <c r="G583">
        <v>8790</v>
      </c>
      <c r="H583" t="s">
        <v>995</v>
      </c>
      <c r="I583" s="3">
        <f>G583 * J583</f>
        <v>0</v>
      </c>
      <c r="J583" s="3">
        <f>IF(H583="HUF", 1, IFERROR(VLOOKUP(B583&amp;H583, '22_ExchangeRates'!A:E, 5, FALSE), 1))</f>
        <v>0</v>
      </c>
      <c r="K583" t="s">
        <v>1009</v>
      </c>
      <c r="N583" t="s">
        <v>1474</v>
      </c>
      <c r="O583" t="s">
        <v>1497</v>
      </c>
      <c r="Q583" t="s">
        <v>1527</v>
      </c>
    </row>
    <row r="584" spans="1:17">
      <c r="A584" t="s">
        <v>605</v>
      </c>
      <c r="B584" t="s">
        <v>966</v>
      </c>
      <c r="C584" t="s">
        <v>978</v>
      </c>
      <c r="D584" t="s">
        <v>981</v>
      </c>
      <c r="E584" t="s">
        <v>982</v>
      </c>
      <c r="G584">
        <v>1450</v>
      </c>
      <c r="H584" t="s">
        <v>995</v>
      </c>
      <c r="I584" s="3">
        <f>G584 * J584</f>
        <v>0</v>
      </c>
      <c r="J584" s="3">
        <f>IF(H584="HUF", 1, IFERROR(VLOOKUP(B584&amp;H584, '22_ExchangeRates'!A:E, 5, FALSE), 1))</f>
        <v>0</v>
      </c>
      <c r="K584" t="s">
        <v>1002</v>
      </c>
      <c r="N584" t="s">
        <v>1475</v>
      </c>
      <c r="O584" t="s">
        <v>1497</v>
      </c>
      <c r="Q584" t="s">
        <v>1528</v>
      </c>
    </row>
    <row r="585" spans="1:17">
      <c r="A585" t="s">
        <v>606</v>
      </c>
      <c r="B585" t="s">
        <v>967</v>
      </c>
      <c r="C585" t="s">
        <v>978</v>
      </c>
      <c r="D585" t="s">
        <v>981</v>
      </c>
      <c r="E585" t="s">
        <v>982</v>
      </c>
      <c r="G585">
        <v>3026</v>
      </c>
      <c r="H585" t="s">
        <v>995</v>
      </c>
      <c r="I585" s="3">
        <f>G585 * J585</f>
        <v>0</v>
      </c>
      <c r="J585" s="3">
        <f>IF(H585="HUF", 1, IFERROR(VLOOKUP(B585&amp;H585, '22_ExchangeRates'!A:E, 5, FALSE), 1))</f>
        <v>0</v>
      </c>
      <c r="K585" t="s">
        <v>1003</v>
      </c>
      <c r="N585" t="s">
        <v>1476</v>
      </c>
      <c r="O585" t="s">
        <v>1497</v>
      </c>
      <c r="Q585" t="s">
        <v>1529</v>
      </c>
    </row>
    <row r="586" spans="1:17">
      <c r="A586" t="s">
        <v>607</v>
      </c>
      <c r="B586" t="s">
        <v>967</v>
      </c>
      <c r="C586" t="s">
        <v>978</v>
      </c>
      <c r="D586" t="s">
        <v>981</v>
      </c>
      <c r="E586" t="s">
        <v>982</v>
      </c>
      <c r="G586">
        <v>2790</v>
      </c>
      <c r="H586" t="s">
        <v>995</v>
      </c>
      <c r="I586" s="3">
        <f>G586 * J586</f>
        <v>0</v>
      </c>
      <c r="J586" s="3">
        <f>IF(H586="HUF", 1, IFERROR(VLOOKUP(B586&amp;H586, '22_ExchangeRates'!A:E, 5, FALSE), 1))</f>
        <v>0</v>
      </c>
      <c r="K586" t="s">
        <v>1002</v>
      </c>
      <c r="N586" t="s">
        <v>1477</v>
      </c>
      <c r="O586" t="s">
        <v>1497</v>
      </c>
      <c r="Q586" t="s">
        <v>1530</v>
      </c>
    </row>
    <row r="587" spans="1:17">
      <c r="A587" t="s">
        <v>608</v>
      </c>
      <c r="B587" t="s">
        <v>967</v>
      </c>
      <c r="C587" t="s">
        <v>978</v>
      </c>
      <c r="D587" t="s">
        <v>981</v>
      </c>
      <c r="E587" t="s">
        <v>982</v>
      </c>
      <c r="G587">
        <v>790</v>
      </c>
      <c r="H587" t="s">
        <v>995</v>
      </c>
      <c r="I587" s="3">
        <f>G587 * J587</f>
        <v>0</v>
      </c>
      <c r="J587" s="3">
        <f>IF(H587="HUF", 1, IFERROR(VLOOKUP(B587&amp;H587, '22_ExchangeRates'!A:E, 5, FALSE), 1))</f>
        <v>0</v>
      </c>
      <c r="K587" t="s">
        <v>1003</v>
      </c>
      <c r="N587" t="s">
        <v>1478</v>
      </c>
      <c r="O587" t="s">
        <v>1497</v>
      </c>
      <c r="Q587" t="s">
        <v>1531</v>
      </c>
    </row>
    <row r="588" spans="1:17">
      <c r="A588" t="s">
        <v>609</v>
      </c>
      <c r="B588" t="s">
        <v>967</v>
      </c>
      <c r="C588" t="s">
        <v>978</v>
      </c>
      <c r="D588" t="s">
        <v>981</v>
      </c>
      <c r="E588" t="s">
        <v>982</v>
      </c>
      <c r="G588">
        <v>1890</v>
      </c>
      <c r="H588" t="s">
        <v>995</v>
      </c>
      <c r="I588" s="3">
        <f>G588 * J588</f>
        <v>0</v>
      </c>
      <c r="J588" s="3">
        <f>IF(H588="HUF", 1, IFERROR(VLOOKUP(B588&amp;H588, '22_ExchangeRates'!A:E, 5, FALSE), 1))</f>
        <v>0</v>
      </c>
      <c r="N588" t="s">
        <v>1202</v>
      </c>
      <c r="O588" t="s">
        <v>1497</v>
      </c>
      <c r="Q588" t="s">
        <v>1532</v>
      </c>
    </row>
    <row r="589" spans="1:17">
      <c r="A589" t="s">
        <v>610</v>
      </c>
      <c r="B589" t="s">
        <v>968</v>
      </c>
      <c r="C589" t="s">
        <v>978</v>
      </c>
      <c r="D589" t="s">
        <v>981</v>
      </c>
      <c r="E589" t="s">
        <v>982</v>
      </c>
      <c r="G589">
        <v>4250</v>
      </c>
      <c r="H589" t="s">
        <v>995</v>
      </c>
      <c r="I589" s="3">
        <f>G589 * J589</f>
        <v>0</v>
      </c>
      <c r="J589" s="3">
        <f>IF(H589="HUF", 1, IFERROR(VLOOKUP(B589&amp;H589, '22_ExchangeRates'!A:E, 5, FALSE), 1))</f>
        <v>0</v>
      </c>
      <c r="K589" t="s">
        <v>1002</v>
      </c>
      <c r="N589" t="s">
        <v>1479</v>
      </c>
      <c r="O589" t="s">
        <v>1497</v>
      </c>
      <c r="Q589" t="s">
        <v>1533</v>
      </c>
    </row>
    <row r="590" spans="1:17">
      <c r="A590" t="s">
        <v>611</v>
      </c>
      <c r="B590" t="s">
        <v>968</v>
      </c>
      <c r="C590" t="s">
        <v>978</v>
      </c>
      <c r="D590" t="s">
        <v>981</v>
      </c>
      <c r="E590" t="s">
        <v>982</v>
      </c>
      <c r="G590">
        <v>1839</v>
      </c>
      <c r="H590" t="s">
        <v>995</v>
      </c>
      <c r="I590" s="3">
        <f>G590 * J590</f>
        <v>0</v>
      </c>
      <c r="J590" s="3">
        <f>IF(H590="HUF", 1, IFERROR(VLOOKUP(B590&amp;H590, '22_ExchangeRates'!A:E, 5, FALSE), 1))</f>
        <v>0</v>
      </c>
      <c r="K590" t="s">
        <v>1005</v>
      </c>
      <c r="N590" t="s">
        <v>1480</v>
      </c>
      <c r="O590" t="s">
        <v>1497</v>
      </c>
      <c r="Q590" t="s">
        <v>1534</v>
      </c>
    </row>
    <row r="591" spans="1:17">
      <c r="A591" t="s">
        <v>612</v>
      </c>
      <c r="B591" t="s">
        <v>969</v>
      </c>
      <c r="C591" t="s">
        <v>978</v>
      </c>
      <c r="D591" t="s">
        <v>981</v>
      </c>
      <c r="E591" t="s">
        <v>982</v>
      </c>
      <c r="G591">
        <v>17500</v>
      </c>
      <c r="H591" t="s">
        <v>995</v>
      </c>
      <c r="I591" s="3">
        <f>G591 * J591</f>
        <v>0</v>
      </c>
      <c r="J591" s="3">
        <f>IF(H591="HUF", 1, IFERROR(VLOOKUP(B591&amp;H591, '22_ExchangeRates'!A:E, 5, FALSE), 1))</f>
        <v>0</v>
      </c>
      <c r="K591" t="s">
        <v>1002</v>
      </c>
      <c r="N591" t="s">
        <v>1481</v>
      </c>
      <c r="O591" t="s">
        <v>1497</v>
      </c>
      <c r="Q591" t="s">
        <v>1535</v>
      </c>
    </row>
    <row r="592" spans="1:17">
      <c r="A592" t="s">
        <v>613</v>
      </c>
      <c r="B592" t="s">
        <v>970</v>
      </c>
      <c r="C592" t="s">
        <v>978</v>
      </c>
      <c r="D592" t="s">
        <v>981</v>
      </c>
      <c r="E592" t="s">
        <v>982</v>
      </c>
      <c r="G592">
        <v>1227</v>
      </c>
      <c r="H592" t="s">
        <v>995</v>
      </c>
      <c r="I592" s="3">
        <f>G592 * J592</f>
        <v>0</v>
      </c>
      <c r="J592" s="3">
        <f>IF(H592="HUF", 1, IFERROR(VLOOKUP(B592&amp;H592, '22_ExchangeRates'!A:E, 5, FALSE), 1))</f>
        <v>0</v>
      </c>
      <c r="K592" t="s">
        <v>999</v>
      </c>
      <c r="N592" t="s">
        <v>1482</v>
      </c>
      <c r="O592" t="s">
        <v>1497</v>
      </c>
      <c r="Q592" t="s">
        <v>1536</v>
      </c>
    </row>
    <row r="593" spans="1:17">
      <c r="A593" t="s">
        <v>614</v>
      </c>
      <c r="B593" t="s">
        <v>970</v>
      </c>
      <c r="C593" t="s">
        <v>979</v>
      </c>
      <c r="D593" t="s">
        <v>981</v>
      </c>
      <c r="E593" t="s">
        <v>982</v>
      </c>
      <c r="G593">
        <v>203750</v>
      </c>
      <c r="H593" t="s">
        <v>995</v>
      </c>
      <c r="I593" s="3">
        <f>G593 * J593</f>
        <v>0</v>
      </c>
      <c r="J593" s="3">
        <f>IF(H593="HUF", 1, IFERROR(VLOOKUP(B593&amp;H593, '22_ExchangeRates'!A:E, 5, FALSE), 1))</f>
        <v>0</v>
      </c>
      <c r="K593" t="s">
        <v>1011</v>
      </c>
      <c r="N593" t="s">
        <v>1483</v>
      </c>
      <c r="O593" t="s">
        <v>1497</v>
      </c>
      <c r="Q593" t="s">
        <v>1537</v>
      </c>
    </row>
    <row r="594" spans="1:17">
      <c r="A594" t="s">
        <v>615</v>
      </c>
      <c r="B594" t="s">
        <v>970</v>
      </c>
      <c r="C594" t="s">
        <v>979</v>
      </c>
      <c r="D594" t="s">
        <v>981</v>
      </c>
      <c r="E594" t="s">
        <v>982</v>
      </c>
      <c r="G594">
        <v>220500</v>
      </c>
      <c r="H594" t="s">
        <v>995</v>
      </c>
      <c r="I594" s="3">
        <f>G594 * J594</f>
        <v>0</v>
      </c>
      <c r="J594" s="3">
        <f>IF(H594="HUF", 1, IFERROR(VLOOKUP(B594&amp;H594, '22_ExchangeRates'!A:E, 5, FALSE), 1))</f>
        <v>0</v>
      </c>
      <c r="K594" t="s">
        <v>1011</v>
      </c>
      <c r="N594" t="s">
        <v>1484</v>
      </c>
      <c r="O594" t="s">
        <v>1497</v>
      </c>
      <c r="Q594" t="s">
        <v>1538</v>
      </c>
    </row>
    <row r="595" spans="1:17">
      <c r="A595" t="s">
        <v>616</v>
      </c>
      <c r="B595" t="s">
        <v>970</v>
      </c>
      <c r="C595" t="s">
        <v>979</v>
      </c>
      <c r="D595" t="s">
        <v>981</v>
      </c>
      <c r="E595" t="s">
        <v>982</v>
      </c>
      <c r="G595">
        <v>220500</v>
      </c>
      <c r="H595" t="s">
        <v>995</v>
      </c>
      <c r="I595" s="3">
        <f>G595 * J595</f>
        <v>0</v>
      </c>
      <c r="J595" s="3">
        <f>IF(H595="HUF", 1, IFERROR(VLOOKUP(B595&amp;H595, '22_ExchangeRates'!A:E, 5, FALSE), 1))</f>
        <v>0</v>
      </c>
      <c r="K595" t="s">
        <v>1011</v>
      </c>
      <c r="N595" t="s">
        <v>1485</v>
      </c>
      <c r="O595" t="s">
        <v>1497</v>
      </c>
      <c r="Q595" t="s">
        <v>1539</v>
      </c>
    </row>
    <row r="596" spans="1:17">
      <c r="A596" t="s">
        <v>617</v>
      </c>
      <c r="B596" t="s">
        <v>971</v>
      </c>
      <c r="C596" t="s">
        <v>978</v>
      </c>
      <c r="D596" t="s">
        <v>981</v>
      </c>
      <c r="E596" t="s">
        <v>982</v>
      </c>
      <c r="G596">
        <v>500</v>
      </c>
      <c r="H596" t="s">
        <v>995</v>
      </c>
      <c r="I596" s="3">
        <f>G596 * J596</f>
        <v>0</v>
      </c>
      <c r="J596" s="3">
        <f>IF(H596="HUF", 1, IFERROR(VLOOKUP(B596&amp;H596, '22_ExchangeRates'!A:E, 5, FALSE), 1))</f>
        <v>0</v>
      </c>
      <c r="K596" t="s">
        <v>1002</v>
      </c>
      <c r="N596" t="s">
        <v>1486</v>
      </c>
      <c r="O596" t="s">
        <v>1497</v>
      </c>
      <c r="Q596" t="s">
        <v>1540</v>
      </c>
    </row>
    <row r="597" spans="1:17">
      <c r="A597" t="s">
        <v>618</v>
      </c>
      <c r="B597" t="s">
        <v>972</v>
      </c>
      <c r="C597" t="s">
        <v>978</v>
      </c>
      <c r="D597" t="s">
        <v>981</v>
      </c>
      <c r="E597" t="s">
        <v>982</v>
      </c>
      <c r="G597">
        <v>257</v>
      </c>
      <c r="H597" t="s">
        <v>995</v>
      </c>
      <c r="I597" s="3">
        <f>G597 * J597</f>
        <v>0</v>
      </c>
      <c r="J597" s="3">
        <f>IF(H597="HUF", 1, IFERROR(VLOOKUP(B597&amp;H597, '22_ExchangeRates'!A:E, 5, FALSE), 1))</f>
        <v>0</v>
      </c>
      <c r="K597" t="s">
        <v>1002</v>
      </c>
      <c r="N597" t="s">
        <v>1487</v>
      </c>
      <c r="O597" t="s">
        <v>1497</v>
      </c>
      <c r="Q597" t="s">
        <v>1541</v>
      </c>
    </row>
    <row r="598" spans="1:17">
      <c r="A598" t="s">
        <v>619</v>
      </c>
      <c r="B598" t="s">
        <v>973</v>
      </c>
      <c r="C598" t="s">
        <v>978</v>
      </c>
      <c r="D598" t="s">
        <v>981</v>
      </c>
      <c r="E598" t="s">
        <v>982</v>
      </c>
      <c r="G598">
        <v>4300</v>
      </c>
      <c r="H598" t="s">
        <v>995</v>
      </c>
      <c r="I598" s="3">
        <f>G598 * J598</f>
        <v>0</v>
      </c>
      <c r="J598" s="3">
        <f>IF(H598="HUF", 1, IFERROR(VLOOKUP(B598&amp;H598, '22_ExchangeRates'!A:E, 5, FALSE), 1))</f>
        <v>0</v>
      </c>
      <c r="K598" t="s">
        <v>1009</v>
      </c>
      <c r="N598" t="s">
        <v>1488</v>
      </c>
      <c r="O598" t="s">
        <v>1497</v>
      </c>
      <c r="Q598" t="s">
        <v>1542</v>
      </c>
    </row>
    <row r="599" spans="1:17">
      <c r="A599" t="s">
        <v>620</v>
      </c>
      <c r="B599" t="s">
        <v>973</v>
      </c>
      <c r="C599" t="s">
        <v>978</v>
      </c>
      <c r="D599" t="s">
        <v>981</v>
      </c>
      <c r="E599" t="s">
        <v>983</v>
      </c>
      <c r="G599">
        <v>2300</v>
      </c>
      <c r="H599" t="s">
        <v>995</v>
      </c>
      <c r="I599" s="3">
        <f>G599 * J599</f>
        <v>0</v>
      </c>
      <c r="J599" s="3">
        <f>IF(H599="HUF", 1, IFERROR(VLOOKUP(B599&amp;H599, '22_ExchangeRates'!A:E, 5, FALSE), 1))</f>
        <v>0</v>
      </c>
      <c r="K599" t="s">
        <v>1002</v>
      </c>
      <c r="N599" t="s">
        <v>1489</v>
      </c>
      <c r="O599" t="s">
        <v>1497</v>
      </c>
      <c r="Q599" t="s">
        <v>1543</v>
      </c>
    </row>
    <row r="600" spans="1:17">
      <c r="A600" t="s">
        <v>621</v>
      </c>
      <c r="B600" t="s">
        <v>974</v>
      </c>
      <c r="C600" t="s">
        <v>978</v>
      </c>
      <c r="D600" t="s">
        <v>981</v>
      </c>
      <c r="E600" t="s">
        <v>982</v>
      </c>
      <c r="G600">
        <v>633</v>
      </c>
      <c r="H600" t="s">
        <v>995</v>
      </c>
      <c r="I600" s="3">
        <f>G600 * J600</f>
        <v>0</v>
      </c>
      <c r="J600" s="3">
        <f>IF(H600="HUF", 1, IFERROR(VLOOKUP(B600&amp;H600, '22_ExchangeRates'!A:E, 5, FALSE), 1))</f>
        <v>0</v>
      </c>
      <c r="N600" t="s">
        <v>1490</v>
      </c>
      <c r="O600" t="s">
        <v>1497</v>
      </c>
      <c r="Q600" t="s">
        <v>1544</v>
      </c>
    </row>
    <row r="601" spans="1:17">
      <c r="A601" t="s">
        <v>622</v>
      </c>
      <c r="B601" t="s">
        <v>975</v>
      </c>
      <c r="C601" t="s">
        <v>978</v>
      </c>
      <c r="D601" t="s">
        <v>981</v>
      </c>
      <c r="E601" t="s">
        <v>982</v>
      </c>
      <c r="G601">
        <v>1800</v>
      </c>
      <c r="H601" t="s">
        <v>995</v>
      </c>
      <c r="I601" s="3">
        <f>G601 * J601</f>
        <v>0</v>
      </c>
      <c r="J601" s="3">
        <f>IF(H601="HUF", 1, IFERROR(VLOOKUP(B601&amp;H601, '22_ExchangeRates'!A:E, 5, FALSE), 1))</f>
        <v>0</v>
      </c>
      <c r="K601" t="s">
        <v>1005</v>
      </c>
      <c r="N601" t="s">
        <v>1491</v>
      </c>
      <c r="O601" t="s">
        <v>1497</v>
      </c>
      <c r="Q601" t="s">
        <v>1545</v>
      </c>
    </row>
    <row r="602" spans="1:17">
      <c r="A602" t="s">
        <v>623</v>
      </c>
      <c r="B602" t="s">
        <v>976</v>
      </c>
      <c r="C602" t="s">
        <v>978</v>
      </c>
      <c r="D602" t="s">
        <v>981</v>
      </c>
      <c r="E602" t="s">
        <v>982</v>
      </c>
      <c r="G602">
        <v>1390</v>
      </c>
      <c r="H602" t="s">
        <v>995</v>
      </c>
      <c r="I602" s="3">
        <f>G602 * J602</f>
        <v>0</v>
      </c>
      <c r="J602" s="3">
        <f>IF(H602="HUF", 1, IFERROR(VLOOKUP(B602&amp;H602, '22_ExchangeRates'!A:E, 5, FALSE), 1))</f>
        <v>0</v>
      </c>
      <c r="K602" t="s">
        <v>1003</v>
      </c>
      <c r="N602" t="s">
        <v>1492</v>
      </c>
      <c r="O602" t="s">
        <v>1497</v>
      </c>
      <c r="Q602" t="s">
        <v>1546</v>
      </c>
    </row>
    <row r="603" spans="1:17">
      <c r="A603" t="s">
        <v>624</v>
      </c>
      <c r="B603" t="s">
        <v>976</v>
      </c>
      <c r="C603" t="s">
        <v>978</v>
      </c>
      <c r="D603" t="s">
        <v>981</v>
      </c>
      <c r="E603" t="s">
        <v>982</v>
      </c>
      <c r="G603">
        <v>3400</v>
      </c>
      <c r="H603" t="s">
        <v>995</v>
      </c>
      <c r="I603" s="3">
        <f>G603 * J603</f>
        <v>0</v>
      </c>
      <c r="J603" s="3">
        <f>IF(H603="HUF", 1, IFERROR(VLOOKUP(B603&amp;H603, '22_ExchangeRates'!A:E, 5, FALSE), 1))</f>
        <v>0</v>
      </c>
      <c r="K603" t="s">
        <v>1002</v>
      </c>
      <c r="N603" t="s">
        <v>1493</v>
      </c>
      <c r="O603" t="s">
        <v>1497</v>
      </c>
      <c r="Q603" t="s">
        <v>1547</v>
      </c>
    </row>
    <row r="604" spans="1:17">
      <c r="A604" t="s">
        <v>625</v>
      </c>
      <c r="B604" t="s">
        <v>976</v>
      </c>
      <c r="C604" t="s">
        <v>978</v>
      </c>
      <c r="D604" t="s">
        <v>981</v>
      </c>
      <c r="E604" t="s">
        <v>982</v>
      </c>
      <c r="G604">
        <v>4460</v>
      </c>
      <c r="H604" t="s">
        <v>995</v>
      </c>
      <c r="I604" s="3">
        <f>G604 * J604</f>
        <v>0</v>
      </c>
      <c r="J604" s="3">
        <f>IF(H604="HUF", 1, IFERROR(VLOOKUP(B604&amp;H604, '22_ExchangeRates'!A:E, 5, FALSE), 1))</f>
        <v>0</v>
      </c>
      <c r="K604" t="s">
        <v>1003</v>
      </c>
      <c r="N604" t="s">
        <v>1494</v>
      </c>
      <c r="O604" t="s">
        <v>1497</v>
      </c>
      <c r="Q604" t="s">
        <v>1548</v>
      </c>
    </row>
    <row r="605" spans="1:17">
      <c r="A605" t="s">
        <v>626</v>
      </c>
      <c r="B605" t="s">
        <v>977</v>
      </c>
      <c r="C605" t="s">
        <v>978</v>
      </c>
      <c r="D605" t="s">
        <v>981</v>
      </c>
      <c r="E605" t="s">
        <v>982</v>
      </c>
      <c r="G605">
        <v>988</v>
      </c>
      <c r="H605" t="s">
        <v>995</v>
      </c>
      <c r="I605" s="3">
        <f>G605 * J605</f>
        <v>0</v>
      </c>
      <c r="J605" s="3">
        <f>IF(H605="HUF", 1, IFERROR(VLOOKUP(B605&amp;H605, '22_ExchangeRates'!A:E, 5, FALSE), 1))</f>
        <v>0</v>
      </c>
      <c r="K605" t="s">
        <v>1003</v>
      </c>
      <c r="N605" t="s">
        <v>1495</v>
      </c>
      <c r="O605" t="s">
        <v>1497</v>
      </c>
      <c r="Q605" t="s">
        <v>1549</v>
      </c>
    </row>
    <row r="606" spans="1:17">
      <c r="A606" t="s">
        <v>627</v>
      </c>
      <c r="B606" t="s">
        <v>977</v>
      </c>
      <c r="C606" t="s">
        <v>978</v>
      </c>
      <c r="D606" t="s">
        <v>981</v>
      </c>
      <c r="E606" t="s">
        <v>982</v>
      </c>
      <c r="G606">
        <v>10290</v>
      </c>
      <c r="H606" t="s">
        <v>995</v>
      </c>
      <c r="I606" s="3">
        <f>G606 * J606</f>
        <v>0</v>
      </c>
      <c r="J606" s="3">
        <f>IF(H606="HUF", 1, IFERROR(VLOOKUP(B606&amp;H606, '22_ExchangeRates'!A:E, 5, FALSE), 1))</f>
        <v>0</v>
      </c>
      <c r="K606" t="s">
        <v>1002</v>
      </c>
      <c r="N606" t="s">
        <v>1496</v>
      </c>
      <c r="O606" t="s">
        <v>1497</v>
      </c>
      <c r="Q606" t="s">
        <v>1550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7.7109375" customWidth="1"/>
    <col min="3" max="5" width="12.7109375" customWidth="1"/>
    <col min="6" max="6" width="14.7109375" customWidth="1"/>
    <col min="7" max="7" width="12.7109375" customWidth="1"/>
  </cols>
  <sheetData>
    <row r="1" spans="1:7">
      <c r="A1" s="5" t="s">
        <v>1555</v>
      </c>
      <c r="B1" s="5" t="s">
        <v>1551</v>
      </c>
      <c r="C1" s="5" t="s">
        <v>16</v>
      </c>
      <c r="D1" s="5" t="s">
        <v>12</v>
      </c>
      <c r="E1" s="5" t="s">
        <v>17</v>
      </c>
      <c r="F1" s="5" t="s">
        <v>1556</v>
      </c>
      <c r="G1" s="5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7.7109375" customWidth="1"/>
    <col min="3" max="3" width="15.7109375" customWidth="1"/>
    <col min="4" max="4" width="12.7109375" customWidth="1"/>
    <col min="5" max="5" width="8.7109375" customWidth="1"/>
    <col min="6" max="6" width="9.7109375" customWidth="1"/>
    <col min="7" max="8" width="18.7109375" customWidth="1"/>
    <col min="9" max="9" width="14.7109375" customWidth="1"/>
    <col min="10" max="10" width="9.7109375" customWidth="1"/>
    <col min="11" max="11" width="8.7109375" customWidth="1"/>
  </cols>
  <sheetData>
    <row r="1" spans="1:11">
      <c r="A1" s="5" t="s">
        <v>1579</v>
      </c>
      <c r="B1" s="5" t="s">
        <v>1558</v>
      </c>
      <c r="C1" s="5" t="s">
        <v>1559</v>
      </c>
      <c r="D1" s="5" t="s">
        <v>13</v>
      </c>
      <c r="E1" s="5" t="s">
        <v>8</v>
      </c>
      <c r="F1" s="5" t="s">
        <v>9</v>
      </c>
      <c r="G1" s="5" t="s">
        <v>1560</v>
      </c>
      <c r="H1" s="5" t="s">
        <v>1580</v>
      </c>
      <c r="I1" s="5" t="s">
        <v>1562</v>
      </c>
      <c r="J1" s="5" t="s">
        <v>1563</v>
      </c>
      <c r="K1" s="5" t="s">
        <v>1564</v>
      </c>
    </row>
    <row r="2" spans="1:11">
      <c r="A2" t="s">
        <v>1565</v>
      </c>
      <c r="B2" t="s">
        <v>983</v>
      </c>
      <c r="D2" t="s">
        <v>995</v>
      </c>
      <c r="E2" t="s">
        <v>1578</v>
      </c>
      <c r="F2" t="s">
        <v>981</v>
      </c>
      <c r="G2">
        <v>869500</v>
      </c>
      <c r="H2" s="3">
        <f>G2 + SUMIFS('01_Transactions'!G:G, '01_Transactions'!E:E, B2, '01_Transactions'!C:C, "Income") - SUMIFS('01_Transactions'!G:G, '01_Transactions'!E:E, B2, '01_Transactions'!C:C, "Expense") - SUMIFS('01_Transactions'!G:G, '01_Transactions'!E:E, B2, '01_Transactions'!C:C, "Transfer") + SUMIFS('01_Transactions'!G:G, '01_Transactions'!F:F, B2, '01_Transactions'!C:C, "Transfer")</f>
        <v>0</v>
      </c>
      <c r="I2" t="b">
        <v>0</v>
      </c>
    </row>
    <row r="3" spans="1:11">
      <c r="A3" t="s">
        <v>1566</v>
      </c>
      <c r="B3" t="s">
        <v>982</v>
      </c>
      <c r="D3" t="s">
        <v>995</v>
      </c>
      <c r="E3" t="s">
        <v>1578</v>
      </c>
      <c r="F3" t="s">
        <v>981</v>
      </c>
      <c r="G3">
        <v>325521.18</v>
      </c>
      <c r="H3" s="3">
        <f>G3 + SUMIFS('01_Transactions'!G:G, '01_Transactions'!E:E, B3, '01_Transactions'!C:C, "Income") - SUMIFS('01_Transactions'!G:G, '01_Transactions'!E:E, B3, '01_Transactions'!C:C, "Expense") - SUMIFS('01_Transactions'!G:G, '01_Transactions'!E:E, B3, '01_Transactions'!C:C, "Transfer") + SUMIFS('01_Transactions'!G:G, '01_Transactions'!F:F, B3, '01_Transactions'!C:C, "Transfer")</f>
        <v>0</v>
      </c>
      <c r="I3" t="b">
        <v>0</v>
      </c>
    </row>
    <row r="4" spans="1:11">
      <c r="A4" t="s">
        <v>1567</v>
      </c>
      <c r="B4" t="s">
        <v>993</v>
      </c>
      <c r="D4" t="s">
        <v>995</v>
      </c>
      <c r="E4" t="s">
        <v>1578</v>
      </c>
      <c r="F4" t="s">
        <v>981</v>
      </c>
      <c r="G4">
        <v>0</v>
      </c>
      <c r="H4" s="3">
        <f>G4 + SUMIFS('01_Transactions'!G:G, '01_Transactions'!E:E, B4, '01_Transactions'!C:C, "Income") - SUMIFS('01_Transactions'!G:G, '01_Transactions'!E:E, B4, '01_Transactions'!C:C, "Expense") - SUMIFS('01_Transactions'!G:G, '01_Transactions'!E:E, B4, '01_Transactions'!C:C, "Transfer") + SUMIFS('01_Transactions'!G:G, '01_Transactions'!F:F, B4, '01_Transactions'!C:C, "Transfer")</f>
        <v>0</v>
      </c>
      <c r="I4" t="b">
        <v>0</v>
      </c>
    </row>
    <row r="5" spans="1:11">
      <c r="A5" t="s">
        <v>1568</v>
      </c>
      <c r="B5" t="s">
        <v>986</v>
      </c>
      <c r="D5" t="s">
        <v>996</v>
      </c>
      <c r="E5" t="s">
        <v>1578</v>
      </c>
      <c r="F5" t="s">
        <v>981</v>
      </c>
      <c r="G5">
        <v>14.81</v>
      </c>
      <c r="H5" s="3">
        <f>G5 + SUMIFS('01_Transactions'!G:G, '01_Transactions'!E:E, B5, '01_Transactions'!C:C, "Income") - SUMIFS('01_Transactions'!G:G, '01_Transactions'!E:E, B5, '01_Transactions'!C:C, "Expense") - SUMIFS('01_Transactions'!G:G, '01_Transactions'!E:E, B5, '01_Transactions'!C:C, "Transfer") + SUMIFS('01_Transactions'!G:G, '01_Transactions'!F:F, B5, '01_Transactions'!C:C, "Transfer")</f>
        <v>0</v>
      </c>
      <c r="I5" t="b">
        <v>0</v>
      </c>
    </row>
    <row r="6" spans="1:11">
      <c r="A6" t="s">
        <v>1569</v>
      </c>
      <c r="B6" t="s">
        <v>990</v>
      </c>
      <c r="D6" t="s">
        <v>995</v>
      </c>
      <c r="E6" t="s">
        <v>1578</v>
      </c>
      <c r="F6" t="s">
        <v>981</v>
      </c>
      <c r="G6">
        <v>8737</v>
      </c>
      <c r="H6" s="3">
        <f>G6 + SUMIFS('01_Transactions'!G:G, '01_Transactions'!E:E, B6, '01_Transactions'!C:C, "Income") - SUMIFS('01_Transactions'!G:G, '01_Transactions'!E:E, B6, '01_Transactions'!C:C, "Expense") - SUMIFS('01_Transactions'!G:G, '01_Transactions'!E:E, B6, '01_Transactions'!C:C, "Transfer") + SUMIFS('01_Transactions'!G:G, '01_Transactions'!F:F, B6, '01_Transactions'!C:C, "Transfer")</f>
        <v>0</v>
      </c>
      <c r="I6" t="b">
        <v>0</v>
      </c>
    </row>
    <row r="7" spans="1:11">
      <c r="A7" t="s">
        <v>1570</v>
      </c>
      <c r="B7" t="s">
        <v>988</v>
      </c>
      <c r="D7" t="s">
        <v>997</v>
      </c>
      <c r="E7" t="s">
        <v>1578</v>
      </c>
      <c r="F7" t="s">
        <v>981</v>
      </c>
      <c r="G7">
        <v>4.3</v>
      </c>
      <c r="H7" s="3">
        <f>G7 + SUMIFS('01_Transactions'!G:G, '01_Transactions'!E:E, B7, '01_Transactions'!C:C, "Income") - SUMIFS('01_Transactions'!G:G, '01_Transactions'!E:E, B7, '01_Transactions'!C:C, "Expense") - SUMIFS('01_Transactions'!G:G, '01_Transactions'!E:E, B7, '01_Transactions'!C:C, "Transfer") + SUMIFS('01_Transactions'!G:G, '01_Transactions'!F:F, B7, '01_Transactions'!C:C, "Transfer")</f>
        <v>0</v>
      </c>
      <c r="I7" t="b">
        <v>0</v>
      </c>
    </row>
    <row r="8" spans="1:11">
      <c r="A8" t="s">
        <v>1571</v>
      </c>
      <c r="B8" t="s">
        <v>991</v>
      </c>
      <c r="D8" t="s">
        <v>996</v>
      </c>
      <c r="E8" t="s">
        <v>1578</v>
      </c>
      <c r="F8" t="s">
        <v>981</v>
      </c>
      <c r="G8">
        <v>-251.49</v>
      </c>
      <c r="H8" s="3">
        <f>G8 + SUMIFS('01_Transactions'!G:G, '01_Transactions'!E:E, B8, '01_Transactions'!C:C, "Income") - SUMIFS('01_Transactions'!G:G, '01_Transactions'!E:E, B8, '01_Transactions'!C:C, "Expense") - SUMIFS('01_Transactions'!G:G, '01_Transactions'!E:E, B8, '01_Transactions'!C:C, "Transfer") + SUMIFS('01_Transactions'!G:G, '01_Transactions'!F:F, B8, '01_Transactions'!C:C, "Transfer")</f>
        <v>0</v>
      </c>
      <c r="I8" t="b">
        <v>0</v>
      </c>
    </row>
    <row r="9" spans="1:11">
      <c r="A9" t="s">
        <v>1572</v>
      </c>
      <c r="B9" t="s">
        <v>985</v>
      </c>
      <c r="D9" t="s">
        <v>995</v>
      </c>
      <c r="E9" t="s">
        <v>1578</v>
      </c>
      <c r="F9" t="s">
        <v>981</v>
      </c>
      <c r="G9">
        <v>0</v>
      </c>
      <c r="H9" s="3">
        <f>G9 + SUMIFS('01_Transactions'!G:G, '01_Transactions'!E:E, B9, '01_Transactions'!C:C, "Income") - SUMIFS('01_Transactions'!G:G, '01_Transactions'!E:E, B9, '01_Transactions'!C:C, "Expense") - SUMIFS('01_Transactions'!G:G, '01_Transactions'!E:E, B9, '01_Transactions'!C:C, "Transfer") + SUMIFS('01_Transactions'!G:G, '01_Transactions'!F:F, B9, '01_Transactions'!C:C, "Transfer")</f>
        <v>0</v>
      </c>
      <c r="I9" t="b">
        <v>0</v>
      </c>
    </row>
    <row r="10" spans="1:11">
      <c r="A10" t="s">
        <v>1573</v>
      </c>
      <c r="B10" t="s">
        <v>984</v>
      </c>
      <c r="D10" t="s">
        <v>995</v>
      </c>
      <c r="E10" t="s">
        <v>1578</v>
      </c>
      <c r="F10" t="s">
        <v>981</v>
      </c>
      <c r="G10">
        <v>1350000</v>
      </c>
      <c r="H10" s="3">
        <f>G10 + SUMIFS('01_Transactions'!G:G, '01_Transactions'!E:E, B10, '01_Transactions'!C:C, "Income") - SUMIFS('01_Transactions'!G:G, '01_Transactions'!E:E, B10, '01_Transactions'!C:C, "Expense") - SUMIFS('01_Transactions'!G:G, '01_Transactions'!E:E, B10, '01_Transactions'!C:C, "Transfer") + SUMIFS('01_Transactions'!G:G, '01_Transactions'!F:F, B10, '01_Transactions'!C:C, "Transfer")</f>
        <v>0</v>
      </c>
      <c r="I10" t="b">
        <v>0</v>
      </c>
    </row>
    <row r="11" spans="1:11">
      <c r="A11" t="s">
        <v>1574</v>
      </c>
      <c r="B11" t="s">
        <v>992</v>
      </c>
      <c r="D11" t="s">
        <v>998</v>
      </c>
      <c r="E11" t="s">
        <v>1578</v>
      </c>
      <c r="F11" t="s">
        <v>981</v>
      </c>
      <c r="G11">
        <v>-10.86</v>
      </c>
      <c r="H11" s="3">
        <f>G11 + SUMIFS('01_Transactions'!G:G, '01_Transactions'!E:E, B11, '01_Transactions'!C:C, "Income") - SUMIFS('01_Transactions'!G:G, '01_Transactions'!E:E, B11, '01_Transactions'!C:C, "Expense") - SUMIFS('01_Transactions'!G:G, '01_Transactions'!E:E, B11, '01_Transactions'!C:C, "Transfer") + SUMIFS('01_Transactions'!G:G, '01_Transactions'!F:F, B11, '01_Transactions'!C:C, "Transfer")</f>
        <v>0</v>
      </c>
      <c r="I11" t="b">
        <v>0</v>
      </c>
    </row>
    <row r="12" spans="1:11">
      <c r="A12" t="s">
        <v>1575</v>
      </c>
      <c r="B12" t="s">
        <v>994</v>
      </c>
      <c r="D12" t="s">
        <v>995</v>
      </c>
      <c r="E12" t="s">
        <v>1578</v>
      </c>
      <c r="F12" t="s">
        <v>981</v>
      </c>
      <c r="G12">
        <v>0</v>
      </c>
      <c r="H12" s="3">
        <f>G12 + SUMIFS('01_Transactions'!G:G, '01_Transactions'!E:E, B12, '01_Transactions'!C:C, "Income") - SUMIFS('01_Transactions'!G:G, '01_Transactions'!E:E, B12, '01_Transactions'!C:C, "Expense") - SUMIFS('01_Transactions'!G:G, '01_Transactions'!E:E, B12, '01_Transactions'!C:C, "Transfer") + SUMIFS('01_Transactions'!G:G, '01_Transactions'!F:F, B12, '01_Transactions'!C:C, "Transfer")</f>
        <v>0</v>
      </c>
      <c r="I12" t="b">
        <v>0</v>
      </c>
    </row>
    <row r="13" spans="1:11">
      <c r="A13" t="s">
        <v>1576</v>
      </c>
      <c r="B13" t="s">
        <v>989</v>
      </c>
      <c r="D13" t="s">
        <v>998</v>
      </c>
      <c r="E13" t="s">
        <v>1578</v>
      </c>
      <c r="F13" t="s">
        <v>981</v>
      </c>
      <c r="G13">
        <v>521.22</v>
      </c>
      <c r="H13" s="3">
        <f>G13 + SUMIFS('01_Transactions'!G:G, '01_Transactions'!E:E, B13, '01_Transactions'!C:C, "Income") - SUMIFS('01_Transactions'!G:G, '01_Transactions'!E:E, B13, '01_Transactions'!C:C, "Expense") - SUMIFS('01_Transactions'!G:G, '01_Transactions'!E:E, B13, '01_Transactions'!C:C, "Transfer") + SUMIFS('01_Transactions'!G:G, '01_Transactions'!F:F, B13, '01_Transactions'!C:C, "Transfer")</f>
        <v>0</v>
      </c>
      <c r="I13" t="b">
        <v>0</v>
      </c>
    </row>
    <row r="14" spans="1:11">
      <c r="A14" t="s">
        <v>1577</v>
      </c>
      <c r="B14" t="s">
        <v>987</v>
      </c>
      <c r="D14" t="s">
        <v>995</v>
      </c>
      <c r="E14" t="s">
        <v>1578</v>
      </c>
      <c r="F14" t="s">
        <v>981</v>
      </c>
      <c r="G14">
        <v>0</v>
      </c>
      <c r="H14" s="3">
        <f>G14 + SUMIFS('01_Transactions'!G:G, '01_Transactions'!E:E, B14, '01_Transactions'!C:C, "Income") - SUMIFS('01_Transactions'!G:G, '01_Transactions'!E:E, B14, '01_Transactions'!C:C, "Expense") - SUMIFS('01_Transactions'!G:G, '01_Transactions'!E:E, B14, '01_Transactions'!C:C, "Transfer") + SUMIFS('01_Transactions'!G:G, '01_Transactions'!F:F, B14, '01_Transactions'!C:C, "Transfer")</f>
        <v>0</v>
      </c>
      <c r="I14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7109375" customWidth="1"/>
  </cols>
  <sheetData>
    <row r="1" spans="1:7">
      <c r="A1" s="5" t="s">
        <v>1581</v>
      </c>
      <c r="B1" s="5" t="s">
        <v>1558</v>
      </c>
      <c r="C1" s="5" t="s">
        <v>1582</v>
      </c>
      <c r="D1" s="5" t="s">
        <v>8</v>
      </c>
      <c r="E1" s="5" t="s">
        <v>13</v>
      </c>
      <c r="F1" s="5" t="s">
        <v>1583</v>
      </c>
      <c r="G1" s="5" t="s">
        <v>1584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2.7109375" customWidth="1"/>
    <col min="4" max="4" width="9.7109375" customWidth="1"/>
    <col min="5" max="5" width="14.7109375" customWidth="1"/>
    <col min="6" max="6" width="9.7109375" customWidth="1"/>
    <col min="7" max="7" width="8.7109375" customWidth="1"/>
    <col min="8" max="8" width="9.7109375" customWidth="1"/>
  </cols>
  <sheetData>
    <row r="1" spans="1:8">
      <c r="A1" s="5" t="s">
        <v>1604</v>
      </c>
      <c r="B1" s="5" t="s">
        <v>1586</v>
      </c>
      <c r="C1" s="5" t="s">
        <v>1558</v>
      </c>
      <c r="D1" s="5" t="s">
        <v>8</v>
      </c>
      <c r="E1" s="5" t="s">
        <v>1605</v>
      </c>
      <c r="F1" s="5" t="s">
        <v>1563</v>
      </c>
      <c r="G1" s="5" t="s">
        <v>1564</v>
      </c>
      <c r="H1" s="5" t="s">
        <v>1588</v>
      </c>
    </row>
    <row r="2" spans="1:8">
      <c r="A2" t="s">
        <v>1589</v>
      </c>
      <c r="C2" t="s">
        <v>1002</v>
      </c>
      <c r="D2" s="3">
        <f>SUMIFS('01_Transactions'!I:I, '01_Transactions'!K:K, C2, '01_Transactions'!C:C, "Expense")</f>
        <v>0</v>
      </c>
      <c r="E2">
        <v>0</v>
      </c>
      <c r="H2">
        <v>0</v>
      </c>
    </row>
    <row r="3" spans="1:8">
      <c r="A3" t="s">
        <v>1590</v>
      </c>
      <c r="C3" t="s">
        <v>1010</v>
      </c>
      <c r="D3" s="3">
        <f>SUMIFS('01_Transactions'!I:I, '01_Transactions'!K:K, C3, '01_Transactions'!C:C, "Expense")</f>
        <v>0</v>
      </c>
      <c r="E3">
        <v>0</v>
      </c>
      <c r="H3">
        <v>0</v>
      </c>
    </row>
    <row r="4" spans="1:8">
      <c r="A4" t="s">
        <v>1591</v>
      </c>
      <c r="C4" t="s">
        <v>1012</v>
      </c>
      <c r="D4" s="3">
        <f>SUMIFS('01_Transactions'!I:I, '01_Transactions'!K:K, C4, '01_Transactions'!C:C, "Expense")</f>
        <v>0</v>
      </c>
      <c r="E4">
        <v>0</v>
      </c>
      <c r="H4">
        <v>0</v>
      </c>
    </row>
    <row r="5" spans="1:8">
      <c r="A5" t="s">
        <v>1592</v>
      </c>
      <c r="C5" t="s">
        <v>1003</v>
      </c>
      <c r="D5" s="3">
        <f>SUMIFS('01_Transactions'!I:I, '01_Transactions'!K:K, C5, '01_Transactions'!C:C, "Expense")</f>
        <v>0</v>
      </c>
      <c r="E5">
        <v>0</v>
      </c>
      <c r="H5">
        <v>0</v>
      </c>
    </row>
    <row r="6" spans="1:8">
      <c r="A6" t="s">
        <v>1593</v>
      </c>
      <c r="C6" t="s">
        <v>1001</v>
      </c>
      <c r="D6" s="3">
        <f>SUMIFS('01_Transactions'!I:I, '01_Transactions'!K:K, C6, '01_Transactions'!C:C, "Expense")</f>
        <v>0</v>
      </c>
      <c r="E6">
        <v>0</v>
      </c>
      <c r="H6">
        <v>0</v>
      </c>
    </row>
    <row r="7" spans="1:8">
      <c r="A7" t="s">
        <v>1594</v>
      </c>
      <c r="C7" t="s">
        <v>1009</v>
      </c>
      <c r="D7" s="3">
        <f>SUMIFS('01_Transactions'!I:I, '01_Transactions'!K:K, C7, '01_Transactions'!C:C, "Expense")</f>
        <v>0</v>
      </c>
      <c r="E7">
        <v>0</v>
      </c>
      <c r="H7">
        <v>0</v>
      </c>
    </row>
    <row r="8" spans="1:8">
      <c r="A8" t="s">
        <v>1595</v>
      </c>
      <c r="C8" t="s">
        <v>1005</v>
      </c>
      <c r="D8" s="3">
        <f>SUMIFS('01_Transactions'!I:I, '01_Transactions'!K:K, C8, '01_Transactions'!C:C, "Expense")</f>
        <v>0</v>
      </c>
      <c r="E8">
        <v>0</v>
      </c>
      <c r="H8">
        <v>0</v>
      </c>
    </row>
    <row r="9" spans="1:8">
      <c r="A9" t="s">
        <v>1596</v>
      </c>
      <c r="C9" t="s">
        <v>1006</v>
      </c>
      <c r="D9" s="3">
        <f>SUMIFS('01_Transactions'!I:I, '01_Transactions'!K:K, C9, '01_Transactions'!C:C, "Expense")</f>
        <v>0</v>
      </c>
      <c r="E9">
        <v>0</v>
      </c>
      <c r="H9">
        <v>0</v>
      </c>
    </row>
    <row r="10" spans="1:8">
      <c r="A10" t="s">
        <v>1597</v>
      </c>
      <c r="C10" t="s">
        <v>999</v>
      </c>
      <c r="D10" s="3">
        <f>SUMIFS('01_Transactions'!I:I, '01_Transactions'!K:K, C10, '01_Transactions'!C:C, "Expense")</f>
        <v>0</v>
      </c>
      <c r="E10">
        <v>0</v>
      </c>
      <c r="H10">
        <v>0</v>
      </c>
    </row>
    <row r="11" spans="1:8">
      <c r="A11" t="s">
        <v>1598</v>
      </c>
      <c r="C11" t="s">
        <v>1011</v>
      </c>
      <c r="D11" s="3">
        <f>SUMIFS('01_Transactions'!I:I, '01_Transactions'!K:K, C11, '01_Transactions'!C:C, "Expense")</f>
        <v>0</v>
      </c>
      <c r="E11">
        <v>0</v>
      </c>
      <c r="H11">
        <v>0</v>
      </c>
    </row>
    <row r="12" spans="1:8">
      <c r="A12" t="s">
        <v>1599</v>
      </c>
      <c r="C12" t="s">
        <v>1000</v>
      </c>
      <c r="D12" s="3">
        <f>SUMIFS('01_Transactions'!I:I, '01_Transactions'!K:K, C12, '01_Transactions'!C:C, "Expense")</f>
        <v>0</v>
      </c>
      <c r="E12">
        <v>0</v>
      </c>
      <c r="H12">
        <v>0</v>
      </c>
    </row>
    <row r="13" spans="1:8">
      <c r="A13" t="s">
        <v>1600</v>
      </c>
      <c r="C13" t="s">
        <v>1007</v>
      </c>
      <c r="D13" s="3">
        <f>SUMIFS('01_Transactions'!I:I, '01_Transactions'!K:K, C13, '01_Transactions'!C:C, "Expense")</f>
        <v>0</v>
      </c>
      <c r="E13">
        <v>0</v>
      </c>
      <c r="H13">
        <v>0</v>
      </c>
    </row>
    <row r="14" spans="1:8">
      <c r="A14" t="s">
        <v>1601</v>
      </c>
      <c r="C14" t="s">
        <v>1008</v>
      </c>
      <c r="D14" s="3">
        <f>SUMIFS('01_Transactions'!I:I, '01_Transactions'!K:K, C14, '01_Transactions'!C:C, "Expense")</f>
        <v>0</v>
      </c>
      <c r="E14">
        <v>0</v>
      </c>
      <c r="H14">
        <v>0</v>
      </c>
    </row>
    <row r="15" spans="1:8">
      <c r="A15" t="s">
        <v>1602</v>
      </c>
      <c r="C15" t="s">
        <v>1004</v>
      </c>
      <c r="D15" s="3">
        <f>SUMIFS('01_Transactions'!I:I, '01_Transactions'!K:K, C15, '01_Transactions'!C:C, "Expense")</f>
        <v>0</v>
      </c>
      <c r="E15">
        <v>0</v>
      </c>
      <c r="H1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2.7109375" customWidth="1"/>
  </cols>
  <sheetData>
    <row r="1" spans="1:3">
      <c r="A1" s="5" t="s">
        <v>1606</v>
      </c>
      <c r="B1" s="5" t="s">
        <v>1558</v>
      </c>
      <c r="C1" s="5" t="s">
        <v>1563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4.7109375" customWidth="1"/>
    <col min="3" max="3" width="9.7109375" customWidth="1"/>
    <col min="4" max="4" width="12.7109375" customWidth="1"/>
    <col min="5" max="5" width="14.7109375" customWidth="1"/>
    <col min="6" max="6" width="18.7109375" customWidth="1"/>
    <col min="7" max="7" width="9.7109375" customWidth="1"/>
    <col min="8" max="8" width="10.7109375" customWidth="1"/>
  </cols>
  <sheetData>
    <row r="1" spans="1:8">
      <c r="A1" s="5" t="s">
        <v>1614</v>
      </c>
      <c r="B1" s="5" t="s">
        <v>1558</v>
      </c>
      <c r="C1" s="5" t="s">
        <v>9</v>
      </c>
      <c r="D1" s="5" t="s">
        <v>13</v>
      </c>
      <c r="E1" s="5" t="s">
        <v>1608</v>
      </c>
      <c r="F1" s="5" t="s">
        <v>1580</v>
      </c>
      <c r="G1" s="5" t="s">
        <v>8</v>
      </c>
      <c r="H1" s="5" t="s">
        <v>1609</v>
      </c>
    </row>
    <row r="2" spans="1:8">
      <c r="A2" t="s">
        <v>1610</v>
      </c>
      <c r="B2" t="s">
        <v>1013</v>
      </c>
      <c r="C2" t="s">
        <v>981</v>
      </c>
      <c r="D2" t="s">
        <v>995</v>
      </c>
      <c r="E2">
        <v>200000</v>
      </c>
      <c r="F2" s="3">
        <f>SUMIFS('01_Transactions'!I:I, '01_Transactions'!L:L, B2, '01_Transactions'!C:C, "Transfer") - SUMIFS('01_Transactions'!I:I, '01_Transactions'!L:L, B2, '01_Transactions'!C:C, "Expense")</f>
        <v>0</v>
      </c>
      <c r="G2" t="s">
        <v>1613</v>
      </c>
      <c r="H2" t="b">
        <v>1</v>
      </c>
    </row>
    <row r="3" spans="1:8">
      <c r="A3" t="s">
        <v>1611</v>
      </c>
      <c r="B3" t="s">
        <v>1014</v>
      </c>
      <c r="C3" t="s">
        <v>981</v>
      </c>
      <c r="D3" t="s">
        <v>995</v>
      </c>
      <c r="E3">
        <v>400000</v>
      </c>
      <c r="F3" s="3">
        <f>SUMIFS('01_Transactions'!I:I, '01_Transactions'!L:L, B3, '01_Transactions'!C:C, "Transfer") - SUMIFS('01_Transactions'!I:I, '01_Transactions'!L:L, B3, '01_Transactions'!C:C, "Expense")</f>
        <v>0</v>
      </c>
      <c r="G3" t="s">
        <v>1613</v>
      </c>
      <c r="H3" t="b">
        <v>1</v>
      </c>
    </row>
    <row r="4" spans="1:8">
      <c r="A4" t="s">
        <v>1612</v>
      </c>
      <c r="B4" t="s">
        <v>1015</v>
      </c>
      <c r="C4" t="s">
        <v>981</v>
      </c>
      <c r="D4" t="s">
        <v>995</v>
      </c>
      <c r="E4">
        <v>2000000</v>
      </c>
      <c r="F4" s="3">
        <f>SUMIFS('01_Transactions'!I:I, '01_Transactions'!L:L, B4, '01_Transactions'!C:C, "Transfer") - SUMIFS('01_Transactions'!I:I, '01_Transactions'!L:L, B4, '01_Transactions'!C:C, "Expense")</f>
        <v>0</v>
      </c>
      <c r="G4" t="s">
        <v>1613</v>
      </c>
      <c r="H4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16.7109375" customWidth="1"/>
    <col min="4" max="7" width="12.7109375" customWidth="1"/>
  </cols>
  <sheetData>
    <row r="1" spans="1:7">
      <c r="A1" s="5" t="s">
        <v>1615</v>
      </c>
      <c r="B1" s="5" t="s">
        <v>1558</v>
      </c>
      <c r="C1" s="5" t="s">
        <v>1616</v>
      </c>
      <c r="D1" s="5" t="s">
        <v>1617</v>
      </c>
      <c r="E1" s="5" t="s">
        <v>1618</v>
      </c>
      <c r="F1" s="5" t="s">
        <v>1614</v>
      </c>
      <c r="G1" s="5" t="s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1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2.7109375" customWidth="1"/>
    <col min="6" max="6" width="21.7109375" customWidth="1"/>
    <col min="7" max="7" width="22.7109375" customWidth="1"/>
  </cols>
  <sheetData>
    <row r="1" spans="1:7">
      <c r="A1" s="5" t="s">
        <v>1619</v>
      </c>
      <c r="B1" s="5" t="s">
        <v>1620</v>
      </c>
      <c r="C1" s="5" t="s">
        <v>16</v>
      </c>
      <c r="D1" s="5" t="s">
        <v>9</v>
      </c>
      <c r="E1" s="5" t="s">
        <v>1621</v>
      </c>
      <c r="F1" s="5" t="s">
        <v>1622</v>
      </c>
      <c r="G1" s="5" t="s">
        <v>1623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9.7109375" customWidth="1"/>
  </cols>
  <sheetData>
    <row r="1" spans="1:3">
      <c r="A1" s="5" t="s">
        <v>1624</v>
      </c>
      <c r="B1" s="5" t="s">
        <v>1558</v>
      </c>
      <c r="C1" s="5" t="s">
        <v>8</v>
      </c>
    </row>
    <row r="2" spans="1:3">
      <c r="A2" t="s">
        <v>1625</v>
      </c>
      <c r="B2" t="s">
        <v>981</v>
      </c>
      <c r="C2" t="s">
        <v>1626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4" width="12.7109375" customWidth="1"/>
    <col min="5" max="5" width="13.7109375" customWidth="1"/>
    <col min="6" max="9" width="12.7109375" customWidth="1"/>
  </cols>
  <sheetData>
    <row r="1" spans="1:9">
      <c r="A1" s="5" t="s">
        <v>21</v>
      </c>
      <c r="B1" s="5" t="s">
        <v>1558</v>
      </c>
      <c r="C1" s="5" t="s">
        <v>12</v>
      </c>
      <c r="D1" s="5" t="s">
        <v>13</v>
      </c>
      <c r="E1" s="5" t="s">
        <v>1627</v>
      </c>
      <c r="F1" s="5" t="s">
        <v>1628</v>
      </c>
      <c r="G1" s="5" t="s">
        <v>16</v>
      </c>
      <c r="H1" s="5" t="s">
        <v>17</v>
      </c>
      <c r="I1" s="5" t="s">
        <v>1629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2.7109375" customWidth="1"/>
    <col min="6" max="6" width="17.7109375" customWidth="1"/>
    <col min="7" max="7" width="12.7109375" customWidth="1"/>
    <col min="8" max="8" width="15.7109375" customWidth="1"/>
  </cols>
  <sheetData>
    <row r="1" spans="1:8">
      <c r="A1" s="5" t="s">
        <v>1630</v>
      </c>
      <c r="B1" s="5" t="s">
        <v>1631</v>
      </c>
      <c r="C1" s="5" t="s">
        <v>1632</v>
      </c>
      <c r="D1" s="5" t="s">
        <v>12</v>
      </c>
      <c r="E1" s="5" t="s">
        <v>13</v>
      </c>
      <c r="F1" s="5" t="s">
        <v>1551</v>
      </c>
      <c r="G1" s="5" t="s">
        <v>1633</v>
      </c>
      <c r="H1" s="5" t="s">
        <v>1634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53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7.7109375" customWidth="1"/>
    <col min="2" max="2" width="12.7109375" customWidth="1"/>
    <col min="3" max="3" width="16.7109375" customWidth="1"/>
    <col min="4" max="4" width="12.7109375" customWidth="1"/>
    <col min="5" max="5" width="24.7109375" customWidth="1"/>
  </cols>
  <sheetData>
    <row r="1" spans="1:5">
      <c r="A1" s="5" t="s">
        <v>1635</v>
      </c>
      <c r="B1" s="5" t="s">
        <v>7</v>
      </c>
      <c r="C1" s="5" t="s">
        <v>1636</v>
      </c>
      <c r="D1" s="5" t="s">
        <v>13</v>
      </c>
      <c r="E1" s="5" t="s">
        <v>1637</v>
      </c>
    </row>
    <row r="2" spans="1:5">
      <c r="A2" t="s">
        <v>1638</v>
      </c>
      <c r="B2" t="s">
        <v>6976</v>
      </c>
      <c r="C2" t="s">
        <v>995</v>
      </c>
      <c r="D2" t="s">
        <v>6981</v>
      </c>
      <c r="E2">
        <v>221.9952964475802</v>
      </c>
    </row>
    <row r="3" spans="1:5">
      <c r="A3" t="s">
        <v>1639</v>
      </c>
      <c r="B3" t="s">
        <v>6976</v>
      </c>
      <c r="C3" t="s">
        <v>995</v>
      </c>
      <c r="D3" t="s">
        <v>6982</v>
      </c>
      <c r="E3">
        <v>62.43798847673588</v>
      </c>
    </row>
    <row r="4" spans="1:5">
      <c r="A4" t="s">
        <v>1640</v>
      </c>
      <c r="B4" t="s">
        <v>6976</v>
      </c>
      <c r="C4" t="s">
        <v>995</v>
      </c>
      <c r="D4" t="s">
        <v>6983</v>
      </c>
      <c r="E4">
        <v>223.6423717189351</v>
      </c>
    </row>
    <row r="5" spans="1:5">
      <c r="A5" t="s">
        <v>1641</v>
      </c>
      <c r="B5" t="s">
        <v>6976</v>
      </c>
      <c r="C5" t="s">
        <v>995</v>
      </c>
      <c r="D5" t="s">
        <v>6984</v>
      </c>
      <c r="E5">
        <v>391.807755324959</v>
      </c>
    </row>
    <row r="6" spans="1:5">
      <c r="A6" t="s">
        <v>1642</v>
      </c>
      <c r="B6" t="s">
        <v>6976</v>
      </c>
      <c r="C6" t="s">
        <v>995</v>
      </c>
      <c r="D6" t="s">
        <v>6985</v>
      </c>
      <c r="E6">
        <v>45.08773694001709</v>
      </c>
    </row>
    <row r="7" spans="1:5">
      <c r="A7" t="s">
        <v>1643</v>
      </c>
      <c r="B7" t="s">
        <v>6976</v>
      </c>
      <c r="C7" t="s">
        <v>995</v>
      </c>
      <c r="D7" t="s">
        <v>6986</v>
      </c>
      <c r="E7">
        <v>14.73282129215098</v>
      </c>
    </row>
    <row r="8" spans="1:5">
      <c r="A8" t="s">
        <v>1644</v>
      </c>
      <c r="B8" t="s">
        <v>6976</v>
      </c>
      <c r="C8" t="s">
        <v>995</v>
      </c>
      <c r="D8" t="s">
        <v>6987</v>
      </c>
      <c r="E8">
        <v>47.99432684845728</v>
      </c>
    </row>
    <row r="9" spans="1:5">
      <c r="A9" t="s">
        <v>1645</v>
      </c>
      <c r="B9" t="s">
        <v>6976</v>
      </c>
      <c r="C9" t="s">
        <v>995</v>
      </c>
      <c r="D9" t="s">
        <v>6988</v>
      </c>
      <c r="E9">
        <v>413.6634645324231</v>
      </c>
    </row>
    <row r="10" spans="1:5">
      <c r="A10" t="s">
        <v>1646</v>
      </c>
      <c r="B10" t="s">
        <v>6976</v>
      </c>
      <c r="C10" t="s">
        <v>995</v>
      </c>
      <c r="D10" t="s">
        <v>6989</v>
      </c>
      <c r="E10">
        <v>39.10176050580476</v>
      </c>
    </row>
    <row r="11" spans="1:5">
      <c r="A11" t="s">
        <v>1647</v>
      </c>
      <c r="B11" t="s">
        <v>6976</v>
      </c>
      <c r="C11" t="s">
        <v>995</v>
      </c>
      <c r="D11" t="s">
        <v>6990</v>
      </c>
      <c r="E11">
        <v>0.01750014758278906</v>
      </c>
    </row>
    <row r="12" spans="1:5">
      <c r="A12" t="s">
        <v>1648</v>
      </c>
      <c r="B12" t="s">
        <v>6976</v>
      </c>
      <c r="C12" t="s">
        <v>995</v>
      </c>
      <c r="D12" t="s">
        <v>6991</v>
      </c>
      <c r="E12">
        <v>105.2956026536723</v>
      </c>
    </row>
    <row r="13" spans="1:5">
      <c r="A13" t="s">
        <v>1649</v>
      </c>
      <c r="B13" t="s">
        <v>6976</v>
      </c>
      <c r="C13" t="s">
        <v>995</v>
      </c>
      <c r="D13" t="s">
        <v>6992</v>
      </c>
      <c r="E13">
        <v>3.20041256503208</v>
      </c>
    </row>
    <row r="14" spans="1:5">
      <c r="A14" t="s">
        <v>1650</v>
      </c>
      <c r="B14" t="s">
        <v>6976</v>
      </c>
      <c r="C14" t="s">
        <v>995</v>
      </c>
      <c r="D14" t="s">
        <v>6993</v>
      </c>
      <c r="E14">
        <v>2.497910863509749</v>
      </c>
    </row>
    <row r="15" spans="1:5">
      <c r="A15" t="s">
        <v>1651</v>
      </c>
      <c r="B15" t="s">
        <v>6976</v>
      </c>
      <c r="C15" t="s">
        <v>995</v>
      </c>
      <c r="D15" t="s">
        <v>6994</v>
      </c>
      <c r="E15">
        <v>1.940702266948006</v>
      </c>
    </row>
    <row r="16" spans="1:5">
      <c r="A16" t="s">
        <v>1652</v>
      </c>
      <c r="B16" t="s">
        <v>6976</v>
      </c>
      <c r="C16" t="s">
        <v>995</v>
      </c>
      <c r="D16" t="s">
        <v>6995</v>
      </c>
      <c r="E16">
        <v>0.2056919380458406</v>
      </c>
    </row>
    <row r="17" spans="1:5">
      <c r="A17" t="s">
        <v>1653</v>
      </c>
      <c r="B17" t="s">
        <v>6976</v>
      </c>
      <c r="C17" t="s">
        <v>995</v>
      </c>
      <c r="D17" t="s">
        <v>6996</v>
      </c>
      <c r="E17">
        <v>17.77731521405137</v>
      </c>
    </row>
    <row r="18" spans="1:5">
      <c r="A18" t="s">
        <v>1654</v>
      </c>
      <c r="B18" t="s">
        <v>6976</v>
      </c>
      <c r="C18" t="s">
        <v>995</v>
      </c>
      <c r="D18" t="s">
        <v>6997</v>
      </c>
      <c r="E18">
        <v>77.90036050905617</v>
      </c>
    </row>
    <row r="19" spans="1:5">
      <c r="A19" t="s">
        <v>1655</v>
      </c>
      <c r="B19" t="s">
        <v>6976</v>
      </c>
      <c r="C19" t="s">
        <v>995</v>
      </c>
      <c r="D19" t="s">
        <v>6998</v>
      </c>
      <c r="E19">
        <v>33.3938462970721</v>
      </c>
    </row>
    <row r="20" spans="1:5">
      <c r="A20" t="s">
        <v>1656</v>
      </c>
      <c r="B20" t="s">
        <v>6976</v>
      </c>
      <c r="C20" t="s">
        <v>995</v>
      </c>
      <c r="D20" t="s">
        <v>6999</v>
      </c>
      <c r="E20">
        <v>181.6294495923844</v>
      </c>
    </row>
    <row r="21" spans="1:5">
      <c r="A21" t="s">
        <v>1657</v>
      </c>
      <c r="B21" t="s">
        <v>6976</v>
      </c>
      <c r="C21" t="s">
        <v>995</v>
      </c>
      <c r="D21" t="s">
        <v>7000</v>
      </c>
      <c r="E21">
        <v>4.987139381299965</v>
      </c>
    </row>
    <row r="22" spans="1:5">
      <c r="A22" t="s">
        <v>1658</v>
      </c>
      <c r="B22" t="s">
        <v>6976</v>
      </c>
      <c r="C22" t="s">
        <v>995</v>
      </c>
      <c r="D22" t="s">
        <v>7001</v>
      </c>
      <c r="E22">
        <v>84.37419142379979</v>
      </c>
    </row>
    <row r="23" spans="1:5">
      <c r="A23" t="s">
        <v>1659</v>
      </c>
      <c r="B23" t="s">
        <v>6976</v>
      </c>
      <c r="C23" t="s">
        <v>995</v>
      </c>
      <c r="D23" t="s">
        <v>7002</v>
      </c>
      <c r="E23">
        <v>68.89994429611417</v>
      </c>
    </row>
    <row r="24" spans="1:5">
      <c r="A24" t="s">
        <v>1660</v>
      </c>
      <c r="B24" t="s">
        <v>6976</v>
      </c>
      <c r="C24" t="s">
        <v>995</v>
      </c>
      <c r="D24" t="s">
        <v>7003</v>
      </c>
      <c r="E24">
        <v>32.86303252404947</v>
      </c>
    </row>
    <row r="25" spans="1:5">
      <c r="A25" t="s">
        <v>1661</v>
      </c>
      <c r="B25" t="s">
        <v>6976</v>
      </c>
      <c r="C25" t="s">
        <v>995</v>
      </c>
      <c r="D25" t="s">
        <v>7004</v>
      </c>
      <c r="E25">
        <v>240.6736446591519</v>
      </c>
    </row>
    <row r="26" spans="1:5">
      <c r="A26" t="s">
        <v>1662</v>
      </c>
      <c r="B26" t="s">
        <v>6976</v>
      </c>
      <c r="C26" t="s">
        <v>995</v>
      </c>
      <c r="D26" t="s">
        <v>7005</v>
      </c>
      <c r="E26">
        <v>9.469376979936641</v>
      </c>
    </row>
    <row r="27" spans="1:5">
      <c r="A27" t="s">
        <v>1663</v>
      </c>
      <c r="B27" t="s">
        <v>6976</v>
      </c>
      <c r="C27" t="s">
        <v>995</v>
      </c>
      <c r="D27" t="s">
        <v>7006</v>
      </c>
      <c r="E27">
        <v>6.741606821671626</v>
      </c>
    </row>
    <row r="28" spans="1:5">
      <c r="A28" t="s">
        <v>1664</v>
      </c>
      <c r="B28" t="s">
        <v>6976</v>
      </c>
      <c r="C28" t="s">
        <v>995</v>
      </c>
      <c r="D28" t="s">
        <v>998</v>
      </c>
      <c r="E28">
        <v>306.1886470337175</v>
      </c>
    </row>
    <row r="29" spans="1:5">
      <c r="A29" t="s">
        <v>1665</v>
      </c>
      <c r="B29" t="s">
        <v>6976</v>
      </c>
      <c r="C29" t="s">
        <v>995</v>
      </c>
      <c r="D29" t="s">
        <v>7007</v>
      </c>
      <c r="E29">
        <v>18.61326746647848</v>
      </c>
    </row>
    <row r="30" spans="1:5">
      <c r="A30" t="s">
        <v>1666</v>
      </c>
      <c r="B30" t="s">
        <v>6976</v>
      </c>
      <c r="C30" t="s">
        <v>995</v>
      </c>
      <c r="D30" t="s">
        <v>996</v>
      </c>
      <c r="E30">
        <v>358.7</v>
      </c>
    </row>
    <row r="31" spans="1:5">
      <c r="A31" t="s">
        <v>1666</v>
      </c>
      <c r="B31" t="s">
        <v>6976</v>
      </c>
      <c r="C31" t="s">
        <v>995</v>
      </c>
      <c r="D31" t="s">
        <v>996</v>
      </c>
      <c r="E31">
        <v>358.7</v>
      </c>
    </row>
    <row r="32" spans="1:5">
      <c r="A32" t="s">
        <v>1667</v>
      </c>
      <c r="B32" t="s">
        <v>949</v>
      </c>
      <c r="C32" t="s">
        <v>995</v>
      </c>
      <c r="D32" t="s">
        <v>6981</v>
      </c>
      <c r="E32">
        <v>221.1545600791981</v>
      </c>
    </row>
    <row r="33" spans="1:5">
      <c r="A33" t="s">
        <v>1668</v>
      </c>
      <c r="B33" t="s">
        <v>949</v>
      </c>
      <c r="C33" t="s">
        <v>995</v>
      </c>
      <c r="D33" t="s">
        <v>6982</v>
      </c>
      <c r="E33">
        <v>61.12526720820863</v>
      </c>
    </row>
    <row r="34" spans="1:5">
      <c r="A34" t="s">
        <v>1669</v>
      </c>
      <c r="B34" t="s">
        <v>949</v>
      </c>
      <c r="C34" t="s">
        <v>995</v>
      </c>
      <c r="D34" t="s">
        <v>6983</v>
      </c>
      <c r="E34">
        <v>222.5591531755915</v>
      </c>
    </row>
    <row r="35" spans="1:5">
      <c r="A35" t="s">
        <v>1670</v>
      </c>
      <c r="B35" t="s">
        <v>949</v>
      </c>
      <c r="C35" t="s">
        <v>995</v>
      </c>
      <c r="D35" t="s">
        <v>6984</v>
      </c>
      <c r="E35">
        <v>390.6338797814208</v>
      </c>
    </row>
    <row r="36" spans="1:5">
      <c r="A36" t="s">
        <v>1671</v>
      </c>
      <c r="B36" t="s">
        <v>949</v>
      </c>
      <c r="C36" t="s">
        <v>995</v>
      </c>
      <c r="D36" t="s">
        <v>6985</v>
      </c>
      <c r="E36">
        <v>45.01637279596977</v>
      </c>
    </row>
    <row r="37" spans="1:5">
      <c r="A37" t="s">
        <v>1672</v>
      </c>
      <c r="B37" t="s">
        <v>949</v>
      </c>
      <c r="C37" t="s">
        <v>995</v>
      </c>
      <c r="D37" t="s">
        <v>6986</v>
      </c>
      <c r="E37">
        <v>14.70784297588676</v>
      </c>
    </row>
    <row r="38" spans="1:5">
      <c r="A38" t="s">
        <v>1673</v>
      </c>
      <c r="B38" t="s">
        <v>949</v>
      </c>
      <c r="C38" t="s">
        <v>995</v>
      </c>
      <c r="D38" t="s">
        <v>6987</v>
      </c>
      <c r="E38">
        <v>47.83015964351189</v>
      </c>
    </row>
    <row r="39" spans="1:5">
      <c r="A39" t="s">
        <v>1674</v>
      </c>
      <c r="B39" t="s">
        <v>949</v>
      </c>
      <c r="C39" t="s">
        <v>995</v>
      </c>
      <c r="D39" t="s">
        <v>6988</v>
      </c>
      <c r="E39">
        <v>412.6509501489298</v>
      </c>
    </row>
    <row r="40" spans="1:5">
      <c r="A40" t="s">
        <v>1675</v>
      </c>
      <c r="B40" t="s">
        <v>949</v>
      </c>
      <c r="C40" t="s">
        <v>995</v>
      </c>
      <c r="D40" t="s">
        <v>6989</v>
      </c>
      <c r="E40">
        <v>38.9943488032118</v>
      </c>
    </row>
    <row r="41" spans="1:5">
      <c r="A41" t="s">
        <v>1676</v>
      </c>
      <c r="B41" t="s">
        <v>949</v>
      </c>
      <c r="C41" t="s">
        <v>995</v>
      </c>
      <c r="D41" t="s">
        <v>6990</v>
      </c>
      <c r="E41">
        <v>0.01748889543457774</v>
      </c>
    </row>
    <row r="42" spans="1:5">
      <c r="A42" t="s">
        <v>1677</v>
      </c>
      <c r="B42" t="s">
        <v>949</v>
      </c>
      <c r="C42" t="s">
        <v>995</v>
      </c>
      <c r="D42" t="s">
        <v>6991</v>
      </c>
      <c r="E42">
        <v>105.1326548620507</v>
      </c>
    </row>
    <row r="43" spans="1:5">
      <c r="A43" t="s">
        <v>1678</v>
      </c>
      <c r="B43" t="s">
        <v>949</v>
      </c>
      <c r="C43" t="s">
        <v>995</v>
      </c>
      <c r="D43" t="s">
        <v>6992</v>
      </c>
      <c r="E43">
        <v>3.189417092377362</v>
      </c>
    </row>
    <row r="44" spans="1:5">
      <c r="A44" t="s">
        <v>1679</v>
      </c>
      <c r="B44" t="s">
        <v>949</v>
      </c>
      <c r="C44" t="s">
        <v>995</v>
      </c>
      <c r="D44" t="s">
        <v>6993</v>
      </c>
      <c r="E44">
        <v>2.489066852367688</v>
      </c>
    </row>
    <row r="45" spans="1:5">
      <c r="A45" t="s">
        <v>1680</v>
      </c>
      <c r="B45" t="s">
        <v>949</v>
      </c>
      <c r="C45" t="s">
        <v>995</v>
      </c>
      <c r="D45" t="s">
        <v>6994</v>
      </c>
      <c r="E45">
        <v>1.933831088026835</v>
      </c>
    </row>
    <row r="46" spans="1:5">
      <c r="A46" t="s">
        <v>1681</v>
      </c>
      <c r="B46" t="s">
        <v>949</v>
      </c>
      <c r="C46" t="s">
        <v>995</v>
      </c>
      <c r="D46" t="s">
        <v>6995</v>
      </c>
      <c r="E46">
        <v>0.2047581947961183</v>
      </c>
    </row>
    <row r="47" spans="1:5">
      <c r="A47" t="s">
        <v>1682</v>
      </c>
      <c r="B47" t="s">
        <v>949</v>
      </c>
      <c r="C47" t="s">
        <v>995</v>
      </c>
      <c r="D47" t="s">
        <v>6996</v>
      </c>
      <c r="E47">
        <v>17.76005565079129</v>
      </c>
    </row>
    <row r="48" spans="1:5">
      <c r="A48" t="s">
        <v>1683</v>
      </c>
      <c r="B48" t="s">
        <v>949</v>
      </c>
      <c r="C48" t="s">
        <v>995</v>
      </c>
      <c r="D48" t="s">
        <v>6997</v>
      </c>
      <c r="E48">
        <v>77.69204016867366</v>
      </c>
    </row>
    <row r="49" spans="1:5">
      <c r="A49" t="s">
        <v>1684</v>
      </c>
      <c r="B49" t="s">
        <v>949</v>
      </c>
      <c r="C49" t="s">
        <v>995</v>
      </c>
      <c r="D49" t="s">
        <v>6998</v>
      </c>
      <c r="E49">
        <v>33.10150027782923</v>
      </c>
    </row>
    <row r="50" spans="1:5">
      <c r="A50" t="s">
        <v>1685</v>
      </c>
      <c r="B50" t="s">
        <v>949</v>
      </c>
      <c r="C50" t="s">
        <v>995</v>
      </c>
      <c r="D50" t="s">
        <v>6999</v>
      </c>
      <c r="E50">
        <v>181.1239485152529</v>
      </c>
    </row>
    <row r="51" spans="1:5">
      <c r="A51" t="s">
        <v>1686</v>
      </c>
      <c r="B51" t="s">
        <v>949</v>
      </c>
      <c r="C51" t="s">
        <v>995</v>
      </c>
      <c r="D51" t="s">
        <v>7000</v>
      </c>
      <c r="E51">
        <v>4.964443456762687</v>
      </c>
    </row>
    <row r="52" spans="1:5">
      <c r="A52" t="s">
        <v>1687</v>
      </c>
      <c r="B52" t="s">
        <v>949</v>
      </c>
      <c r="C52" t="s">
        <v>995</v>
      </c>
      <c r="D52" t="s">
        <v>7001</v>
      </c>
      <c r="E52">
        <v>84.34329133040728</v>
      </c>
    </row>
    <row r="53" spans="1:5">
      <c r="A53" t="s">
        <v>1688</v>
      </c>
      <c r="B53" t="s">
        <v>949</v>
      </c>
      <c r="C53" t="s">
        <v>995</v>
      </c>
      <c r="D53" t="s">
        <v>7002</v>
      </c>
      <c r="E53">
        <v>68.66523225880816</v>
      </c>
    </row>
    <row r="54" spans="1:5">
      <c r="A54" t="s">
        <v>1689</v>
      </c>
      <c r="B54" t="s">
        <v>949</v>
      </c>
      <c r="C54" t="s">
        <v>995</v>
      </c>
      <c r="D54" t="s">
        <v>7003</v>
      </c>
      <c r="E54">
        <v>32.74817902789867</v>
      </c>
    </row>
    <row r="55" spans="1:5">
      <c r="A55" t="s">
        <v>1690</v>
      </c>
      <c r="B55" t="s">
        <v>949</v>
      </c>
      <c r="C55" t="s">
        <v>995</v>
      </c>
      <c r="D55" t="s">
        <v>7004</v>
      </c>
      <c r="E55">
        <v>239.8698073954768</v>
      </c>
    </row>
    <row r="56" spans="1:5">
      <c r="A56" t="s">
        <v>1691</v>
      </c>
      <c r="B56" t="s">
        <v>949</v>
      </c>
      <c r="C56" t="s">
        <v>995</v>
      </c>
      <c r="D56" t="s">
        <v>7005</v>
      </c>
      <c r="E56">
        <v>9.452069284675394</v>
      </c>
    </row>
    <row r="57" spans="1:5">
      <c r="A57" t="s">
        <v>1692</v>
      </c>
      <c r="B57" t="s">
        <v>949</v>
      </c>
      <c r="C57" t="s">
        <v>995</v>
      </c>
      <c r="D57" t="s">
        <v>7006</v>
      </c>
      <c r="E57">
        <v>6.722690656169065</v>
      </c>
    </row>
    <row r="58" spans="1:5">
      <c r="A58" t="s">
        <v>1693</v>
      </c>
      <c r="B58" t="s">
        <v>949</v>
      </c>
      <c r="C58" t="s">
        <v>995</v>
      </c>
      <c r="D58" t="s">
        <v>998</v>
      </c>
      <c r="E58">
        <v>305.4435139292429</v>
      </c>
    </row>
    <row r="59" spans="1:5">
      <c r="A59" t="s">
        <v>1694</v>
      </c>
      <c r="B59" t="s">
        <v>949</v>
      </c>
      <c r="C59" t="s">
        <v>995</v>
      </c>
      <c r="D59" t="s">
        <v>7007</v>
      </c>
      <c r="E59">
        <v>18.61672760607102</v>
      </c>
    </row>
    <row r="60" spans="1:5">
      <c r="A60" t="s">
        <v>1695</v>
      </c>
      <c r="B60" t="s">
        <v>949</v>
      </c>
      <c r="C60" t="s">
        <v>995</v>
      </c>
      <c r="D60" t="s">
        <v>996</v>
      </c>
      <c r="E60">
        <v>357.43</v>
      </c>
    </row>
    <row r="61" spans="1:5">
      <c r="A61" t="s">
        <v>1695</v>
      </c>
      <c r="B61" t="s">
        <v>949</v>
      </c>
      <c r="C61" t="s">
        <v>995</v>
      </c>
      <c r="D61" t="s">
        <v>996</v>
      </c>
      <c r="E61">
        <v>357.43</v>
      </c>
    </row>
    <row r="62" spans="1:5">
      <c r="A62" t="s">
        <v>1696</v>
      </c>
      <c r="B62" t="s">
        <v>950</v>
      </c>
      <c r="C62" t="s">
        <v>995</v>
      </c>
      <c r="D62" t="s">
        <v>996</v>
      </c>
      <c r="E62">
        <v>357.671422</v>
      </c>
    </row>
    <row r="63" spans="1:5">
      <c r="A63" t="s">
        <v>1697</v>
      </c>
      <c r="B63" t="s">
        <v>950</v>
      </c>
      <c r="C63" t="s">
        <v>995</v>
      </c>
      <c r="D63" t="s">
        <v>7008</v>
      </c>
      <c r="E63">
        <v>83.37700396451217</v>
      </c>
    </row>
    <row r="64" spans="1:5">
      <c r="A64" t="s">
        <v>1698</v>
      </c>
      <c r="B64" t="s">
        <v>950</v>
      </c>
      <c r="C64" t="s">
        <v>995</v>
      </c>
      <c r="D64" t="s">
        <v>7009</v>
      </c>
      <c r="E64">
        <v>4.783899107705448</v>
      </c>
    </row>
    <row r="65" spans="1:5">
      <c r="A65" t="s">
        <v>1699</v>
      </c>
      <c r="B65" t="s">
        <v>950</v>
      </c>
      <c r="C65" t="s">
        <v>995</v>
      </c>
      <c r="D65" t="s">
        <v>7010</v>
      </c>
      <c r="E65">
        <v>3.743815297612088</v>
      </c>
    </row>
    <row r="66" spans="1:5">
      <c r="A66" t="s">
        <v>1700</v>
      </c>
      <c r="B66" t="s">
        <v>950</v>
      </c>
      <c r="C66" t="s">
        <v>995</v>
      </c>
      <c r="D66" t="s">
        <v>7011</v>
      </c>
      <c r="E66">
        <v>0.8287280481460653</v>
      </c>
    </row>
    <row r="67" spans="1:5">
      <c r="A67" t="s">
        <v>1701</v>
      </c>
      <c r="B67" t="s">
        <v>950</v>
      </c>
      <c r="C67" t="s">
        <v>995</v>
      </c>
      <c r="D67" t="s">
        <v>7012</v>
      </c>
      <c r="E67">
        <v>171.0626253060912</v>
      </c>
    </row>
    <row r="68" spans="1:5">
      <c r="A68" t="s">
        <v>1702</v>
      </c>
      <c r="B68" t="s">
        <v>950</v>
      </c>
      <c r="C68" t="s">
        <v>995</v>
      </c>
      <c r="D68" t="s">
        <v>7013</v>
      </c>
      <c r="E68">
        <v>0.3243266058129231</v>
      </c>
    </row>
    <row r="69" spans="1:5">
      <c r="A69" t="s">
        <v>1703</v>
      </c>
      <c r="B69" t="s">
        <v>950</v>
      </c>
      <c r="C69" t="s">
        <v>995</v>
      </c>
      <c r="D69" t="s">
        <v>7014</v>
      </c>
      <c r="E69">
        <v>0.2197781973110953</v>
      </c>
    </row>
    <row r="70" spans="1:5">
      <c r="A70" t="s">
        <v>1704</v>
      </c>
      <c r="B70" t="s">
        <v>950</v>
      </c>
      <c r="C70" t="s">
        <v>995</v>
      </c>
      <c r="D70" t="s">
        <v>6981</v>
      </c>
      <c r="E70">
        <v>221.343378847363</v>
      </c>
    </row>
    <row r="71" spans="1:5">
      <c r="A71" t="s">
        <v>1705</v>
      </c>
      <c r="B71" t="s">
        <v>950</v>
      </c>
      <c r="C71" t="s">
        <v>995</v>
      </c>
      <c r="D71" t="s">
        <v>7015</v>
      </c>
      <c r="E71">
        <v>171.0626253060912</v>
      </c>
    </row>
    <row r="72" spans="1:5">
      <c r="A72" t="s">
        <v>1706</v>
      </c>
      <c r="B72" t="s">
        <v>950</v>
      </c>
      <c r="C72" t="s">
        <v>995</v>
      </c>
      <c r="D72" t="s">
        <v>7016</v>
      </c>
      <c r="E72">
        <v>179.6914014537226</v>
      </c>
    </row>
    <row r="73" spans="1:5">
      <c r="A73" t="s">
        <v>1707</v>
      </c>
      <c r="B73" t="s">
        <v>950</v>
      </c>
      <c r="C73" t="s">
        <v>995</v>
      </c>
      <c r="D73" t="s">
        <v>7017</v>
      </c>
      <c r="E73">
        <v>182.8744942045065</v>
      </c>
    </row>
    <row r="74" spans="1:5">
      <c r="A74" t="s">
        <v>1708</v>
      </c>
      <c r="B74" t="s">
        <v>950</v>
      </c>
      <c r="C74" t="s">
        <v>995</v>
      </c>
      <c r="D74" t="s">
        <v>7018</v>
      </c>
      <c r="E74">
        <v>153.1010346381848</v>
      </c>
    </row>
    <row r="75" spans="1:5">
      <c r="A75" t="s">
        <v>1709</v>
      </c>
      <c r="B75" t="s">
        <v>950</v>
      </c>
      <c r="C75" t="s">
        <v>995</v>
      </c>
      <c r="D75" t="s">
        <v>7019</v>
      </c>
      <c r="E75">
        <v>2.494671264705491</v>
      </c>
    </row>
    <row r="76" spans="1:5">
      <c r="A76" t="s">
        <v>1710</v>
      </c>
      <c r="B76" t="s">
        <v>950</v>
      </c>
      <c r="C76" t="s">
        <v>995</v>
      </c>
      <c r="D76" t="s">
        <v>997</v>
      </c>
      <c r="E76">
        <v>182.8744942045065</v>
      </c>
    </row>
    <row r="77" spans="1:5">
      <c r="A77" t="s">
        <v>1711</v>
      </c>
      <c r="B77" t="s">
        <v>950</v>
      </c>
      <c r="C77" t="s">
        <v>995</v>
      </c>
      <c r="D77" t="s">
        <v>7020</v>
      </c>
      <c r="E77">
        <v>814.3665602615654</v>
      </c>
    </row>
    <row r="78" spans="1:5">
      <c r="A78" t="s">
        <v>1712</v>
      </c>
      <c r="B78" t="s">
        <v>950</v>
      </c>
      <c r="C78" t="s">
        <v>995</v>
      </c>
      <c r="D78" t="s">
        <v>7021</v>
      </c>
      <c r="E78">
        <v>0.1024417406639587</v>
      </c>
    </row>
    <row r="79" spans="1:5">
      <c r="A79" t="s">
        <v>1713</v>
      </c>
      <c r="B79" t="s">
        <v>950</v>
      </c>
      <c r="C79" t="s">
        <v>995</v>
      </c>
      <c r="D79" t="s">
        <v>7022</v>
      </c>
      <c r="E79">
        <v>306.2019382068162</v>
      </c>
    </row>
    <row r="80" spans="1:5">
      <c r="A80" t="s">
        <v>1714</v>
      </c>
      <c r="B80" t="s">
        <v>950</v>
      </c>
      <c r="C80" t="s">
        <v>995</v>
      </c>
      <c r="D80" t="s">
        <v>7023</v>
      </c>
      <c r="E80">
        <v>240.1312549387942</v>
      </c>
    </row>
    <row r="81" spans="1:5">
      <c r="A81" t="s">
        <v>1715</v>
      </c>
      <c r="B81" t="s">
        <v>950</v>
      </c>
      <c r="C81" t="s">
        <v>995</v>
      </c>
      <c r="D81" t="s">
        <v>7024</v>
      </c>
      <c r="E81">
        <v>44.15460531554301</v>
      </c>
    </row>
    <row r="82" spans="1:5">
      <c r="A82" t="s">
        <v>1716</v>
      </c>
      <c r="B82" t="s">
        <v>950</v>
      </c>
      <c r="C82" t="s">
        <v>995</v>
      </c>
      <c r="D82" t="s">
        <v>6982</v>
      </c>
      <c r="E82">
        <v>61.21472974541059</v>
      </c>
    </row>
    <row r="83" spans="1:5">
      <c r="A83" t="s">
        <v>1717</v>
      </c>
      <c r="B83" t="s">
        <v>950</v>
      </c>
      <c r="C83" t="s">
        <v>995</v>
      </c>
      <c r="D83" t="s">
        <v>7025</v>
      </c>
      <c r="E83">
        <v>306.2019382068162</v>
      </c>
    </row>
    <row r="84" spans="1:5">
      <c r="A84" t="s">
        <v>1718</v>
      </c>
      <c r="B84" t="s">
        <v>950</v>
      </c>
      <c r="C84" t="s">
        <v>995</v>
      </c>
      <c r="D84" t="s">
        <v>7026</v>
      </c>
      <c r="E84">
        <v>3.195325104387695</v>
      </c>
    </row>
    <row r="85" spans="1:5">
      <c r="A85" t="s">
        <v>1719</v>
      </c>
      <c r="B85" t="s">
        <v>950</v>
      </c>
      <c r="C85" t="s">
        <v>995</v>
      </c>
      <c r="D85" t="s">
        <v>7027</v>
      </c>
      <c r="E85">
        <v>21.72742663780298</v>
      </c>
    </row>
    <row r="86" spans="1:5">
      <c r="A86" t="s">
        <v>1720</v>
      </c>
      <c r="B86" t="s">
        <v>950</v>
      </c>
      <c r="C86" t="s">
        <v>995</v>
      </c>
      <c r="D86" t="s">
        <v>7028</v>
      </c>
      <c r="E86">
        <v>109.4094847891229</v>
      </c>
    </row>
    <row r="87" spans="1:5">
      <c r="A87" t="s">
        <v>1721</v>
      </c>
      <c r="B87" t="s">
        <v>950</v>
      </c>
      <c r="C87" t="s">
        <v>995</v>
      </c>
      <c r="D87" t="s">
        <v>7029</v>
      </c>
      <c r="E87">
        <v>153.1010346381848</v>
      </c>
    </row>
    <row r="88" spans="1:5">
      <c r="A88" t="s">
        <v>1722</v>
      </c>
      <c r="B88" t="s">
        <v>950</v>
      </c>
      <c r="C88" t="s">
        <v>995</v>
      </c>
      <c r="D88" t="s">
        <v>6983</v>
      </c>
      <c r="E88">
        <v>223.2192966251688</v>
      </c>
    </row>
    <row r="89" spans="1:5">
      <c r="A89" t="s">
        <v>1723</v>
      </c>
      <c r="B89" t="s">
        <v>950</v>
      </c>
      <c r="C89" t="s">
        <v>995</v>
      </c>
      <c r="D89" t="s">
        <v>7030</v>
      </c>
      <c r="E89">
        <v>0.1335398060279585</v>
      </c>
    </row>
    <row r="90" spans="1:5">
      <c r="A90" t="s">
        <v>1724</v>
      </c>
      <c r="B90" t="s">
        <v>950</v>
      </c>
      <c r="C90" t="s">
        <v>995</v>
      </c>
      <c r="D90" t="s">
        <v>6984</v>
      </c>
      <c r="E90">
        <v>390.9314815158905</v>
      </c>
    </row>
    <row r="91" spans="1:5">
      <c r="A91" t="s">
        <v>1725</v>
      </c>
      <c r="B91" t="s">
        <v>950</v>
      </c>
      <c r="C91" t="s">
        <v>995</v>
      </c>
      <c r="D91" t="s">
        <v>7031</v>
      </c>
      <c r="E91">
        <v>13605.3642968542</v>
      </c>
    </row>
    <row r="92" spans="1:5">
      <c r="A92" t="s">
        <v>1726</v>
      </c>
      <c r="B92" t="s">
        <v>950</v>
      </c>
      <c r="C92" t="s">
        <v>995</v>
      </c>
      <c r="D92" t="s">
        <v>7032</v>
      </c>
      <c r="E92">
        <v>0.3442057551910792</v>
      </c>
    </row>
    <row r="93" spans="1:5">
      <c r="A93" t="s">
        <v>1727</v>
      </c>
      <c r="B93" t="s">
        <v>950</v>
      </c>
      <c r="C93" t="s">
        <v>995</v>
      </c>
      <c r="D93" t="s">
        <v>7033</v>
      </c>
      <c r="E93">
        <v>45.11934458821051</v>
      </c>
    </row>
    <row r="94" spans="1:5">
      <c r="A94" t="s">
        <v>1728</v>
      </c>
      <c r="B94" t="s">
        <v>950</v>
      </c>
      <c r="C94" t="s">
        <v>995</v>
      </c>
      <c r="D94" t="s">
        <v>6985</v>
      </c>
      <c r="E94">
        <v>45.03428356087096</v>
      </c>
    </row>
    <row r="95" spans="1:5">
      <c r="A95" t="s">
        <v>1729</v>
      </c>
      <c r="B95" t="s">
        <v>950</v>
      </c>
      <c r="C95" t="s">
        <v>995</v>
      </c>
      <c r="D95" t="s">
        <v>7034</v>
      </c>
      <c r="E95">
        <v>0.08070232659336064</v>
      </c>
    </row>
    <row r="96" spans="1:5">
      <c r="A96" t="s">
        <v>1730</v>
      </c>
      <c r="B96" t="s">
        <v>950</v>
      </c>
      <c r="C96" t="s">
        <v>995</v>
      </c>
      <c r="D96" t="s">
        <v>7035</v>
      </c>
      <c r="E96">
        <v>0.6708634412749014</v>
      </c>
    </row>
    <row r="97" spans="1:5">
      <c r="A97" t="s">
        <v>1731</v>
      </c>
      <c r="B97" t="s">
        <v>950</v>
      </c>
      <c r="C97" t="s">
        <v>995</v>
      </c>
      <c r="D97" t="s">
        <v>7036</v>
      </c>
      <c r="E97">
        <v>12.75841909807927</v>
      </c>
    </row>
    <row r="98" spans="1:5">
      <c r="A98" t="s">
        <v>1732</v>
      </c>
      <c r="B98" t="s">
        <v>950</v>
      </c>
      <c r="C98" t="s">
        <v>995</v>
      </c>
      <c r="D98" t="s">
        <v>7037</v>
      </c>
      <c r="E98">
        <v>3.243743907858341</v>
      </c>
    </row>
    <row r="99" spans="1:5">
      <c r="A99" t="s">
        <v>1733</v>
      </c>
      <c r="B99" t="s">
        <v>950</v>
      </c>
      <c r="C99" t="s">
        <v>995</v>
      </c>
      <c r="D99" t="s">
        <v>6986</v>
      </c>
      <c r="E99">
        <v>14.71399912128562</v>
      </c>
    </row>
    <row r="100" spans="1:5">
      <c r="A100" t="s">
        <v>1734</v>
      </c>
      <c r="B100" t="s">
        <v>950</v>
      </c>
      <c r="C100" t="s">
        <v>995</v>
      </c>
      <c r="D100" t="s">
        <v>7038</v>
      </c>
      <c r="E100">
        <v>1.722936861399956</v>
      </c>
    </row>
    <row r="101" spans="1:5">
      <c r="A101" t="s">
        <v>1735</v>
      </c>
      <c r="B101" t="s">
        <v>950</v>
      </c>
      <c r="C101" t="s">
        <v>995</v>
      </c>
      <c r="D101" t="s">
        <v>6987</v>
      </c>
      <c r="E101">
        <v>47.93507193716721</v>
      </c>
    </row>
    <row r="102" spans="1:5">
      <c r="A102" t="s">
        <v>1736</v>
      </c>
      <c r="B102" t="s">
        <v>950</v>
      </c>
      <c r="C102" t="s">
        <v>995</v>
      </c>
      <c r="D102" t="s">
        <v>7039</v>
      </c>
      <c r="E102">
        <v>5.168257370593228</v>
      </c>
    </row>
    <row r="103" spans="1:5">
      <c r="A103" t="s">
        <v>1737</v>
      </c>
      <c r="B103" t="s">
        <v>950</v>
      </c>
      <c r="C103" t="s">
        <v>995</v>
      </c>
      <c r="D103" t="s">
        <v>7040</v>
      </c>
      <c r="E103">
        <v>2.306730025614166</v>
      </c>
    </row>
    <row r="104" spans="1:5">
      <c r="A104" t="s">
        <v>1738</v>
      </c>
      <c r="B104" t="s">
        <v>950</v>
      </c>
      <c r="C104" t="s">
        <v>995</v>
      </c>
      <c r="D104" t="s">
        <v>7041</v>
      </c>
      <c r="E104">
        <v>5.781441215898187</v>
      </c>
    </row>
    <row r="105" spans="1:5">
      <c r="A105" t="s">
        <v>1739</v>
      </c>
      <c r="B105" t="s">
        <v>950</v>
      </c>
      <c r="C105" t="s">
        <v>995</v>
      </c>
      <c r="D105" t="s">
        <v>7042</v>
      </c>
      <c r="E105">
        <v>20.41347070255973</v>
      </c>
    </row>
    <row r="106" spans="1:5">
      <c r="A106" t="s">
        <v>1740</v>
      </c>
      <c r="B106" t="s">
        <v>950</v>
      </c>
      <c r="C106" t="s">
        <v>995</v>
      </c>
      <c r="D106" t="s">
        <v>7043</v>
      </c>
      <c r="E106">
        <v>1.936993675592135</v>
      </c>
    </row>
    <row r="107" spans="1:5">
      <c r="A107" t="s">
        <v>1741</v>
      </c>
      <c r="B107" t="s">
        <v>950</v>
      </c>
      <c r="C107" t="s">
        <v>995</v>
      </c>
      <c r="D107" t="s">
        <v>7044</v>
      </c>
      <c r="E107">
        <v>140.0441199675332</v>
      </c>
    </row>
    <row r="108" spans="1:5">
      <c r="A108" t="s">
        <v>1742</v>
      </c>
      <c r="B108" t="s">
        <v>950</v>
      </c>
      <c r="C108" t="s">
        <v>995</v>
      </c>
      <c r="D108" t="s">
        <v>7045</v>
      </c>
      <c r="E108">
        <v>411.67446689249</v>
      </c>
    </row>
    <row r="109" spans="1:5">
      <c r="A109" t="s">
        <v>1743</v>
      </c>
      <c r="B109" t="s">
        <v>950</v>
      </c>
      <c r="C109" t="s">
        <v>995</v>
      </c>
      <c r="D109" t="s">
        <v>7046</v>
      </c>
      <c r="E109">
        <v>47.93507836141944</v>
      </c>
    </row>
    <row r="110" spans="1:5">
      <c r="A110" t="s">
        <v>1744</v>
      </c>
      <c r="B110" t="s">
        <v>950</v>
      </c>
      <c r="C110" t="s">
        <v>995</v>
      </c>
      <c r="D110" t="s">
        <v>6988</v>
      </c>
      <c r="E110">
        <v>411.6720977502976</v>
      </c>
    </row>
    <row r="111" spans="1:5">
      <c r="A111" t="s">
        <v>1745</v>
      </c>
      <c r="B111" t="s">
        <v>950</v>
      </c>
      <c r="C111" t="s">
        <v>995</v>
      </c>
      <c r="D111" t="s">
        <v>7047</v>
      </c>
      <c r="E111">
        <v>114.0470956162176</v>
      </c>
    </row>
    <row r="112" spans="1:5">
      <c r="A112" t="s">
        <v>1746</v>
      </c>
      <c r="B112" t="s">
        <v>950</v>
      </c>
      <c r="C112" t="s">
        <v>995</v>
      </c>
      <c r="D112" t="s">
        <v>7048</v>
      </c>
      <c r="E112">
        <v>411.67446689249</v>
      </c>
    </row>
    <row r="113" spans="1:5">
      <c r="A113" t="s">
        <v>1747</v>
      </c>
      <c r="B113" t="s">
        <v>950</v>
      </c>
      <c r="C113" t="s">
        <v>995</v>
      </c>
      <c r="D113" t="s">
        <v>7049</v>
      </c>
      <c r="E113">
        <v>26.91029023528334</v>
      </c>
    </row>
    <row r="114" spans="1:5">
      <c r="A114" t="s">
        <v>1748</v>
      </c>
      <c r="B114" t="s">
        <v>950</v>
      </c>
      <c r="C114" t="s">
        <v>995</v>
      </c>
      <c r="D114" t="s">
        <v>7050</v>
      </c>
      <c r="E114">
        <v>411.67446689249</v>
      </c>
    </row>
    <row r="115" spans="1:5">
      <c r="A115" t="s">
        <v>1749</v>
      </c>
      <c r="B115" t="s">
        <v>950</v>
      </c>
      <c r="C115" t="s">
        <v>995</v>
      </c>
      <c r="D115" t="s">
        <v>7051</v>
      </c>
      <c r="E115">
        <v>4.120315854990019</v>
      </c>
    </row>
    <row r="116" spans="1:5">
      <c r="A116" t="s">
        <v>1750</v>
      </c>
      <c r="B116" t="s">
        <v>950</v>
      </c>
      <c r="C116" t="s">
        <v>995</v>
      </c>
      <c r="D116" t="s">
        <v>7052</v>
      </c>
      <c r="E116">
        <v>0.03488131923489321</v>
      </c>
    </row>
    <row r="117" spans="1:5">
      <c r="A117" t="s">
        <v>1751</v>
      </c>
      <c r="B117" t="s">
        <v>950</v>
      </c>
      <c r="C117" t="s">
        <v>995</v>
      </c>
      <c r="D117" t="s">
        <v>7053</v>
      </c>
      <c r="E117">
        <v>40.03228155788048</v>
      </c>
    </row>
    <row r="118" spans="1:5">
      <c r="A118" t="s">
        <v>1752</v>
      </c>
      <c r="B118" t="s">
        <v>950</v>
      </c>
      <c r="C118" t="s">
        <v>995</v>
      </c>
      <c r="D118" t="s">
        <v>7054</v>
      </c>
      <c r="E118">
        <v>1.458972212068133</v>
      </c>
    </row>
    <row r="119" spans="1:5">
      <c r="A119" t="s">
        <v>1753</v>
      </c>
      <c r="B119" t="s">
        <v>950</v>
      </c>
      <c r="C119" t="s">
        <v>995</v>
      </c>
      <c r="D119" t="s">
        <v>6989</v>
      </c>
      <c r="E119">
        <v>39.08454880839425</v>
      </c>
    </row>
    <row r="120" spans="1:5">
      <c r="A120" t="s">
        <v>1754</v>
      </c>
      <c r="B120" t="s">
        <v>950</v>
      </c>
      <c r="C120" t="s">
        <v>995</v>
      </c>
      <c r="D120" t="s">
        <v>7055</v>
      </c>
      <c r="E120">
        <v>11.48225738735397</v>
      </c>
    </row>
    <row r="121" spans="1:5">
      <c r="A121" t="s">
        <v>1755</v>
      </c>
      <c r="B121" t="s">
        <v>950</v>
      </c>
      <c r="C121" t="s">
        <v>995</v>
      </c>
      <c r="D121" t="s">
        <v>7056</v>
      </c>
      <c r="E121">
        <v>47.47115561749286</v>
      </c>
    </row>
    <row r="122" spans="1:5">
      <c r="A122" t="s">
        <v>1756</v>
      </c>
      <c r="B122" t="s">
        <v>950</v>
      </c>
      <c r="C122" t="s">
        <v>995</v>
      </c>
      <c r="D122" t="s">
        <v>7057</v>
      </c>
      <c r="E122">
        <v>2.330967209319045</v>
      </c>
    </row>
    <row r="123" spans="1:5">
      <c r="A123" t="s">
        <v>1757</v>
      </c>
      <c r="B123" t="s">
        <v>950</v>
      </c>
      <c r="C123" t="s">
        <v>995</v>
      </c>
      <c r="D123" t="s">
        <v>6990</v>
      </c>
      <c r="E123">
        <v>0.01755946326374305</v>
      </c>
    </row>
    <row r="124" spans="1:5">
      <c r="A124" t="s">
        <v>1758</v>
      </c>
      <c r="B124" t="s">
        <v>950</v>
      </c>
      <c r="C124" t="s">
        <v>995</v>
      </c>
      <c r="D124" t="s">
        <v>6991</v>
      </c>
      <c r="E124">
        <v>105.4256305262978</v>
      </c>
    </row>
    <row r="125" spans="1:5">
      <c r="A125" t="s">
        <v>1759</v>
      </c>
      <c r="B125" t="s">
        <v>950</v>
      </c>
      <c r="C125" t="s">
        <v>995</v>
      </c>
      <c r="D125" t="s">
        <v>7058</v>
      </c>
      <c r="E125">
        <v>411.67446689249</v>
      </c>
    </row>
    <row r="126" spans="1:5">
      <c r="A126" t="s">
        <v>1760</v>
      </c>
      <c r="B126" t="s">
        <v>950</v>
      </c>
      <c r="C126" t="s">
        <v>995</v>
      </c>
      <c r="D126" t="s">
        <v>6992</v>
      </c>
      <c r="E126">
        <v>3.195316626236473</v>
      </c>
    </row>
    <row r="127" spans="1:5">
      <c r="A127" t="s">
        <v>1761</v>
      </c>
      <c r="B127" t="s">
        <v>950</v>
      </c>
      <c r="C127" t="s">
        <v>995</v>
      </c>
      <c r="D127" t="s">
        <v>7059</v>
      </c>
      <c r="E127">
        <v>0.2331963776828171</v>
      </c>
    </row>
    <row r="128" spans="1:5">
      <c r="A128" t="s">
        <v>1762</v>
      </c>
      <c r="B128" t="s">
        <v>950</v>
      </c>
      <c r="C128" t="s">
        <v>995</v>
      </c>
      <c r="D128" t="s">
        <v>7060</v>
      </c>
      <c r="E128">
        <v>0.0003172157167284949</v>
      </c>
    </row>
    <row r="129" spans="1:5">
      <c r="A129" t="s">
        <v>1763</v>
      </c>
      <c r="B129" t="s">
        <v>950</v>
      </c>
      <c r="C129" t="s">
        <v>995</v>
      </c>
      <c r="D129" t="s">
        <v>6993</v>
      </c>
      <c r="E129">
        <v>2.490633852201137</v>
      </c>
    </row>
    <row r="130" spans="1:5">
      <c r="A130" t="s">
        <v>1764</v>
      </c>
      <c r="B130" t="s">
        <v>950</v>
      </c>
      <c r="C130" t="s">
        <v>995</v>
      </c>
      <c r="D130" t="s">
        <v>7061</v>
      </c>
      <c r="E130">
        <v>411.67446689249</v>
      </c>
    </row>
    <row r="131" spans="1:5">
      <c r="A131" t="s">
        <v>1765</v>
      </c>
      <c r="B131" t="s">
        <v>950</v>
      </c>
      <c r="C131" t="s">
        <v>995</v>
      </c>
      <c r="D131" t="s">
        <v>7062</v>
      </c>
      <c r="E131">
        <v>1.944467813991079</v>
      </c>
    </row>
    <row r="132" spans="1:5">
      <c r="A132" t="s">
        <v>1766</v>
      </c>
      <c r="B132" t="s">
        <v>950</v>
      </c>
      <c r="C132" t="s">
        <v>995</v>
      </c>
      <c r="D132" t="s">
        <v>7063</v>
      </c>
      <c r="E132">
        <v>431.8790376430102</v>
      </c>
    </row>
    <row r="133" spans="1:5">
      <c r="A133" t="s">
        <v>1767</v>
      </c>
      <c r="B133" t="s">
        <v>950</v>
      </c>
      <c r="C133" t="s">
        <v>995</v>
      </c>
      <c r="D133" t="s">
        <v>6994</v>
      </c>
      <c r="E133">
        <v>1.935993192034232</v>
      </c>
    </row>
    <row r="134" spans="1:5">
      <c r="A134" t="s">
        <v>1768</v>
      </c>
      <c r="B134" t="s">
        <v>950</v>
      </c>
      <c r="C134" t="s">
        <v>995</v>
      </c>
      <c r="D134" t="s">
        <v>7064</v>
      </c>
      <c r="E134">
        <v>2.363393416911329</v>
      </c>
    </row>
    <row r="135" spans="1:5">
      <c r="A135" t="s">
        <v>1769</v>
      </c>
      <c r="B135" t="s">
        <v>950</v>
      </c>
      <c r="C135" t="s">
        <v>995</v>
      </c>
      <c r="D135" t="s">
        <v>7065</v>
      </c>
      <c r="E135">
        <v>3.48977727246388</v>
      </c>
    </row>
    <row r="136" spans="1:5">
      <c r="A136" t="s">
        <v>1770</v>
      </c>
      <c r="B136" t="s">
        <v>950</v>
      </c>
      <c r="C136" t="s">
        <v>995</v>
      </c>
      <c r="D136" t="s">
        <v>7066</v>
      </c>
      <c r="E136">
        <v>0.07573899446615058</v>
      </c>
    </row>
    <row r="137" spans="1:5">
      <c r="A137" t="s">
        <v>1771</v>
      </c>
      <c r="B137" t="s">
        <v>950</v>
      </c>
      <c r="C137" t="s">
        <v>995</v>
      </c>
      <c r="D137" t="s">
        <v>7067</v>
      </c>
      <c r="E137">
        <v>221.3435158248195</v>
      </c>
    </row>
    <row r="138" spans="1:5">
      <c r="A138" t="s">
        <v>1772</v>
      </c>
      <c r="B138" t="s">
        <v>950</v>
      </c>
      <c r="C138" t="s">
        <v>995</v>
      </c>
      <c r="D138" t="s">
        <v>7068</v>
      </c>
      <c r="E138">
        <v>0.727022090370761</v>
      </c>
    </row>
    <row r="139" spans="1:5">
      <c r="A139" t="s">
        <v>1773</v>
      </c>
      <c r="B139" t="s">
        <v>950</v>
      </c>
      <c r="C139" t="s">
        <v>995</v>
      </c>
      <c r="D139" t="s">
        <v>6995</v>
      </c>
      <c r="E139">
        <v>0.2050380138547878</v>
      </c>
    </row>
    <row r="140" spans="1:5">
      <c r="A140" t="s">
        <v>1774</v>
      </c>
      <c r="B140" t="s">
        <v>950</v>
      </c>
      <c r="C140" t="s">
        <v>995</v>
      </c>
      <c r="D140" t="s">
        <v>7069</v>
      </c>
      <c r="E140">
        <v>994.4654203112923</v>
      </c>
    </row>
    <row r="141" spans="1:5">
      <c r="A141" t="s">
        <v>1775</v>
      </c>
      <c r="B141" t="s">
        <v>950</v>
      </c>
      <c r="C141" t="s">
        <v>995</v>
      </c>
      <c r="D141" t="s">
        <v>7070</v>
      </c>
      <c r="E141">
        <v>367.44245167494</v>
      </c>
    </row>
    <row r="142" spans="1:5">
      <c r="A142" t="s">
        <v>1776</v>
      </c>
      <c r="B142" t="s">
        <v>950</v>
      </c>
      <c r="C142" t="s">
        <v>995</v>
      </c>
      <c r="D142" t="s">
        <v>7071</v>
      </c>
      <c r="E142">
        <v>0.6470273736498834</v>
      </c>
    </row>
    <row r="143" spans="1:5">
      <c r="A143" t="s">
        <v>1777</v>
      </c>
      <c r="B143" t="s">
        <v>950</v>
      </c>
      <c r="C143" t="s">
        <v>995</v>
      </c>
      <c r="D143" t="s">
        <v>7072</v>
      </c>
      <c r="E143">
        <v>0.01392300129587651</v>
      </c>
    </row>
    <row r="144" spans="1:5">
      <c r="A144" t="s">
        <v>1778</v>
      </c>
      <c r="B144" t="s">
        <v>950</v>
      </c>
      <c r="C144" t="s">
        <v>995</v>
      </c>
      <c r="D144" t="s">
        <v>7073</v>
      </c>
      <c r="E144">
        <v>0.003421252083046881</v>
      </c>
    </row>
    <row r="145" spans="1:5">
      <c r="A145" t="s">
        <v>1779</v>
      </c>
      <c r="B145" t="s">
        <v>950</v>
      </c>
      <c r="C145" t="s">
        <v>995</v>
      </c>
      <c r="D145" t="s">
        <v>7074</v>
      </c>
      <c r="E145">
        <v>0.9416698369714742</v>
      </c>
    </row>
    <row r="146" spans="1:5">
      <c r="A146" t="s">
        <v>1780</v>
      </c>
      <c r="B146" t="s">
        <v>950</v>
      </c>
      <c r="C146" t="s">
        <v>995</v>
      </c>
      <c r="D146" t="s">
        <v>7075</v>
      </c>
      <c r="E146">
        <v>1.668044963377681</v>
      </c>
    </row>
    <row r="147" spans="1:5">
      <c r="A147" t="s">
        <v>1781</v>
      </c>
      <c r="B147" t="s">
        <v>950</v>
      </c>
      <c r="C147" t="s">
        <v>995</v>
      </c>
      <c r="D147" t="s">
        <v>7076</v>
      </c>
      <c r="E147">
        <v>18.60235203070231</v>
      </c>
    </row>
    <row r="148" spans="1:5">
      <c r="A148" t="s">
        <v>1782</v>
      </c>
      <c r="B148" t="s">
        <v>950</v>
      </c>
      <c r="C148" t="s">
        <v>995</v>
      </c>
      <c r="D148" t="s">
        <v>7077</v>
      </c>
      <c r="E148">
        <v>48.35236944864837</v>
      </c>
    </row>
    <row r="149" spans="1:5">
      <c r="A149" t="s">
        <v>1783</v>
      </c>
      <c r="B149" t="s">
        <v>950</v>
      </c>
      <c r="C149" t="s">
        <v>995</v>
      </c>
      <c r="D149" t="s">
        <v>7078</v>
      </c>
      <c r="E149">
        <v>33.29800520912902</v>
      </c>
    </row>
    <row r="150" spans="1:5">
      <c r="A150" t="s">
        <v>1784</v>
      </c>
      <c r="B150" t="s">
        <v>950</v>
      </c>
      <c r="C150" t="s">
        <v>995</v>
      </c>
      <c r="D150" t="s">
        <v>7079</v>
      </c>
      <c r="E150">
        <v>17.80925663391799</v>
      </c>
    </row>
    <row r="151" spans="1:5">
      <c r="A151" t="s">
        <v>1785</v>
      </c>
      <c r="B151" t="s">
        <v>950</v>
      </c>
      <c r="C151" t="s">
        <v>995</v>
      </c>
      <c r="D151" t="s">
        <v>7080</v>
      </c>
      <c r="E151">
        <v>0.0733648433115127</v>
      </c>
    </row>
    <row r="152" spans="1:5">
      <c r="A152" t="s">
        <v>1786</v>
      </c>
      <c r="B152" t="s">
        <v>950</v>
      </c>
      <c r="C152" t="s">
        <v>995</v>
      </c>
      <c r="D152" t="s">
        <v>7081</v>
      </c>
      <c r="E152">
        <v>5.797488613192164</v>
      </c>
    </row>
    <row r="153" spans="1:5">
      <c r="A153" t="s">
        <v>1787</v>
      </c>
      <c r="B153" t="s">
        <v>950</v>
      </c>
      <c r="C153" t="s">
        <v>995</v>
      </c>
      <c r="D153" t="s">
        <v>7082</v>
      </c>
      <c r="E153">
        <v>0.1454926189380479</v>
      </c>
    </row>
    <row r="154" spans="1:5">
      <c r="A154" t="s">
        <v>1788</v>
      </c>
      <c r="B154" t="s">
        <v>950</v>
      </c>
      <c r="C154" t="s">
        <v>995</v>
      </c>
      <c r="D154" t="s">
        <v>7083</v>
      </c>
      <c r="E154">
        <v>0.0861503031663771</v>
      </c>
    </row>
    <row r="155" spans="1:5">
      <c r="A155" t="s">
        <v>1789</v>
      </c>
      <c r="B155" t="s">
        <v>950</v>
      </c>
      <c r="C155" t="s">
        <v>995</v>
      </c>
      <c r="D155" t="s">
        <v>7084</v>
      </c>
      <c r="E155">
        <v>37.94625121131099</v>
      </c>
    </row>
    <row r="156" spans="1:5">
      <c r="A156" t="s">
        <v>1790</v>
      </c>
      <c r="B156" t="s">
        <v>950</v>
      </c>
      <c r="C156" t="s">
        <v>995</v>
      </c>
      <c r="D156" t="s">
        <v>7085</v>
      </c>
      <c r="E156">
        <v>7.603796436504439</v>
      </c>
    </row>
    <row r="157" spans="1:5">
      <c r="A157" t="s">
        <v>1791</v>
      </c>
      <c r="B157" t="s">
        <v>950</v>
      </c>
      <c r="C157" t="s">
        <v>995</v>
      </c>
      <c r="D157" t="s">
        <v>7086</v>
      </c>
      <c r="E157">
        <v>6.525117680878738</v>
      </c>
    </row>
    <row r="158" spans="1:5">
      <c r="A158" t="s">
        <v>1792</v>
      </c>
      <c r="B158" t="s">
        <v>950</v>
      </c>
      <c r="C158" t="s">
        <v>995</v>
      </c>
      <c r="D158" t="s">
        <v>7087</v>
      </c>
      <c r="E158">
        <v>19.77357377163374</v>
      </c>
    </row>
    <row r="159" spans="1:5">
      <c r="A159" t="s">
        <v>1793</v>
      </c>
      <c r="B159" t="s">
        <v>950</v>
      </c>
      <c r="C159" t="s">
        <v>995</v>
      </c>
      <c r="D159" t="s">
        <v>7088</v>
      </c>
      <c r="E159">
        <v>0.1754369740972715</v>
      </c>
    </row>
    <row r="160" spans="1:5">
      <c r="A160" t="s">
        <v>1794</v>
      </c>
      <c r="B160" t="s">
        <v>950</v>
      </c>
      <c r="C160" t="s">
        <v>995</v>
      </c>
      <c r="D160" t="s">
        <v>6996</v>
      </c>
      <c r="E160">
        <v>17.78848541946308</v>
      </c>
    </row>
    <row r="161" spans="1:5">
      <c r="A161" t="s">
        <v>1795</v>
      </c>
      <c r="B161" t="s">
        <v>950</v>
      </c>
      <c r="C161" t="s">
        <v>995</v>
      </c>
      <c r="D161" t="s">
        <v>6997</v>
      </c>
      <c r="E161">
        <v>77.84256829179911</v>
      </c>
    </row>
    <row r="162" spans="1:5">
      <c r="A162" t="s">
        <v>1796</v>
      </c>
      <c r="B162" t="s">
        <v>950</v>
      </c>
      <c r="C162" t="s">
        <v>995</v>
      </c>
      <c r="D162" t="s">
        <v>7089</v>
      </c>
      <c r="E162">
        <v>4.7917616538169</v>
      </c>
    </row>
    <row r="163" spans="1:5">
      <c r="A163" t="s">
        <v>1797</v>
      </c>
      <c r="B163" t="s">
        <v>950</v>
      </c>
      <c r="C163" t="s">
        <v>995</v>
      </c>
      <c r="D163" t="s">
        <v>7090</v>
      </c>
      <c r="E163">
        <v>18.60235203070231</v>
      </c>
    </row>
    <row r="164" spans="1:5">
      <c r="A164" t="s">
        <v>1798</v>
      </c>
      <c r="B164" t="s">
        <v>950</v>
      </c>
      <c r="C164" t="s">
        <v>995</v>
      </c>
      <c r="D164" t="s">
        <v>7091</v>
      </c>
      <c r="E164">
        <v>0.2240335175509313</v>
      </c>
    </row>
    <row r="165" spans="1:5">
      <c r="A165" t="s">
        <v>1799</v>
      </c>
      <c r="B165" t="s">
        <v>950</v>
      </c>
      <c r="C165" t="s">
        <v>995</v>
      </c>
      <c r="D165" t="s">
        <v>7092</v>
      </c>
      <c r="E165">
        <v>8.30752048384338</v>
      </c>
    </row>
    <row r="166" spans="1:5">
      <c r="A166" t="s">
        <v>1800</v>
      </c>
      <c r="B166" t="s">
        <v>950</v>
      </c>
      <c r="C166" t="s">
        <v>995</v>
      </c>
      <c r="D166" t="s">
        <v>6998</v>
      </c>
      <c r="E166">
        <v>33.1519751610043</v>
      </c>
    </row>
    <row r="167" spans="1:5">
      <c r="A167" t="s">
        <v>1801</v>
      </c>
      <c r="B167" t="s">
        <v>950</v>
      </c>
      <c r="C167" t="s">
        <v>995</v>
      </c>
      <c r="D167" t="s">
        <v>7093</v>
      </c>
      <c r="E167">
        <v>1.997078192472469</v>
      </c>
    </row>
    <row r="168" spans="1:5">
      <c r="A168" t="s">
        <v>1802</v>
      </c>
      <c r="B168" t="s">
        <v>950</v>
      </c>
      <c r="C168" t="s">
        <v>995</v>
      </c>
      <c r="D168" t="s">
        <v>6999</v>
      </c>
      <c r="E168">
        <v>181.1957861141366</v>
      </c>
    </row>
    <row r="169" spans="1:5">
      <c r="A169" t="s">
        <v>1803</v>
      </c>
      <c r="B169" t="s">
        <v>950</v>
      </c>
      <c r="C169" t="s">
        <v>995</v>
      </c>
      <c r="D169" t="s">
        <v>7094</v>
      </c>
      <c r="E169">
        <v>796.3703406831476</v>
      </c>
    </row>
    <row r="170" spans="1:5">
      <c r="A170" t="s">
        <v>1804</v>
      </c>
      <c r="B170" t="s">
        <v>950</v>
      </c>
      <c r="C170" t="s">
        <v>995</v>
      </c>
      <c r="D170" t="s">
        <v>7095</v>
      </c>
      <c r="E170">
        <v>306.2019382068162</v>
      </c>
    </row>
    <row r="171" spans="1:5">
      <c r="A171" t="s">
        <v>1805</v>
      </c>
      <c r="B171" t="s">
        <v>950</v>
      </c>
      <c r="C171" t="s">
        <v>995</v>
      </c>
      <c r="D171" t="s">
        <v>7096</v>
      </c>
      <c r="E171">
        <v>89.50644450344728</v>
      </c>
    </row>
    <row r="172" spans="1:5">
      <c r="A172" t="s">
        <v>1806</v>
      </c>
      <c r="B172" t="s">
        <v>950</v>
      </c>
      <c r="C172" t="s">
        <v>995</v>
      </c>
      <c r="D172" t="s">
        <v>7097</v>
      </c>
      <c r="E172">
        <v>70.60158103328547</v>
      </c>
    </row>
    <row r="173" spans="1:5">
      <c r="A173" t="s">
        <v>1807</v>
      </c>
      <c r="B173" t="s">
        <v>950</v>
      </c>
      <c r="C173" t="s">
        <v>995</v>
      </c>
      <c r="D173" t="s">
        <v>7000</v>
      </c>
      <c r="E173">
        <v>4.966656546949201</v>
      </c>
    </row>
    <row r="174" spans="1:5">
      <c r="A174" t="s">
        <v>1808</v>
      </c>
      <c r="B174" t="s">
        <v>950</v>
      </c>
      <c r="C174" t="s">
        <v>995</v>
      </c>
      <c r="D174" t="s">
        <v>7098</v>
      </c>
      <c r="E174">
        <v>1.097920475609634</v>
      </c>
    </row>
    <row r="175" spans="1:5">
      <c r="A175" t="s">
        <v>1809</v>
      </c>
      <c r="B175" t="s">
        <v>950</v>
      </c>
      <c r="C175" t="s">
        <v>995</v>
      </c>
      <c r="D175" t="s">
        <v>7001</v>
      </c>
      <c r="E175">
        <v>84.33464785172328</v>
      </c>
    </row>
    <row r="176" spans="1:5">
      <c r="A176" t="s">
        <v>1810</v>
      </c>
      <c r="B176" t="s">
        <v>950</v>
      </c>
      <c r="C176" t="s">
        <v>995</v>
      </c>
      <c r="D176" t="s">
        <v>7099</v>
      </c>
      <c r="E176">
        <v>0.04992186586303953</v>
      </c>
    </row>
    <row r="177" spans="1:5">
      <c r="A177" t="s">
        <v>1811</v>
      </c>
      <c r="B177" t="s">
        <v>950</v>
      </c>
      <c r="C177" t="s">
        <v>995</v>
      </c>
      <c r="D177" t="s">
        <v>7100</v>
      </c>
      <c r="E177">
        <v>84.12144325076686</v>
      </c>
    </row>
    <row r="178" spans="1:5">
      <c r="A178" t="s">
        <v>1812</v>
      </c>
      <c r="B178" t="s">
        <v>950</v>
      </c>
      <c r="C178" t="s">
        <v>995</v>
      </c>
      <c r="D178" t="s">
        <v>7002</v>
      </c>
      <c r="E178">
        <v>68.69663259730321</v>
      </c>
    </row>
    <row r="179" spans="1:5">
      <c r="A179" t="s">
        <v>1813</v>
      </c>
      <c r="B179" t="s">
        <v>950</v>
      </c>
      <c r="C179" t="s">
        <v>995</v>
      </c>
      <c r="D179" t="s">
        <v>7101</v>
      </c>
      <c r="E179">
        <v>3.046656548153473</v>
      </c>
    </row>
    <row r="180" spans="1:5">
      <c r="A180" t="s">
        <v>1814</v>
      </c>
      <c r="B180" t="s">
        <v>950</v>
      </c>
      <c r="C180" t="s">
        <v>995</v>
      </c>
      <c r="D180" t="s">
        <v>7102</v>
      </c>
      <c r="E180">
        <v>4.160202265491964</v>
      </c>
    </row>
    <row r="181" spans="1:5">
      <c r="A181" t="s">
        <v>1815</v>
      </c>
      <c r="B181" t="s">
        <v>950</v>
      </c>
      <c r="C181" t="s">
        <v>995</v>
      </c>
      <c r="D181" t="s">
        <v>7103</v>
      </c>
      <c r="E181">
        <v>0.2080514890690832</v>
      </c>
    </row>
    <row r="182" spans="1:5">
      <c r="A182" t="s">
        <v>1816</v>
      </c>
      <c r="B182" t="s">
        <v>950</v>
      </c>
      <c r="C182" t="s">
        <v>995</v>
      </c>
      <c r="D182" t="s">
        <v>7104</v>
      </c>
      <c r="E182">
        <v>81.65387814998667</v>
      </c>
    </row>
    <row r="183" spans="1:5">
      <c r="A183" t="s">
        <v>1817</v>
      </c>
      <c r="B183" t="s">
        <v>950</v>
      </c>
      <c r="C183" t="s">
        <v>995</v>
      </c>
      <c r="D183" t="s">
        <v>7105</v>
      </c>
      <c r="E183">
        <v>38.70407306077588</v>
      </c>
    </row>
    <row r="184" spans="1:5">
      <c r="A184" t="s">
        <v>1818</v>
      </c>
      <c r="B184" t="s">
        <v>950</v>
      </c>
      <c r="C184" t="s">
        <v>995</v>
      </c>
      <c r="D184" t="s">
        <v>7106</v>
      </c>
      <c r="E184">
        <v>20.67539919946227</v>
      </c>
    </row>
    <row r="185" spans="1:5">
      <c r="A185" t="s">
        <v>1819</v>
      </c>
      <c r="B185" t="s">
        <v>950</v>
      </c>
      <c r="C185" t="s">
        <v>995</v>
      </c>
      <c r="D185" t="s">
        <v>7107</v>
      </c>
      <c r="E185">
        <v>0.6826475162981279</v>
      </c>
    </row>
    <row r="186" spans="1:5">
      <c r="A186" t="s">
        <v>1820</v>
      </c>
      <c r="B186" t="s">
        <v>950</v>
      </c>
      <c r="C186" t="s">
        <v>995</v>
      </c>
      <c r="D186" t="s">
        <v>7003</v>
      </c>
      <c r="E186">
        <v>32.72092547330433</v>
      </c>
    </row>
    <row r="187" spans="1:5">
      <c r="A187" t="s">
        <v>1821</v>
      </c>
      <c r="B187" t="s">
        <v>950</v>
      </c>
      <c r="C187" t="s">
        <v>995</v>
      </c>
      <c r="D187" t="s">
        <v>7004</v>
      </c>
      <c r="E187">
        <v>240.1312549387942</v>
      </c>
    </row>
    <row r="188" spans="1:5">
      <c r="A188" t="s">
        <v>1822</v>
      </c>
      <c r="B188" t="s">
        <v>950</v>
      </c>
      <c r="C188" t="s">
        <v>995</v>
      </c>
      <c r="D188" t="s">
        <v>7108</v>
      </c>
      <c r="E188">
        <v>411.67446689249</v>
      </c>
    </row>
    <row r="189" spans="1:5">
      <c r="A189" t="s">
        <v>1823</v>
      </c>
      <c r="B189" t="s">
        <v>950</v>
      </c>
      <c r="C189" t="s">
        <v>995</v>
      </c>
      <c r="D189" t="s">
        <v>7109</v>
      </c>
      <c r="E189">
        <v>12.46044952616548</v>
      </c>
    </row>
    <row r="190" spans="1:5">
      <c r="A190" t="s">
        <v>1824</v>
      </c>
      <c r="B190" t="s">
        <v>950</v>
      </c>
      <c r="C190" t="s">
        <v>995</v>
      </c>
      <c r="D190" t="s">
        <v>7110</v>
      </c>
      <c r="E190">
        <v>0.01246018441317119</v>
      </c>
    </row>
    <row r="191" spans="1:5">
      <c r="A191" t="s">
        <v>1825</v>
      </c>
      <c r="B191" t="s">
        <v>950</v>
      </c>
      <c r="C191" t="s">
        <v>995</v>
      </c>
      <c r="D191" t="s">
        <v>7111</v>
      </c>
      <c r="E191">
        <v>0.5341592241118338</v>
      </c>
    </row>
    <row r="192" spans="1:5">
      <c r="A192" t="s">
        <v>1826</v>
      </c>
      <c r="B192" t="s">
        <v>950</v>
      </c>
      <c r="C192" t="s">
        <v>995</v>
      </c>
      <c r="D192" t="s">
        <v>7112</v>
      </c>
      <c r="E192">
        <v>8.218677535091295</v>
      </c>
    </row>
    <row r="193" spans="1:5">
      <c r="A193" t="s">
        <v>1827</v>
      </c>
      <c r="B193" t="s">
        <v>950</v>
      </c>
      <c r="C193" t="s">
        <v>995</v>
      </c>
      <c r="D193" t="s">
        <v>7113</v>
      </c>
      <c r="E193">
        <v>0.0650753724376372</v>
      </c>
    </row>
    <row r="194" spans="1:5">
      <c r="A194" t="s">
        <v>1828</v>
      </c>
      <c r="B194" t="s">
        <v>950</v>
      </c>
      <c r="C194" t="s">
        <v>995</v>
      </c>
      <c r="D194" t="s">
        <v>7114</v>
      </c>
      <c r="E194">
        <v>14.59883355102041</v>
      </c>
    </row>
    <row r="195" spans="1:5">
      <c r="A195" t="s">
        <v>1829</v>
      </c>
      <c r="B195" t="s">
        <v>950</v>
      </c>
      <c r="C195" t="s">
        <v>995</v>
      </c>
      <c r="D195" t="s">
        <v>7115</v>
      </c>
      <c r="E195">
        <v>2.719438486047238</v>
      </c>
    </row>
    <row r="196" spans="1:5">
      <c r="A196" t="s">
        <v>1830</v>
      </c>
      <c r="B196" t="s">
        <v>950</v>
      </c>
      <c r="C196" t="s">
        <v>995</v>
      </c>
      <c r="D196" t="s">
        <v>7116</v>
      </c>
      <c r="E196">
        <v>18.60235203070231</v>
      </c>
    </row>
    <row r="197" spans="1:5">
      <c r="A197" t="s">
        <v>1831</v>
      </c>
      <c r="B197" t="s">
        <v>950</v>
      </c>
      <c r="C197" t="s">
        <v>995</v>
      </c>
      <c r="D197" t="s">
        <v>7005</v>
      </c>
      <c r="E197">
        <v>9.457813301545631</v>
      </c>
    </row>
    <row r="198" spans="1:5">
      <c r="A198" t="s">
        <v>1832</v>
      </c>
      <c r="B198" t="s">
        <v>950</v>
      </c>
      <c r="C198" t="s">
        <v>995</v>
      </c>
      <c r="D198" t="s">
        <v>7117</v>
      </c>
      <c r="E198">
        <v>32.72253900349758</v>
      </c>
    </row>
    <row r="199" spans="1:5">
      <c r="A199" t="s">
        <v>1833</v>
      </c>
      <c r="B199" t="s">
        <v>950</v>
      </c>
      <c r="C199" t="s">
        <v>995</v>
      </c>
      <c r="D199" t="s">
        <v>7118</v>
      </c>
      <c r="E199">
        <v>87.28992356579397</v>
      </c>
    </row>
    <row r="200" spans="1:5">
      <c r="A200" t="s">
        <v>1834</v>
      </c>
      <c r="B200" t="s">
        <v>950</v>
      </c>
      <c r="C200" t="s">
        <v>995</v>
      </c>
      <c r="D200" t="s">
        <v>7119</v>
      </c>
      <c r="E200">
        <v>105.7336711641802</v>
      </c>
    </row>
    <row r="201" spans="1:5">
      <c r="A201" t="s">
        <v>1835</v>
      </c>
      <c r="B201" t="s">
        <v>950</v>
      </c>
      <c r="C201" t="s">
        <v>995</v>
      </c>
      <c r="D201" t="s">
        <v>7120</v>
      </c>
      <c r="E201">
        <v>129.7047275475398</v>
      </c>
    </row>
    <row r="202" spans="1:5">
      <c r="A202" t="s">
        <v>1836</v>
      </c>
      <c r="B202" t="s">
        <v>950</v>
      </c>
      <c r="C202" t="s">
        <v>995</v>
      </c>
      <c r="D202" t="s">
        <v>7006</v>
      </c>
      <c r="E202">
        <v>6.729400692496924</v>
      </c>
    </row>
    <row r="203" spans="1:5">
      <c r="A203" t="s">
        <v>1837</v>
      </c>
      <c r="B203" t="s">
        <v>950</v>
      </c>
      <c r="C203" t="s">
        <v>995</v>
      </c>
      <c r="D203" t="s">
        <v>7121</v>
      </c>
      <c r="E203">
        <v>41.21827089078798</v>
      </c>
    </row>
    <row r="204" spans="1:5">
      <c r="A204" t="s">
        <v>1838</v>
      </c>
      <c r="B204" t="s">
        <v>950</v>
      </c>
      <c r="C204" t="s">
        <v>995</v>
      </c>
      <c r="D204" t="s">
        <v>7122</v>
      </c>
      <c r="E204">
        <v>221.3435158248195</v>
      </c>
    </row>
    <row r="205" spans="1:5">
      <c r="A205" t="s">
        <v>1839</v>
      </c>
      <c r="B205" t="s">
        <v>950</v>
      </c>
      <c r="C205" t="s">
        <v>995</v>
      </c>
      <c r="D205" t="s">
        <v>7123</v>
      </c>
      <c r="E205">
        <v>9.707323527275662</v>
      </c>
    </row>
    <row r="206" spans="1:5">
      <c r="A206" t="s">
        <v>1840</v>
      </c>
      <c r="B206" t="s">
        <v>950</v>
      </c>
      <c r="C206" t="s">
        <v>995</v>
      </c>
      <c r="D206" t="s">
        <v>7124</v>
      </c>
      <c r="E206">
        <v>0.1183683614734199</v>
      </c>
    </row>
    <row r="207" spans="1:5">
      <c r="A207" t="s">
        <v>1841</v>
      </c>
      <c r="B207" t="s">
        <v>950</v>
      </c>
      <c r="C207" t="s">
        <v>995</v>
      </c>
      <c r="D207" t="s">
        <v>7125</v>
      </c>
      <c r="E207">
        <v>6.94935925460389</v>
      </c>
    </row>
    <row r="208" spans="1:5">
      <c r="A208" t="s">
        <v>1842</v>
      </c>
      <c r="B208" t="s">
        <v>950</v>
      </c>
      <c r="C208" t="s">
        <v>995</v>
      </c>
      <c r="D208" t="s">
        <v>7126</v>
      </c>
      <c r="E208">
        <v>0.08207912993826373</v>
      </c>
    </row>
    <row r="209" spans="1:5">
      <c r="A209" t="s">
        <v>1843</v>
      </c>
      <c r="B209" t="s">
        <v>950</v>
      </c>
      <c r="C209" t="s">
        <v>995</v>
      </c>
      <c r="D209" t="s">
        <v>998</v>
      </c>
      <c r="E209">
        <v>306.2011517918522</v>
      </c>
    </row>
    <row r="210" spans="1:5">
      <c r="A210" t="s">
        <v>1844</v>
      </c>
      <c r="B210" t="s">
        <v>950</v>
      </c>
      <c r="C210" t="s">
        <v>995</v>
      </c>
      <c r="D210" t="s">
        <v>7127</v>
      </c>
      <c r="E210">
        <v>7.667625049888028</v>
      </c>
    </row>
    <row r="211" spans="1:5">
      <c r="A211" t="s">
        <v>1845</v>
      </c>
      <c r="B211" t="s">
        <v>950</v>
      </c>
      <c r="C211" t="s">
        <v>995</v>
      </c>
      <c r="D211" t="s">
        <v>7128</v>
      </c>
      <c r="E211">
        <v>0.02531007280565745</v>
      </c>
    </row>
    <row r="212" spans="1:5">
      <c r="A212" t="s">
        <v>1846</v>
      </c>
      <c r="B212" t="s">
        <v>950</v>
      </c>
      <c r="C212" t="s">
        <v>995</v>
      </c>
      <c r="D212" t="s">
        <v>7129</v>
      </c>
      <c r="E212">
        <v>0</v>
      </c>
    </row>
    <row r="213" spans="1:5">
      <c r="A213" t="s">
        <v>1847</v>
      </c>
      <c r="B213" t="s">
        <v>950</v>
      </c>
      <c r="C213" t="s">
        <v>995</v>
      </c>
      <c r="D213" t="s">
        <v>7130</v>
      </c>
      <c r="E213">
        <v>0.01172959568272204</v>
      </c>
    </row>
    <row r="214" spans="1:5">
      <c r="A214" t="s">
        <v>1848</v>
      </c>
      <c r="B214" t="s">
        <v>950</v>
      </c>
      <c r="C214" t="s">
        <v>995</v>
      </c>
      <c r="D214" t="s">
        <v>7131</v>
      </c>
      <c r="E214">
        <v>2.608873115133686</v>
      </c>
    </row>
    <row r="215" spans="1:5">
      <c r="A215" t="s">
        <v>1849</v>
      </c>
      <c r="B215" t="s">
        <v>950</v>
      </c>
      <c r="C215" t="s">
        <v>995</v>
      </c>
      <c r="D215" t="s">
        <v>7132</v>
      </c>
      <c r="E215">
        <v>114.4929949464766</v>
      </c>
    </row>
    <row r="216" spans="1:5">
      <c r="A216" t="s">
        <v>1850</v>
      </c>
      <c r="B216" t="s">
        <v>950</v>
      </c>
      <c r="C216" t="s">
        <v>995</v>
      </c>
      <c r="D216" t="s">
        <v>7133</v>
      </c>
      <c r="E216">
        <v>0.5452665677780708</v>
      </c>
    </row>
    <row r="217" spans="1:5">
      <c r="A217" t="s">
        <v>1851</v>
      </c>
      <c r="B217" t="s">
        <v>950</v>
      </c>
      <c r="C217" t="s">
        <v>995</v>
      </c>
      <c r="D217" t="s">
        <v>7134</v>
      </c>
      <c r="E217">
        <v>113.408161220505</v>
      </c>
    </row>
    <row r="218" spans="1:5">
      <c r="A218" t="s">
        <v>1852</v>
      </c>
      <c r="B218" t="s">
        <v>950</v>
      </c>
      <c r="C218" t="s">
        <v>995</v>
      </c>
      <c r="D218" t="s">
        <v>7135</v>
      </c>
      <c r="E218">
        <v>171.0626253060912</v>
      </c>
    </row>
    <row r="219" spans="1:5">
      <c r="A219" t="s">
        <v>1853</v>
      </c>
      <c r="B219" t="s">
        <v>950</v>
      </c>
      <c r="C219" t="s">
        <v>995</v>
      </c>
      <c r="D219" t="s">
        <v>7136</v>
      </c>
      <c r="E219">
        <v>419.0913556233852</v>
      </c>
    </row>
    <row r="220" spans="1:5">
      <c r="A220" t="s">
        <v>1854</v>
      </c>
      <c r="B220" t="s">
        <v>950</v>
      </c>
      <c r="C220" t="s">
        <v>995</v>
      </c>
      <c r="D220" t="s">
        <v>7137</v>
      </c>
      <c r="E220">
        <v>0.5452665677780708</v>
      </c>
    </row>
    <row r="221" spans="1:5">
      <c r="A221" t="s">
        <v>1855</v>
      </c>
      <c r="B221" t="s">
        <v>950</v>
      </c>
      <c r="C221" t="s">
        <v>995</v>
      </c>
      <c r="D221" t="s">
        <v>7138</v>
      </c>
      <c r="E221">
        <v>2.997280042235109</v>
      </c>
    </row>
    <row r="222" spans="1:5">
      <c r="A222" t="s">
        <v>1856</v>
      </c>
      <c r="B222" t="s">
        <v>950</v>
      </c>
      <c r="C222" t="s">
        <v>995</v>
      </c>
      <c r="D222" t="s">
        <v>7139</v>
      </c>
      <c r="E222">
        <v>1.279893719324871</v>
      </c>
    </row>
    <row r="223" spans="1:5">
      <c r="A223" t="s">
        <v>1857</v>
      </c>
      <c r="B223" t="s">
        <v>950</v>
      </c>
      <c r="C223" t="s">
        <v>995</v>
      </c>
      <c r="D223" t="s">
        <v>7007</v>
      </c>
      <c r="E223">
        <v>18.60234816069864</v>
      </c>
    </row>
    <row r="224" spans="1:5">
      <c r="A224" t="s">
        <v>1858</v>
      </c>
      <c r="B224" t="s">
        <v>950</v>
      </c>
      <c r="C224" t="s">
        <v>995</v>
      </c>
      <c r="D224" t="s">
        <v>7140</v>
      </c>
      <c r="E224">
        <v>16.13886752861212</v>
      </c>
    </row>
    <row r="225" spans="1:5">
      <c r="A225" t="s">
        <v>1859</v>
      </c>
      <c r="B225" t="s">
        <v>950</v>
      </c>
      <c r="C225" t="s">
        <v>995</v>
      </c>
      <c r="D225" t="s">
        <v>7141</v>
      </c>
      <c r="E225">
        <v>11.81966781997773</v>
      </c>
    </row>
    <row r="226" spans="1:5">
      <c r="A226" t="s">
        <v>1860</v>
      </c>
      <c r="B226" t="s">
        <v>950</v>
      </c>
      <c r="C226" t="s">
        <v>995</v>
      </c>
      <c r="D226" t="s">
        <v>7142</v>
      </c>
      <c r="E226">
        <v>11.81966781997773</v>
      </c>
    </row>
    <row r="227" spans="1:5">
      <c r="A227" t="s">
        <v>1696</v>
      </c>
      <c r="B227" t="s">
        <v>950</v>
      </c>
      <c r="C227" t="s">
        <v>995</v>
      </c>
      <c r="D227" t="s">
        <v>996</v>
      </c>
      <c r="E227">
        <v>357.671422</v>
      </c>
    </row>
    <row r="228" spans="1:5">
      <c r="A228" t="s">
        <v>1861</v>
      </c>
      <c r="B228" t="s">
        <v>951</v>
      </c>
      <c r="C228" t="s">
        <v>995</v>
      </c>
      <c r="D228" t="s">
        <v>996</v>
      </c>
      <c r="E228">
        <v>360.393448</v>
      </c>
    </row>
    <row r="229" spans="1:5">
      <c r="A229" t="s">
        <v>1862</v>
      </c>
      <c r="B229" t="s">
        <v>951</v>
      </c>
      <c r="C229" t="s">
        <v>995</v>
      </c>
      <c r="D229" t="s">
        <v>7008</v>
      </c>
      <c r="E229">
        <v>84.38009193008219</v>
      </c>
    </row>
    <row r="230" spans="1:5">
      <c r="A230" t="s">
        <v>1863</v>
      </c>
      <c r="B230" t="s">
        <v>951</v>
      </c>
      <c r="C230" t="s">
        <v>995</v>
      </c>
      <c r="D230" t="s">
        <v>7009</v>
      </c>
      <c r="E230">
        <v>4.826162367989705</v>
      </c>
    </row>
    <row r="231" spans="1:5">
      <c r="A231" t="s">
        <v>1864</v>
      </c>
      <c r="B231" t="s">
        <v>951</v>
      </c>
      <c r="C231" t="s">
        <v>995</v>
      </c>
      <c r="D231" t="s">
        <v>7010</v>
      </c>
      <c r="E231">
        <v>3.772068314362017</v>
      </c>
    </row>
    <row r="232" spans="1:5">
      <c r="A232" t="s">
        <v>1865</v>
      </c>
      <c r="B232" t="s">
        <v>951</v>
      </c>
      <c r="C232" t="s">
        <v>995</v>
      </c>
      <c r="D232" t="s">
        <v>7011</v>
      </c>
      <c r="E232">
        <v>0.839428932264463</v>
      </c>
    </row>
    <row r="233" spans="1:5">
      <c r="A233" t="s">
        <v>1866</v>
      </c>
      <c r="B233" t="s">
        <v>951</v>
      </c>
      <c r="C233" t="s">
        <v>995</v>
      </c>
      <c r="D233" t="s">
        <v>7012</v>
      </c>
      <c r="E233">
        <v>173.1205928863628</v>
      </c>
    </row>
    <row r="234" spans="1:5">
      <c r="A234" t="s">
        <v>1867</v>
      </c>
      <c r="B234" t="s">
        <v>951</v>
      </c>
      <c r="C234" t="s">
        <v>995</v>
      </c>
      <c r="D234" t="s">
        <v>7013</v>
      </c>
      <c r="E234">
        <v>0.3278959323312465</v>
      </c>
    </row>
    <row r="235" spans="1:5">
      <c r="A235" t="s">
        <v>1868</v>
      </c>
      <c r="B235" t="s">
        <v>951</v>
      </c>
      <c r="C235" t="s">
        <v>995</v>
      </c>
      <c r="D235" t="s">
        <v>7014</v>
      </c>
      <c r="E235">
        <v>0.2220850643311648</v>
      </c>
    </row>
    <row r="236" spans="1:5">
      <c r="A236" t="s">
        <v>1869</v>
      </c>
      <c r="B236" t="s">
        <v>951</v>
      </c>
      <c r="C236" t="s">
        <v>995</v>
      </c>
      <c r="D236" t="s">
        <v>6981</v>
      </c>
      <c r="E236">
        <v>221.6830428457632</v>
      </c>
    </row>
    <row r="237" spans="1:5">
      <c r="A237" t="s">
        <v>1870</v>
      </c>
      <c r="B237" t="s">
        <v>951</v>
      </c>
      <c r="C237" t="s">
        <v>995</v>
      </c>
      <c r="D237" t="s">
        <v>7015</v>
      </c>
      <c r="E237">
        <v>173.1205928863628</v>
      </c>
    </row>
    <row r="238" spans="1:5">
      <c r="A238" t="s">
        <v>1871</v>
      </c>
      <c r="B238" t="s">
        <v>951</v>
      </c>
      <c r="C238" t="s">
        <v>995</v>
      </c>
      <c r="D238" t="s">
        <v>7016</v>
      </c>
      <c r="E238">
        <v>181.6736398552029</v>
      </c>
    </row>
    <row r="239" spans="1:5">
      <c r="A239" t="s">
        <v>1872</v>
      </c>
      <c r="B239" t="s">
        <v>951</v>
      </c>
      <c r="C239" t="s">
        <v>995</v>
      </c>
      <c r="D239" t="s">
        <v>7017</v>
      </c>
      <c r="E239">
        <v>184.2662439987115</v>
      </c>
    </row>
    <row r="240" spans="1:5">
      <c r="A240" t="s">
        <v>1873</v>
      </c>
      <c r="B240" t="s">
        <v>951</v>
      </c>
      <c r="C240" t="s">
        <v>995</v>
      </c>
      <c r="D240" t="s">
        <v>7018</v>
      </c>
      <c r="E240">
        <v>154.9429585442664</v>
      </c>
    </row>
    <row r="241" spans="1:5">
      <c r="A241" t="s">
        <v>1874</v>
      </c>
      <c r="B241" t="s">
        <v>951</v>
      </c>
      <c r="C241" t="s">
        <v>995</v>
      </c>
      <c r="D241" t="s">
        <v>7019</v>
      </c>
      <c r="E241">
        <v>2.523897648403152</v>
      </c>
    </row>
    <row r="242" spans="1:5">
      <c r="A242" t="s">
        <v>1875</v>
      </c>
      <c r="B242" t="s">
        <v>951</v>
      </c>
      <c r="C242" t="s">
        <v>995</v>
      </c>
      <c r="D242" t="s">
        <v>997</v>
      </c>
      <c r="E242">
        <v>184.2662439987115</v>
      </c>
    </row>
    <row r="243" spans="1:5">
      <c r="A243" t="s">
        <v>1876</v>
      </c>
      <c r="B243" t="s">
        <v>951</v>
      </c>
      <c r="C243" t="s">
        <v>995</v>
      </c>
      <c r="D243" t="s">
        <v>7020</v>
      </c>
      <c r="E243">
        <v>824.1652385297393</v>
      </c>
    </row>
    <row r="244" spans="1:5">
      <c r="A244" t="s">
        <v>1877</v>
      </c>
      <c r="B244" t="s">
        <v>951</v>
      </c>
      <c r="C244" t="s">
        <v>995</v>
      </c>
      <c r="D244" t="s">
        <v>7021</v>
      </c>
      <c r="E244">
        <v>0.1034860729768839</v>
      </c>
    </row>
    <row r="245" spans="1:5">
      <c r="A245" t="s">
        <v>1878</v>
      </c>
      <c r="B245" t="s">
        <v>951</v>
      </c>
      <c r="C245" t="s">
        <v>995</v>
      </c>
      <c r="D245" t="s">
        <v>7022</v>
      </c>
      <c r="E245">
        <v>309.8857838601946</v>
      </c>
    </row>
    <row r="246" spans="1:5">
      <c r="A246" t="s">
        <v>1879</v>
      </c>
      <c r="B246" t="s">
        <v>951</v>
      </c>
      <c r="C246" t="s">
        <v>995</v>
      </c>
      <c r="D246" t="s">
        <v>7023</v>
      </c>
      <c r="E246">
        <v>242.0865011483196</v>
      </c>
    </row>
    <row r="247" spans="1:5">
      <c r="A247" t="s">
        <v>1880</v>
      </c>
      <c r="B247" t="s">
        <v>951</v>
      </c>
      <c r="C247" t="s">
        <v>995</v>
      </c>
      <c r="D247" t="s">
        <v>7024</v>
      </c>
      <c r="E247">
        <v>44.44664012317024</v>
      </c>
    </row>
    <row r="248" spans="1:5">
      <c r="A248" t="s">
        <v>1881</v>
      </c>
      <c r="B248" t="s">
        <v>951</v>
      </c>
      <c r="C248" t="s">
        <v>995</v>
      </c>
      <c r="D248" t="s">
        <v>6982</v>
      </c>
      <c r="E248">
        <v>61.52766686908794</v>
      </c>
    </row>
    <row r="249" spans="1:5">
      <c r="A249" t="s">
        <v>1882</v>
      </c>
      <c r="B249" t="s">
        <v>951</v>
      </c>
      <c r="C249" t="s">
        <v>995</v>
      </c>
      <c r="D249" t="s">
        <v>7025</v>
      </c>
      <c r="E249">
        <v>309.8857838601946</v>
      </c>
    </row>
    <row r="250" spans="1:5">
      <c r="A250" t="s">
        <v>1883</v>
      </c>
      <c r="B250" t="s">
        <v>951</v>
      </c>
      <c r="C250" t="s">
        <v>995</v>
      </c>
      <c r="D250" t="s">
        <v>7026</v>
      </c>
      <c r="E250">
        <v>3.230446272663675</v>
      </c>
    </row>
    <row r="251" spans="1:5">
      <c r="A251" t="s">
        <v>1884</v>
      </c>
      <c r="B251" t="s">
        <v>951</v>
      </c>
      <c r="C251" t="s">
        <v>995</v>
      </c>
      <c r="D251" t="s">
        <v>7027</v>
      </c>
      <c r="E251">
        <v>21.58853069886171</v>
      </c>
    </row>
    <row r="252" spans="1:5">
      <c r="A252" t="s">
        <v>1885</v>
      </c>
      <c r="B252" t="s">
        <v>951</v>
      </c>
      <c r="C252" t="s">
        <v>995</v>
      </c>
      <c r="D252" t="s">
        <v>7028</v>
      </c>
      <c r="E252">
        <v>111.1893740023164</v>
      </c>
    </row>
    <row r="253" spans="1:5">
      <c r="A253" t="s">
        <v>1886</v>
      </c>
      <c r="B253" t="s">
        <v>951</v>
      </c>
      <c r="C253" t="s">
        <v>995</v>
      </c>
      <c r="D253" t="s">
        <v>7029</v>
      </c>
      <c r="E253">
        <v>154.9429585442664</v>
      </c>
    </row>
    <row r="254" spans="1:5">
      <c r="A254" t="s">
        <v>1887</v>
      </c>
      <c r="B254" t="s">
        <v>951</v>
      </c>
      <c r="C254" t="s">
        <v>995</v>
      </c>
      <c r="D254" t="s">
        <v>6983</v>
      </c>
      <c r="E254">
        <v>225.4780064228615</v>
      </c>
    </row>
    <row r="255" spans="1:5">
      <c r="A255" t="s">
        <v>1888</v>
      </c>
      <c r="B255" t="s">
        <v>951</v>
      </c>
      <c r="C255" t="s">
        <v>995</v>
      </c>
      <c r="D255" t="s">
        <v>7030</v>
      </c>
      <c r="E255">
        <v>0.1345560986409116</v>
      </c>
    </row>
    <row r="256" spans="1:5">
      <c r="A256" t="s">
        <v>1889</v>
      </c>
      <c r="B256" t="s">
        <v>951</v>
      </c>
      <c r="C256" t="s">
        <v>995</v>
      </c>
      <c r="D256" t="s">
        <v>6984</v>
      </c>
      <c r="E256">
        <v>393.9897412126883</v>
      </c>
    </row>
    <row r="257" spans="1:5">
      <c r="A257" t="s">
        <v>1890</v>
      </c>
      <c r="B257" t="s">
        <v>951</v>
      </c>
      <c r="C257" t="s">
        <v>995</v>
      </c>
      <c r="D257" t="s">
        <v>7031</v>
      </c>
      <c r="E257">
        <v>13700.56825698536</v>
      </c>
    </row>
    <row r="258" spans="1:5">
      <c r="A258" t="s">
        <v>1891</v>
      </c>
      <c r="B258" t="s">
        <v>951</v>
      </c>
      <c r="C258" t="s">
        <v>995</v>
      </c>
      <c r="D258" t="s">
        <v>7032</v>
      </c>
      <c r="E258">
        <v>0.3466123639733927</v>
      </c>
    </row>
    <row r="259" spans="1:5">
      <c r="A259" t="s">
        <v>1892</v>
      </c>
      <c r="B259" t="s">
        <v>951</v>
      </c>
      <c r="C259" t="s">
        <v>995</v>
      </c>
      <c r="D259" t="s">
        <v>7033</v>
      </c>
      <c r="E259">
        <v>45.49375737046351</v>
      </c>
    </row>
    <row r="260" spans="1:5">
      <c r="A260" t="s">
        <v>1893</v>
      </c>
      <c r="B260" t="s">
        <v>951</v>
      </c>
      <c r="C260" t="s">
        <v>995</v>
      </c>
      <c r="D260" t="s">
        <v>6985</v>
      </c>
      <c r="E260">
        <v>45.45407453241613</v>
      </c>
    </row>
    <row r="261" spans="1:5">
      <c r="A261" t="s">
        <v>1894</v>
      </c>
      <c r="B261" t="s">
        <v>951</v>
      </c>
      <c r="C261" t="s">
        <v>995</v>
      </c>
      <c r="D261" t="s">
        <v>7034</v>
      </c>
      <c r="E261">
        <v>0.08132302289360689</v>
      </c>
    </row>
    <row r="262" spans="1:5">
      <c r="A262" t="s">
        <v>1895</v>
      </c>
      <c r="B262" t="s">
        <v>951</v>
      </c>
      <c r="C262" t="s">
        <v>995</v>
      </c>
      <c r="D262" t="s">
        <v>7035</v>
      </c>
      <c r="E262">
        <v>0.675576855083978</v>
      </c>
    </row>
    <row r="263" spans="1:5">
      <c r="A263" t="s">
        <v>1896</v>
      </c>
      <c r="B263" t="s">
        <v>951</v>
      </c>
      <c r="C263" t="s">
        <v>995</v>
      </c>
      <c r="D263" t="s">
        <v>7036</v>
      </c>
      <c r="E263">
        <v>12.91191274942362</v>
      </c>
    </row>
    <row r="264" spans="1:5">
      <c r="A264" t="s">
        <v>1897</v>
      </c>
      <c r="B264" t="s">
        <v>951</v>
      </c>
      <c r="C264" t="s">
        <v>995</v>
      </c>
      <c r="D264" t="s">
        <v>7037</v>
      </c>
      <c r="E264">
        <v>3.268430127420305</v>
      </c>
    </row>
    <row r="265" spans="1:5">
      <c r="A265" t="s">
        <v>1898</v>
      </c>
      <c r="B265" t="s">
        <v>951</v>
      </c>
      <c r="C265" t="s">
        <v>995</v>
      </c>
      <c r="D265" t="s">
        <v>6986</v>
      </c>
      <c r="E265">
        <v>14.81677040581627</v>
      </c>
    </row>
    <row r="266" spans="1:5">
      <c r="A266" t="s">
        <v>1899</v>
      </c>
      <c r="B266" t="s">
        <v>951</v>
      </c>
      <c r="C266" t="s">
        <v>995</v>
      </c>
      <c r="D266" t="s">
        <v>7038</v>
      </c>
      <c r="E266">
        <v>1.743665103308302</v>
      </c>
    </row>
    <row r="267" spans="1:5">
      <c r="A267" t="s">
        <v>1900</v>
      </c>
      <c r="B267" t="s">
        <v>951</v>
      </c>
      <c r="C267" t="s">
        <v>995</v>
      </c>
      <c r="D267" t="s">
        <v>6987</v>
      </c>
      <c r="E267">
        <v>48.30427960376367</v>
      </c>
    </row>
    <row r="268" spans="1:5">
      <c r="A268" t="s">
        <v>1901</v>
      </c>
      <c r="B268" t="s">
        <v>951</v>
      </c>
      <c r="C268" t="s">
        <v>995</v>
      </c>
      <c r="D268" t="s">
        <v>7039</v>
      </c>
      <c r="E268">
        <v>5.201889567332763</v>
      </c>
    </row>
    <row r="269" spans="1:5">
      <c r="A269" t="s">
        <v>1902</v>
      </c>
      <c r="B269" t="s">
        <v>951</v>
      </c>
      <c r="C269" t="s">
        <v>995</v>
      </c>
      <c r="D269" t="s">
        <v>7040</v>
      </c>
      <c r="E269">
        <v>2.323725293898887</v>
      </c>
    </row>
    <row r="270" spans="1:5">
      <c r="A270" t="s">
        <v>1903</v>
      </c>
      <c r="B270" t="s">
        <v>951</v>
      </c>
      <c r="C270" t="s">
        <v>995</v>
      </c>
      <c r="D270" t="s">
        <v>7041</v>
      </c>
      <c r="E270">
        <v>5.841215722368517</v>
      </c>
    </row>
    <row r="271" spans="1:5">
      <c r="A271" t="s">
        <v>1904</v>
      </c>
      <c r="B271" t="s">
        <v>951</v>
      </c>
      <c r="C271" t="s">
        <v>995</v>
      </c>
      <c r="D271" t="s">
        <v>7042</v>
      </c>
      <c r="E271">
        <v>20.65906054710933</v>
      </c>
    </row>
    <row r="272" spans="1:5">
      <c r="A272" t="s">
        <v>1905</v>
      </c>
      <c r="B272" t="s">
        <v>951</v>
      </c>
      <c r="C272" t="s">
        <v>995</v>
      </c>
      <c r="D272" t="s">
        <v>7043</v>
      </c>
      <c r="E272">
        <v>1.953260901265164</v>
      </c>
    </row>
    <row r="273" spans="1:5">
      <c r="A273" t="s">
        <v>1906</v>
      </c>
      <c r="B273" t="s">
        <v>951</v>
      </c>
      <c r="C273" t="s">
        <v>995</v>
      </c>
      <c r="D273" t="s">
        <v>7044</v>
      </c>
      <c r="E273">
        <v>140.7883698254255</v>
      </c>
    </row>
    <row r="274" spans="1:5">
      <c r="A274" t="s">
        <v>1907</v>
      </c>
      <c r="B274" t="s">
        <v>951</v>
      </c>
      <c r="C274" t="s">
        <v>995</v>
      </c>
      <c r="D274" t="s">
        <v>7045</v>
      </c>
      <c r="E274">
        <v>413.4891801315066</v>
      </c>
    </row>
    <row r="275" spans="1:5">
      <c r="A275" t="s">
        <v>1908</v>
      </c>
      <c r="B275" t="s">
        <v>951</v>
      </c>
      <c r="C275" t="s">
        <v>995</v>
      </c>
      <c r="D275" t="s">
        <v>7046</v>
      </c>
      <c r="E275">
        <v>48.3042860780871</v>
      </c>
    </row>
    <row r="276" spans="1:5">
      <c r="A276" t="s">
        <v>1909</v>
      </c>
      <c r="B276" t="s">
        <v>951</v>
      </c>
      <c r="C276" t="s">
        <v>995</v>
      </c>
      <c r="D276" t="s">
        <v>6988</v>
      </c>
      <c r="E276">
        <v>413.4872825107992</v>
      </c>
    </row>
    <row r="277" spans="1:5">
      <c r="A277" t="s">
        <v>1910</v>
      </c>
      <c r="B277" t="s">
        <v>951</v>
      </c>
      <c r="C277" t="s">
        <v>995</v>
      </c>
      <c r="D277" t="s">
        <v>7047</v>
      </c>
      <c r="E277">
        <v>115.4501831731823</v>
      </c>
    </row>
    <row r="278" spans="1:5">
      <c r="A278" t="s">
        <v>1911</v>
      </c>
      <c r="B278" t="s">
        <v>951</v>
      </c>
      <c r="C278" t="s">
        <v>995</v>
      </c>
      <c r="D278" t="s">
        <v>7048</v>
      </c>
      <c r="E278">
        <v>413.4891801315066</v>
      </c>
    </row>
    <row r="279" spans="1:5">
      <c r="A279" t="s">
        <v>1912</v>
      </c>
      <c r="B279" t="s">
        <v>951</v>
      </c>
      <c r="C279" t="s">
        <v>995</v>
      </c>
      <c r="D279" t="s">
        <v>7049</v>
      </c>
      <c r="E279">
        <v>27.15235467707435</v>
      </c>
    </row>
    <row r="280" spans="1:5">
      <c r="A280" t="s">
        <v>1913</v>
      </c>
      <c r="B280" t="s">
        <v>951</v>
      </c>
      <c r="C280" t="s">
        <v>995</v>
      </c>
      <c r="D280" t="s">
        <v>7050</v>
      </c>
      <c r="E280">
        <v>413.4891801315066</v>
      </c>
    </row>
    <row r="281" spans="1:5">
      <c r="A281" t="s">
        <v>1914</v>
      </c>
      <c r="B281" t="s">
        <v>951</v>
      </c>
      <c r="C281" t="s">
        <v>995</v>
      </c>
      <c r="D281" t="s">
        <v>7051</v>
      </c>
      <c r="E281">
        <v>4.170985458828547</v>
      </c>
    </row>
    <row r="282" spans="1:5">
      <c r="A282" t="s">
        <v>1915</v>
      </c>
      <c r="B282" t="s">
        <v>951</v>
      </c>
      <c r="C282" t="s">
        <v>995</v>
      </c>
      <c r="D282" t="s">
        <v>7052</v>
      </c>
      <c r="E282">
        <v>0.03530262476972723</v>
      </c>
    </row>
    <row r="283" spans="1:5">
      <c r="A283" t="s">
        <v>1916</v>
      </c>
      <c r="B283" t="s">
        <v>951</v>
      </c>
      <c r="C283" t="s">
        <v>995</v>
      </c>
      <c r="D283" t="s">
        <v>7053</v>
      </c>
      <c r="E283">
        <v>40.33219470776925</v>
      </c>
    </row>
    <row r="284" spans="1:5">
      <c r="A284" t="s">
        <v>1917</v>
      </c>
      <c r="B284" t="s">
        <v>951</v>
      </c>
      <c r="C284" t="s">
        <v>995</v>
      </c>
      <c r="D284" t="s">
        <v>7054</v>
      </c>
      <c r="E284">
        <v>1.470075588100582</v>
      </c>
    </row>
    <row r="285" spans="1:5">
      <c r="A285" t="s">
        <v>1918</v>
      </c>
      <c r="B285" t="s">
        <v>951</v>
      </c>
      <c r="C285" t="s">
        <v>995</v>
      </c>
      <c r="D285" t="s">
        <v>6989</v>
      </c>
      <c r="E285">
        <v>39.5754900273772</v>
      </c>
    </row>
    <row r="286" spans="1:5">
      <c r="A286" t="s">
        <v>1919</v>
      </c>
      <c r="B286" t="s">
        <v>951</v>
      </c>
      <c r="C286" t="s">
        <v>995</v>
      </c>
      <c r="D286" t="s">
        <v>7055</v>
      </c>
      <c r="E286">
        <v>11.56903334635462</v>
      </c>
    </row>
    <row r="287" spans="1:5">
      <c r="A287" t="s">
        <v>1920</v>
      </c>
      <c r="B287" t="s">
        <v>951</v>
      </c>
      <c r="C287" t="s">
        <v>995</v>
      </c>
      <c r="D287" t="s">
        <v>7056</v>
      </c>
      <c r="E287">
        <v>47.83243055279049</v>
      </c>
    </row>
    <row r="288" spans="1:5">
      <c r="A288" t="s">
        <v>1921</v>
      </c>
      <c r="B288" t="s">
        <v>951</v>
      </c>
      <c r="C288" t="s">
        <v>995</v>
      </c>
      <c r="D288" t="s">
        <v>7057</v>
      </c>
      <c r="E288">
        <v>2.348706824392105</v>
      </c>
    </row>
    <row r="289" spans="1:5">
      <c r="A289" t="s">
        <v>1922</v>
      </c>
      <c r="B289" t="s">
        <v>951</v>
      </c>
      <c r="C289" t="s">
        <v>995</v>
      </c>
      <c r="D289" t="s">
        <v>6990</v>
      </c>
      <c r="E289">
        <v>0.01774445069867448</v>
      </c>
    </row>
    <row r="290" spans="1:5">
      <c r="A290" t="s">
        <v>1923</v>
      </c>
      <c r="B290" t="s">
        <v>951</v>
      </c>
      <c r="C290" t="s">
        <v>995</v>
      </c>
      <c r="D290" t="s">
        <v>6991</v>
      </c>
      <c r="E290">
        <v>106.1576216018781</v>
      </c>
    </row>
    <row r="291" spans="1:5">
      <c r="A291" t="s">
        <v>1924</v>
      </c>
      <c r="B291" t="s">
        <v>951</v>
      </c>
      <c r="C291" t="s">
        <v>995</v>
      </c>
      <c r="D291" t="s">
        <v>7058</v>
      </c>
      <c r="E291">
        <v>413.4891801315066</v>
      </c>
    </row>
    <row r="292" spans="1:5">
      <c r="A292" t="s">
        <v>1925</v>
      </c>
      <c r="B292" t="s">
        <v>951</v>
      </c>
      <c r="C292" t="s">
        <v>995</v>
      </c>
      <c r="D292" t="s">
        <v>6992</v>
      </c>
      <c r="E292">
        <v>3.230439612650341</v>
      </c>
    </row>
    <row r="293" spans="1:5">
      <c r="A293" t="s">
        <v>1926</v>
      </c>
      <c r="B293" t="s">
        <v>951</v>
      </c>
      <c r="C293" t="s">
        <v>995</v>
      </c>
      <c r="D293" t="s">
        <v>7059</v>
      </c>
      <c r="E293">
        <v>0.2349710976188103</v>
      </c>
    </row>
    <row r="294" spans="1:5">
      <c r="A294" t="s">
        <v>1927</v>
      </c>
      <c r="B294" t="s">
        <v>951</v>
      </c>
      <c r="C294" t="s">
        <v>995</v>
      </c>
      <c r="D294" t="s">
        <v>7060</v>
      </c>
      <c r="E294">
        <v>0.0002715642261339235</v>
      </c>
    </row>
    <row r="295" spans="1:5">
      <c r="A295" t="s">
        <v>1928</v>
      </c>
      <c r="B295" t="s">
        <v>951</v>
      </c>
      <c r="C295" t="s">
        <v>995</v>
      </c>
      <c r="D295" t="s">
        <v>6993</v>
      </c>
      <c r="E295">
        <v>2.509684207603013</v>
      </c>
    </row>
    <row r="296" spans="1:5">
      <c r="A296" t="s">
        <v>1929</v>
      </c>
      <c r="B296" t="s">
        <v>951</v>
      </c>
      <c r="C296" t="s">
        <v>995</v>
      </c>
      <c r="D296" t="s">
        <v>7061</v>
      </c>
      <c r="E296">
        <v>413.4891801315066</v>
      </c>
    </row>
    <row r="297" spans="1:5">
      <c r="A297" t="s">
        <v>1930</v>
      </c>
      <c r="B297" t="s">
        <v>951</v>
      </c>
      <c r="C297" t="s">
        <v>995</v>
      </c>
      <c r="D297" t="s">
        <v>7062</v>
      </c>
      <c r="E297">
        <v>1.957002398631324</v>
      </c>
    </row>
    <row r="298" spans="1:5">
      <c r="A298" t="s">
        <v>1931</v>
      </c>
      <c r="B298" t="s">
        <v>951</v>
      </c>
      <c r="C298" t="s">
        <v>995</v>
      </c>
      <c r="D298" t="s">
        <v>7063</v>
      </c>
      <c r="E298">
        <v>437.0747091168844</v>
      </c>
    </row>
    <row r="299" spans="1:5">
      <c r="A299" t="s">
        <v>1932</v>
      </c>
      <c r="B299" t="s">
        <v>951</v>
      </c>
      <c r="C299" t="s">
        <v>995</v>
      </c>
      <c r="D299" t="s">
        <v>6994</v>
      </c>
      <c r="E299">
        <v>1.952914547651737</v>
      </c>
    </row>
    <row r="300" spans="1:5">
      <c r="A300" t="s">
        <v>1933</v>
      </c>
      <c r="B300" t="s">
        <v>951</v>
      </c>
      <c r="C300" t="s">
        <v>995</v>
      </c>
      <c r="D300" t="s">
        <v>7064</v>
      </c>
      <c r="E300">
        <v>2.387988169331079</v>
      </c>
    </row>
    <row r="301" spans="1:5">
      <c r="A301" t="s">
        <v>1934</v>
      </c>
      <c r="B301" t="s">
        <v>951</v>
      </c>
      <c r="C301" t="s">
        <v>995</v>
      </c>
      <c r="D301" t="s">
        <v>7065</v>
      </c>
      <c r="E301">
        <v>3.532966579116647</v>
      </c>
    </row>
    <row r="302" spans="1:5">
      <c r="A302" t="s">
        <v>1935</v>
      </c>
      <c r="B302" t="s">
        <v>951</v>
      </c>
      <c r="C302" t="s">
        <v>995</v>
      </c>
      <c r="D302" t="s">
        <v>7066</v>
      </c>
      <c r="E302">
        <v>0.07631539923172538</v>
      </c>
    </row>
    <row r="303" spans="1:5">
      <c r="A303" t="s">
        <v>1936</v>
      </c>
      <c r="B303" t="s">
        <v>951</v>
      </c>
      <c r="C303" t="s">
        <v>995</v>
      </c>
      <c r="D303" t="s">
        <v>7067</v>
      </c>
      <c r="E303">
        <v>221.6837246495377</v>
      </c>
    </row>
    <row r="304" spans="1:5">
      <c r="A304" t="s">
        <v>1937</v>
      </c>
      <c r="B304" t="s">
        <v>951</v>
      </c>
      <c r="C304" t="s">
        <v>995</v>
      </c>
      <c r="D304" t="s">
        <v>7068</v>
      </c>
      <c r="E304">
        <v>0.7325550262186901</v>
      </c>
    </row>
    <row r="305" spans="1:5">
      <c r="A305" t="s">
        <v>1938</v>
      </c>
      <c r="B305" t="s">
        <v>951</v>
      </c>
      <c r="C305" t="s">
        <v>995</v>
      </c>
      <c r="D305" t="s">
        <v>6995</v>
      </c>
      <c r="E305">
        <v>0.2067362663308522</v>
      </c>
    </row>
    <row r="306" spans="1:5">
      <c r="A306" t="s">
        <v>1939</v>
      </c>
      <c r="B306" t="s">
        <v>951</v>
      </c>
      <c r="C306" t="s">
        <v>995</v>
      </c>
      <c r="D306" t="s">
        <v>7069</v>
      </c>
      <c r="E306">
        <v>1006.455080121313</v>
      </c>
    </row>
    <row r="307" spans="1:5">
      <c r="A307" t="s">
        <v>1940</v>
      </c>
      <c r="B307" t="s">
        <v>951</v>
      </c>
      <c r="C307" t="s">
        <v>995</v>
      </c>
      <c r="D307" t="s">
        <v>7070</v>
      </c>
      <c r="E307">
        <v>371.8631964307087</v>
      </c>
    </row>
    <row r="308" spans="1:5">
      <c r="A308" t="s">
        <v>1941</v>
      </c>
      <c r="B308" t="s">
        <v>951</v>
      </c>
      <c r="C308" t="s">
        <v>995</v>
      </c>
      <c r="D308" t="s">
        <v>7071</v>
      </c>
      <c r="E308">
        <v>0.6584741468319314</v>
      </c>
    </row>
    <row r="309" spans="1:5">
      <c r="A309" t="s">
        <v>1942</v>
      </c>
      <c r="B309" t="s">
        <v>951</v>
      </c>
      <c r="C309" t="s">
        <v>995</v>
      </c>
      <c r="D309" t="s">
        <v>7072</v>
      </c>
      <c r="E309">
        <v>0.01403861802424004</v>
      </c>
    </row>
    <row r="310" spans="1:5">
      <c r="A310" t="s">
        <v>1943</v>
      </c>
      <c r="B310" t="s">
        <v>951</v>
      </c>
      <c r="C310" t="s">
        <v>995</v>
      </c>
      <c r="D310" t="s">
        <v>7073</v>
      </c>
      <c r="E310">
        <v>0.003462412355663131</v>
      </c>
    </row>
    <row r="311" spans="1:5">
      <c r="A311" t="s">
        <v>1944</v>
      </c>
      <c r="B311" t="s">
        <v>951</v>
      </c>
      <c r="C311" t="s">
        <v>995</v>
      </c>
      <c r="D311" t="s">
        <v>7074</v>
      </c>
      <c r="E311">
        <v>0.9492560776132201</v>
      </c>
    </row>
    <row r="312" spans="1:5">
      <c r="A312" t="s">
        <v>1945</v>
      </c>
      <c r="B312" t="s">
        <v>951</v>
      </c>
      <c r="C312" t="s">
        <v>995</v>
      </c>
      <c r="D312" t="s">
        <v>7075</v>
      </c>
      <c r="E312">
        <v>1.680808362634411</v>
      </c>
    </row>
    <row r="313" spans="1:5">
      <c r="A313" t="s">
        <v>1946</v>
      </c>
      <c r="B313" t="s">
        <v>951</v>
      </c>
      <c r="C313" t="s">
        <v>995</v>
      </c>
      <c r="D313" t="s">
        <v>7076</v>
      </c>
      <c r="E313">
        <v>18.60123057325761</v>
      </c>
    </row>
    <row r="314" spans="1:5">
      <c r="A314" t="s">
        <v>1947</v>
      </c>
      <c r="B314" t="s">
        <v>951</v>
      </c>
      <c r="C314" t="s">
        <v>995</v>
      </c>
      <c r="D314" t="s">
        <v>7077</v>
      </c>
      <c r="E314">
        <v>48.72035078208805</v>
      </c>
    </row>
    <row r="315" spans="1:5">
      <c r="A315" t="s">
        <v>1948</v>
      </c>
      <c r="B315" t="s">
        <v>951</v>
      </c>
      <c r="C315" t="s">
        <v>995</v>
      </c>
      <c r="D315" t="s">
        <v>7078</v>
      </c>
      <c r="E315">
        <v>33.60851799314706</v>
      </c>
    </row>
    <row r="316" spans="1:5">
      <c r="A316" t="s">
        <v>1949</v>
      </c>
      <c r="B316" t="s">
        <v>951</v>
      </c>
      <c r="C316" t="s">
        <v>995</v>
      </c>
      <c r="D316" t="s">
        <v>7079</v>
      </c>
      <c r="E316">
        <v>17.92228895462172</v>
      </c>
    </row>
    <row r="317" spans="1:5">
      <c r="A317" t="s">
        <v>1950</v>
      </c>
      <c r="B317" t="s">
        <v>951</v>
      </c>
      <c r="C317" t="s">
        <v>995</v>
      </c>
      <c r="D317" t="s">
        <v>7080</v>
      </c>
      <c r="E317">
        <v>0.0739251089590636</v>
      </c>
    </row>
    <row r="318" spans="1:5">
      <c r="A318" t="s">
        <v>1951</v>
      </c>
      <c r="B318" t="s">
        <v>951</v>
      </c>
      <c r="C318" t="s">
        <v>995</v>
      </c>
      <c r="D318" t="s">
        <v>7081</v>
      </c>
      <c r="E318">
        <v>5.841789785759325</v>
      </c>
    </row>
    <row r="319" spans="1:5">
      <c r="A319" t="s">
        <v>1952</v>
      </c>
      <c r="B319" t="s">
        <v>951</v>
      </c>
      <c r="C319" t="s">
        <v>995</v>
      </c>
      <c r="D319" t="s">
        <v>7082</v>
      </c>
      <c r="E319">
        <v>0.1466018755790099</v>
      </c>
    </row>
    <row r="320" spans="1:5">
      <c r="A320" t="s">
        <v>1953</v>
      </c>
      <c r="B320" t="s">
        <v>951</v>
      </c>
      <c r="C320" t="s">
        <v>995</v>
      </c>
      <c r="D320" t="s">
        <v>7083</v>
      </c>
      <c r="E320">
        <v>0.08685656360050618</v>
      </c>
    </row>
    <row r="321" spans="1:5">
      <c r="A321" t="s">
        <v>1954</v>
      </c>
      <c r="B321" t="s">
        <v>951</v>
      </c>
      <c r="C321" t="s">
        <v>995</v>
      </c>
      <c r="D321" t="s">
        <v>7084</v>
      </c>
      <c r="E321">
        <v>38.42286905921963</v>
      </c>
    </row>
    <row r="322" spans="1:5">
      <c r="A322" t="s">
        <v>1955</v>
      </c>
      <c r="B322" t="s">
        <v>951</v>
      </c>
      <c r="C322" t="s">
        <v>995</v>
      </c>
      <c r="D322" t="s">
        <v>7085</v>
      </c>
      <c r="E322">
        <v>7.661664441398809</v>
      </c>
    </row>
    <row r="323" spans="1:5">
      <c r="A323" t="s">
        <v>1956</v>
      </c>
      <c r="B323" t="s">
        <v>951</v>
      </c>
      <c r="C323" t="s">
        <v>995</v>
      </c>
      <c r="D323" t="s">
        <v>7086</v>
      </c>
      <c r="E323">
        <v>6.578986412046744</v>
      </c>
    </row>
    <row r="324" spans="1:5">
      <c r="A324" t="s">
        <v>1957</v>
      </c>
      <c r="B324" t="s">
        <v>951</v>
      </c>
      <c r="C324" t="s">
        <v>995</v>
      </c>
      <c r="D324" t="s">
        <v>7087</v>
      </c>
      <c r="E324">
        <v>19.91548188854587</v>
      </c>
    </row>
    <row r="325" spans="1:5">
      <c r="A325" t="s">
        <v>1958</v>
      </c>
      <c r="B325" t="s">
        <v>951</v>
      </c>
      <c r="C325" t="s">
        <v>995</v>
      </c>
      <c r="D325" t="s">
        <v>7088</v>
      </c>
      <c r="E325">
        <v>0.1772134447327985</v>
      </c>
    </row>
    <row r="326" spans="1:5">
      <c r="A326" t="s">
        <v>1959</v>
      </c>
      <c r="B326" t="s">
        <v>951</v>
      </c>
      <c r="C326" t="s">
        <v>995</v>
      </c>
      <c r="D326" t="s">
        <v>6996</v>
      </c>
      <c r="E326">
        <v>17.86671899205283</v>
      </c>
    </row>
    <row r="327" spans="1:5">
      <c r="A327" t="s">
        <v>1960</v>
      </c>
      <c r="B327" t="s">
        <v>951</v>
      </c>
      <c r="C327" t="s">
        <v>995</v>
      </c>
      <c r="D327" t="s">
        <v>6997</v>
      </c>
      <c r="E327">
        <v>78.4612109589053</v>
      </c>
    </row>
    <row r="328" spans="1:5">
      <c r="A328" t="s">
        <v>1961</v>
      </c>
      <c r="B328" t="s">
        <v>951</v>
      </c>
      <c r="C328" t="s">
        <v>995</v>
      </c>
      <c r="D328" t="s">
        <v>7089</v>
      </c>
      <c r="E328">
        <v>4.845749721566011</v>
      </c>
    </row>
    <row r="329" spans="1:5">
      <c r="A329" t="s">
        <v>1962</v>
      </c>
      <c r="B329" t="s">
        <v>951</v>
      </c>
      <c r="C329" t="s">
        <v>995</v>
      </c>
      <c r="D329" t="s">
        <v>7090</v>
      </c>
      <c r="E329">
        <v>18.60123057325761</v>
      </c>
    </row>
    <row r="330" spans="1:5">
      <c r="A330" t="s">
        <v>1963</v>
      </c>
      <c r="B330" t="s">
        <v>951</v>
      </c>
      <c r="C330" t="s">
        <v>995</v>
      </c>
      <c r="D330" t="s">
        <v>7091</v>
      </c>
      <c r="E330">
        <v>0.2278552385378111</v>
      </c>
    </row>
    <row r="331" spans="1:5">
      <c r="A331" t="s">
        <v>1964</v>
      </c>
      <c r="B331" t="s">
        <v>951</v>
      </c>
      <c r="C331" t="s">
        <v>995</v>
      </c>
      <c r="D331" t="s">
        <v>7092</v>
      </c>
      <c r="E331">
        <v>8.367025260424914</v>
      </c>
    </row>
    <row r="332" spans="1:5">
      <c r="A332" t="s">
        <v>1965</v>
      </c>
      <c r="B332" t="s">
        <v>951</v>
      </c>
      <c r="C332" t="s">
        <v>995</v>
      </c>
      <c r="D332" t="s">
        <v>6998</v>
      </c>
      <c r="E332">
        <v>33.28493027862505</v>
      </c>
    </row>
    <row r="333" spans="1:5">
      <c r="A333" t="s">
        <v>1966</v>
      </c>
      <c r="B333" t="s">
        <v>951</v>
      </c>
      <c r="C333" t="s">
        <v>995</v>
      </c>
      <c r="D333" t="s">
        <v>7093</v>
      </c>
      <c r="E333">
        <v>2.019028920414797</v>
      </c>
    </row>
    <row r="334" spans="1:5">
      <c r="A334" t="s">
        <v>1967</v>
      </c>
      <c r="B334" t="s">
        <v>951</v>
      </c>
      <c r="C334" t="s">
        <v>995</v>
      </c>
      <c r="D334" t="s">
        <v>6999</v>
      </c>
      <c r="E334">
        <v>181.1127014877744</v>
      </c>
    </row>
    <row r="335" spans="1:5">
      <c r="A335" t="s">
        <v>1968</v>
      </c>
      <c r="B335" t="s">
        <v>951</v>
      </c>
      <c r="C335" t="s">
        <v>995</v>
      </c>
      <c r="D335" t="s">
        <v>7094</v>
      </c>
      <c r="E335">
        <v>805.9518253888385</v>
      </c>
    </row>
    <row r="336" spans="1:5">
      <c r="A336" t="s">
        <v>1969</v>
      </c>
      <c r="B336" t="s">
        <v>951</v>
      </c>
      <c r="C336" t="s">
        <v>995</v>
      </c>
      <c r="D336" t="s">
        <v>7095</v>
      </c>
      <c r="E336">
        <v>309.8857838601946</v>
      </c>
    </row>
    <row r="337" spans="1:5">
      <c r="A337" t="s">
        <v>1970</v>
      </c>
      <c r="B337" t="s">
        <v>951</v>
      </c>
      <c r="C337" t="s">
        <v>995</v>
      </c>
      <c r="D337" t="s">
        <v>7096</v>
      </c>
      <c r="E337">
        <v>90.30083905637414</v>
      </c>
    </row>
    <row r="338" spans="1:5">
      <c r="A338" t="s">
        <v>1971</v>
      </c>
      <c r="B338" t="s">
        <v>951</v>
      </c>
      <c r="C338" t="s">
        <v>995</v>
      </c>
      <c r="D338" t="s">
        <v>7097</v>
      </c>
      <c r="E338">
        <v>70.98966553686516</v>
      </c>
    </row>
    <row r="339" spans="1:5">
      <c r="A339" t="s">
        <v>1972</v>
      </c>
      <c r="B339" t="s">
        <v>951</v>
      </c>
      <c r="C339" t="s">
        <v>995</v>
      </c>
      <c r="D339" t="s">
        <v>7000</v>
      </c>
      <c r="E339">
        <v>5.025503541531431</v>
      </c>
    </row>
    <row r="340" spans="1:5">
      <c r="A340" t="s">
        <v>1973</v>
      </c>
      <c r="B340" t="s">
        <v>951</v>
      </c>
      <c r="C340" t="s">
        <v>995</v>
      </c>
      <c r="D340" t="s">
        <v>7098</v>
      </c>
      <c r="E340">
        <v>1.111120001328928</v>
      </c>
    </row>
    <row r="341" spans="1:5">
      <c r="A341" t="s">
        <v>1974</v>
      </c>
      <c r="B341" t="s">
        <v>951</v>
      </c>
      <c r="C341" t="s">
        <v>995</v>
      </c>
      <c r="D341" t="s">
        <v>7001</v>
      </c>
      <c r="E341">
        <v>84.87242716946722</v>
      </c>
    </row>
    <row r="342" spans="1:5">
      <c r="A342" t="s">
        <v>1975</v>
      </c>
      <c r="B342" t="s">
        <v>951</v>
      </c>
      <c r="C342" t="s">
        <v>995</v>
      </c>
      <c r="D342" t="s">
        <v>7099</v>
      </c>
      <c r="E342">
        <v>0.05027045942368272</v>
      </c>
    </row>
    <row r="343" spans="1:5">
      <c r="A343" t="s">
        <v>1976</v>
      </c>
      <c r="B343" t="s">
        <v>951</v>
      </c>
      <c r="C343" t="s">
        <v>995</v>
      </c>
      <c r="D343" t="s">
        <v>7100</v>
      </c>
      <c r="E343">
        <v>85.13348365036526</v>
      </c>
    </row>
    <row r="344" spans="1:5">
      <c r="A344" t="s">
        <v>1977</v>
      </c>
      <c r="B344" t="s">
        <v>951</v>
      </c>
      <c r="C344" t="s">
        <v>995</v>
      </c>
      <c r="D344" t="s">
        <v>7002</v>
      </c>
      <c r="E344">
        <v>69.16613147024074</v>
      </c>
    </row>
    <row r="345" spans="1:5">
      <c r="A345" t="s">
        <v>1978</v>
      </c>
      <c r="B345" t="s">
        <v>951</v>
      </c>
      <c r="C345" t="s">
        <v>995</v>
      </c>
      <c r="D345" t="s">
        <v>7101</v>
      </c>
      <c r="E345">
        <v>3.069581279697291</v>
      </c>
    </row>
    <row r="346" spans="1:5">
      <c r="A346" t="s">
        <v>1979</v>
      </c>
      <c r="B346" t="s">
        <v>951</v>
      </c>
      <c r="C346" t="s">
        <v>995</v>
      </c>
      <c r="D346" t="s">
        <v>7102</v>
      </c>
      <c r="E346">
        <v>4.225284642693985</v>
      </c>
    </row>
    <row r="347" spans="1:5">
      <c r="A347" t="s">
        <v>1980</v>
      </c>
      <c r="B347" t="s">
        <v>951</v>
      </c>
      <c r="C347" t="s">
        <v>995</v>
      </c>
      <c r="D347" t="s">
        <v>7103</v>
      </c>
      <c r="E347">
        <v>0.2109622836393986</v>
      </c>
    </row>
    <row r="348" spans="1:5">
      <c r="A348" t="s">
        <v>1981</v>
      </c>
      <c r="B348" t="s">
        <v>951</v>
      </c>
      <c r="C348" t="s">
        <v>995</v>
      </c>
      <c r="D348" t="s">
        <v>7104</v>
      </c>
      <c r="E348">
        <v>82.63624692544694</v>
      </c>
    </row>
    <row r="349" spans="1:5">
      <c r="A349" t="s">
        <v>1982</v>
      </c>
      <c r="B349" t="s">
        <v>951</v>
      </c>
      <c r="C349" t="s">
        <v>995</v>
      </c>
      <c r="D349" t="s">
        <v>7105</v>
      </c>
      <c r="E349">
        <v>39.00329488596253</v>
      </c>
    </row>
    <row r="350" spans="1:5">
      <c r="A350" t="s">
        <v>1983</v>
      </c>
      <c r="B350" t="s">
        <v>951</v>
      </c>
      <c r="C350" t="s">
        <v>995</v>
      </c>
      <c r="D350" t="s">
        <v>7106</v>
      </c>
      <c r="E350">
        <v>20.82548234780031</v>
      </c>
    </row>
    <row r="351" spans="1:5">
      <c r="A351" t="s">
        <v>1984</v>
      </c>
      <c r="B351" t="s">
        <v>951</v>
      </c>
      <c r="C351" t="s">
        <v>995</v>
      </c>
      <c r="D351" t="s">
        <v>7107</v>
      </c>
      <c r="E351">
        <v>0.6878427434644708</v>
      </c>
    </row>
    <row r="352" spans="1:5">
      <c r="A352" t="s">
        <v>1985</v>
      </c>
      <c r="B352" t="s">
        <v>951</v>
      </c>
      <c r="C352" t="s">
        <v>995</v>
      </c>
      <c r="D352" t="s">
        <v>7003</v>
      </c>
      <c r="E352">
        <v>32.82854860380486</v>
      </c>
    </row>
    <row r="353" spans="1:5">
      <c r="A353" t="s">
        <v>1986</v>
      </c>
      <c r="B353" t="s">
        <v>951</v>
      </c>
      <c r="C353" t="s">
        <v>995</v>
      </c>
      <c r="D353" t="s">
        <v>7004</v>
      </c>
      <c r="E353">
        <v>242.0865011483196</v>
      </c>
    </row>
    <row r="354" spans="1:5">
      <c r="A354" t="s">
        <v>1987</v>
      </c>
      <c r="B354" t="s">
        <v>951</v>
      </c>
      <c r="C354" t="s">
        <v>995</v>
      </c>
      <c r="D354" t="s">
        <v>7108</v>
      </c>
      <c r="E354">
        <v>413.4891801315066</v>
      </c>
    </row>
    <row r="355" spans="1:5">
      <c r="A355" t="s">
        <v>1988</v>
      </c>
      <c r="B355" t="s">
        <v>951</v>
      </c>
      <c r="C355" t="s">
        <v>995</v>
      </c>
      <c r="D355" t="s">
        <v>7109</v>
      </c>
      <c r="E355">
        <v>12.61037331932404</v>
      </c>
    </row>
    <row r="356" spans="1:5">
      <c r="A356" t="s">
        <v>1989</v>
      </c>
      <c r="B356" t="s">
        <v>951</v>
      </c>
      <c r="C356" t="s">
        <v>995</v>
      </c>
      <c r="D356" t="s">
        <v>7110</v>
      </c>
      <c r="E356">
        <v>0.01261039523507859</v>
      </c>
    </row>
    <row r="357" spans="1:5">
      <c r="A357" t="s">
        <v>1990</v>
      </c>
      <c r="B357" t="s">
        <v>951</v>
      </c>
      <c r="C357" t="s">
        <v>995</v>
      </c>
      <c r="D357" t="s">
        <v>7111</v>
      </c>
      <c r="E357">
        <v>0.5382243945636466</v>
      </c>
    </row>
    <row r="358" spans="1:5">
      <c r="A358" t="s">
        <v>1991</v>
      </c>
      <c r="B358" t="s">
        <v>951</v>
      </c>
      <c r="C358" t="s">
        <v>995</v>
      </c>
      <c r="D358" t="s">
        <v>7112</v>
      </c>
      <c r="E358">
        <v>8.281225036960578</v>
      </c>
    </row>
    <row r="359" spans="1:5">
      <c r="A359" t="s">
        <v>1992</v>
      </c>
      <c r="B359" t="s">
        <v>951</v>
      </c>
      <c r="C359" t="s">
        <v>995</v>
      </c>
      <c r="D359" t="s">
        <v>7113</v>
      </c>
      <c r="E359">
        <v>0.06594157803087582</v>
      </c>
    </row>
    <row r="360" spans="1:5">
      <c r="A360" t="s">
        <v>1993</v>
      </c>
      <c r="B360" t="s">
        <v>951</v>
      </c>
      <c r="C360" t="s">
        <v>995</v>
      </c>
      <c r="D360" t="s">
        <v>7114</v>
      </c>
      <c r="E360">
        <v>14.70993665306122</v>
      </c>
    </row>
    <row r="361" spans="1:5">
      <c r="A361" t="s">
        <v>1994</v>
      </c>
      <c r="B361" t="s">
        <v>951</v>
      </c>
      <c r="C361" t="s">
        <v>995</v>
      </c>
      <c r="D361" t="s">
        <v>7115</v>
      </c>
      <c r="E361">
        <v>2.714046976443609</v>
      </c>
    </row>
    <row r="362" spans="1:5">
      <c r="A362" t="s">
        <v>1995</v>
      </c>
      <c r="B362" t="s">
        <v>951</v>
      </c>
      <c r="C362" t="s">
        <v>995</v>
      </c>
      <c r="D362" t="s">
        <v>7116</v>
      </c>
      <c r="E362">
        <v>18.60123057325761</v>
      </c>
    </row>
    <row r="363" spans="1:5">
      <c r="A363" t="s">
        <v>1996</v>
      </c>
      <c r="B363" t="s">
        <v>951</v>
      </c>
      <c r="C363" t="s">
        <v>995</v>
      </c>
      <c r="D363" t="s">
        <v>7005</v>
      </c>
      <c r="E363">
        <v>9.497966623369839</v>
      </c>
    </row>
    <row r="364" spans="1:5">
      <c r="A364" t="s">
        <v>1997</v>
      </c>
      <c r="B364" t="s">
        <v>951</v>
      </c>
      <c r="C364" t="s">
        <v>995</v>
      </c>
      <c r="D364" t="s">
        <v>7117</v>
      </c>
      <c r="E364">
        <v>33.14900361702308</v>
      </c>
    </row>
    <row r="365" spans="1:5">
      <c r="A365" t="s">
        <v>1998</v>
      </c>
      <c r="B365" t="s">
        <v>951</v>
      </c>
      <c r="C365" t="s">
        <v>995</v>
      </c>
      <c r="D365" t="s">
        <v>7118</v>
      </c>
      <c r="E365">
        <v>88.47851938669818</v>
      </c>
    </row>
    <row r="366" spans="1:5">
      <c r="A366" t="s">
        <v>1999</v>
      </c>
      <c r="B366" t="s">
        <v>951</v>
      </c>
      <c r="C366" t="s">
        <v>995</v>
      </c>
      <c r="D366" t="s">
        <v>7119</v>
      </c>
      <c r="E366">
        <v>106.6976012439201</v>
      </c>
    </row>
    <row r="367" spans="1:5">
      <c r="A367" t="s">
        <v>2000</v>
      </c>
      <c r="B367" t="s">
        <v>951</v>
      </c>
      <c r="C367" t="s">
        <v>995</v>
      </c>
      <c r="D367" t="s">
        <v>7120</v>
      </c>
      <c r="E367">
        <v>130.9450260695794</v>
      </c>
    </row>
    <row r="368" spans="1:5">
      <c r="A368" t="s">
        <v>2001</v>
      </c>
      <c r="B368" t="s">
        <v>951</v>
      </c>
      <c r="C368" t="s">
        <v>995</v>
      </c>
      <c r="D368" t="s">
        <v>7006</v>
      </c>
      <c r="E368">
        <v>6.801477804557038</v>
      </c>
    </row>
    <row r="369" spans="1:5">
      <c r="A369" t="s">
        <v>2002</v>
      </c>
      <c r="B369" t="s">
        <v>951</v>
      </c>
      <c r="C369" t="s">
        <v>995</v>
      </c>
      <c r="D369" t="s">
        <v>7121</v>
      </c>
      <c r="E369">
        <v>41.18436314206749</v>
      </c>
    </row>
    <row r="370" spans="1:5">
      <c r="A370" t="s">
        <v>2003</v>
      </c>
      <c r="B370" t="s">
        <v>951</v>
      </c>
      <c r="C370" t="s">
        <v>995</v>
      </c>
      <c r="D370" t="s">
        <v>7122</v>
      </c>
      <c r="E370">
        <v>221.6837246495377</v>
      </c>
    </row>
    <row r="371" spans="1:5">
      <c r="A371" t="s">
        <v>2004</v>
      </c>
      <c r="B371" t="s">
        <v>951</v>
      </c>
      <c r="C371" t="s">
        <v>995</v>
      </c>
      <c r="D371" t="s">
        <v>7123</v>
      </c>
      <c r="E371">
        <v>9.821471025302548</v>
      </c>
    </row>
    <row r="372" spans="1:5">
      <c r="A372" t="s">
        <v>2005</v>
      </c>
      <c r="B372" t="s">
        <v>951</v>
      </c>
      <c r="C372" t="s">
        <v>995</v>
      </c>
      <c r="D372" t="s">
        <v>7124</v>
      </c>
      <c r="E372">
        <v>0.1197788557229547</v>
      </c>
    </row>
    <row r="373" spans="1:5">
      <c r="A373" t="s">
        <v>2006</v>
      </c>
      <c r="B373" t="s">
        <v>951</v>
      </c>
      <c r="C373" t="s">
        <v>995</v>
      </c>
      <c r="D373" t="s">
        <v>7125</v>
      </c>
      <c r="E373">
        <v>7.017539943408859</v>
      </c>
    </row>
    <row r="374" spans="1:5">
      <c r="A374" t="s">
        <v>2007</v>
      </c>
      <c r="B374" t="s">
        <v>951</v>
      </c>
      <c r="C374" t="s">
        <v>995</v>
      </c>
      <c r="D374" t="s">
        <v>7126</v>
      </c>
      <c r="E374">
        <v>0.08326766574266713</v>
      </c>
    </row>
    <row r="375" spans="1:5">
      <c r="A375" t="s">
        <v>2008</v>
      </c>
      <c r="B375" t="s">
        <v>951</v>
      </c>
      <c r="C375" t="s">
        <v>995</v>
      </c>
      <c r="D375" t="s">
        <v>998</v>
      </c>
      <c r="E375">
        <v>309.8852509479875</v>
      </c>
    </row>
    <row r="376" spans="1:5">
      <c r="A376" t="s">
        <v>2009</v>
      </c>
      <c r="B376" t="s">
        <v>951</v>
      </c>
      <c r="C376" t="s">
        <v>995</v>
      </c>
      <c r="D376" t="s">
        <v>7127</v>
      </c>
      <c r="E376">
        <v>7.725295998468289</v>
      </c>
    </row>
    <row r="377" spans="1:5">
      <c r="A377" t="s">
        <v>2010</v>
      </c>
      <c r="B377" t="s">
        <v>951</v>
      </c>
      <c r="C377" t="s">
        <v>995</v>
      </c>
      <c r="D377" t="s">
        <v>7128</v>
      </c>
      <c r="E377">
        <v>0.02572211126159027</v>
      </c>
    </row>
    <row r="378" spans="1:5">
      <c r="A378" t="s">
        <v>2011</v>
      </c>
      <c r="B378" t="s">
        <v>951</v>
      </c>
      <c r="C378" t="s">
        <v>995</v>
      </c>
      <c r="D378" t="s">
        <v>7129</v>
      </c>
      <c r="E378">
        <v>0.5984736270387196</v>
      </c>
    </row>
    <row r="379" spans="1:5">
      <c r="A379" t="s">
        <v>2012</v>
      </c>
      <c r="B379" t="s">
        <v>951</v>
      </c>
      <c r="C379" t="s">
        <v>995</v>
      </c>
      <c r="D379" t="s">
        <v>7130</v>
      </c>
      <c r="E379">
        <v>0.01186325339712511</v>
      </c>
    </row>
    <row r="380" spans="1:5">
      <c r="A380" t="s">
        <v>2013</v>
      </c>
      <c r="B380" t="s">
        <v>951</v>
      </c>
      <c r="C380" t="s">
        <v>995</v>
      </c>
      <c r="D380" t="s">
        <v>7131</v>
      </c>
      <c r="E380">
        <v>2.631010482621071</v>
      </c>
    </row>
    <row r="381" spans="1:5">
      <c r="A381" t="s">
        <v>2014</v>
      </c>
      <c r="B381" t="s">
        <v>951</v>
      </c>
      <c r="C381" t="s">
        <v>995</v>
      </c>
      <c r="D381" t="s">
        <v>7132</v>
      </c>
      <c r="E381">
        <v>115.4052282977227</v>
      </c>
    </row>
    <row r="382" spans="1:5">
      <c r="A382" t="s">
        <v>2015</v>
      </c>
      <c r="B382" t="s">
        <v>951</v>
      </c>
      <c r="C382" t="s">
        <v>995</v>
      </c>
      <c r="D382" t="s">
        <v>7133</v>
      </c>
      <c r="E382">
        <v>0.5494162696640176</v>
      </c>
    </row>
    <row r="383" spans="1:5">
      <c r="A383" t="s">
        <v>2016</v>
      </c>
      <c r="B383" t="s">
        <v>951</v>
      </c>
      <c r="C383" t="s">
        <v>995</v>
      </c>
      <c r="D383" t="s">
        <v>7134</v>
      </c>
      <c r="E383">
        <v>114.7725710223925</v>
      </c>
    </row>
    <row r="384" spans="1:5">
      <c r="A384" t="s">
        <v>2017</v>
      </c>
      <c r="B384" t="s">
        <v>951</v>
      </c>
      <c r="C384" t="s">
        <v>995</v>
      </c>
      <c r="D384" t="s">
        <v>7135</v>
      </c>
      <c r="E384">
        <v>173.1205928863628</v>
      </c>
    </row>
    <row r="385" spans="1:5">
      <c r="A385" t="s">
        <v>2018</v>
      </c>
      <c r="B385" t="s">
        <v>951</v>
      </c>
      <c r="C385" t="s">
        <v>995</v>
      </c>
      <c r="D385" t="s">
        <v>7136</v>
      </c>
      <c r="E385">
        <v>423.376652303239</v>
      </c>
    </row>
    <row r="386" spans="1:5">
      <c r="A386" t="s">
        <v>2019</v>
      </c>
      <c r="B386" t="s">
        <v>951</v>
      </c>
      <c r="C386" t="s">
        <v>995</v>
      </c>
      <c r="D386" t="s">
        <v>7137</v>
      </c>
      <c r="E386">
        <v>0.5494162696640176</v>
      </c>
    </row>
    <row r="387" spans="1:5">
      <c r="A387" t="s">
        <v>2020</v>
      </c>
      <c r="B387" t="s">
        <v>951</v>
      </c>
      <c r="C387" t="s">
        <v>995</v>
      </c>
      <c r="D387" t="s">
        <v>7138</v>
      </c>
      <c r="E387">
        <v>3.020090570844367</v>
      </c>
    </row>
    <row r="388" spans="1:5">
      <c r="A388" t="s">
        <v>2021</v>
      </c>
      <c r="B388" t="s">
        <v>951</v>
      </c>
      <c r="C388" t="s">
        <v>995</v>
      </c>
      <c r="D388" t="s">
        <v>7139</v>
      </c>
      <c r="E388">
        <v>1.289532780898515</v>
      </c>
    </row>
    <row r="389" spans="1:5">
      <c r="A389" t="s">
        <v>2022</v>
      </c>
      <c r="B389" t="s">
        <v>951</v>
      </c>
      <c r="C389" t="s">
        <v>995</v>
      </c>
      <c r="D389" t="s">
        <v>7007</v>
      </c>
      <c r="E389">
        <v>18.60110384384038</v>
      </c>
    </row>
    <row r="390" spans="1:5">
      <c r="A390" t="s">
        <v>2023</v>
      </c>
      <c r="B390" t="s">
        <v>951</v>
      </c>
      <c r="C390" t="s">
        <v>995</v>
      </c>
      <c r="D390" t="s">
        <v>7140</v>
      </c>
      <c r="E390">
        <v>16.39303050646515</v>
      </c>
    </row>
    <row r="391" spans="1:5">
      <c r="A391" t="s">
        <v>2024</v>
      </c>
      <c r="B391" t="s">
        <v>951</v>
      </c>
      <c r="C391" t="s">
        <v>995</v>
      </c>
      <c r="D391" t="s">
        <v>7141</v>
      </c>
      <c r="E391">
        <v>11.98917654416681</v>
      </c>
    </row>
    <row r="392" spans="1:5">
      <c r="A392" t="s">
        <v>2025</v>
      </c>
      <c r="B392" t="s">
        <v>951</v>
      </c>
      <c r="C392" t="s">
        <v>995</v>
      </c>
      <c r="D392" t="s">
        <v>7142</v>
      </c>
      <c r="E392">
        <v>11.98917654416681</v>
      </c>
    </row>
    <row r="393" spans="1:5">
      <c r="A393" t="s">
        <v>1861</v>
      </c>
      <c r="B393" t="s">
        <v>951</v>
      </c>
      <c r="C393" t="s">
        <v>995</v>
      </c>
      <c r="D393" t="s">
        <v>996</v>
      </c>
      <c r="E393">
        <v>360.393448</v>
      </c>
    </row>
    <row r="394" spans="1:5">
      <c r="A394" t="s">
        <v>2026</v>
      </c>
      <c r="B394" t="s">
        <v>952</v>
      </c>
      <c r="C394" t="s">
        <v>995</v>
      </c>
      <c r="D394" t="s">
        <v>996</v>
      </c>
      <c r="E394">
        <v>361.153529</v>
      </c>
    </row>
    <row r="395" spans="1:5">
      <c r="A395" t="s">
        <v>2027</v>
      </c>
      <c r="B395" t="s">
        <v>952</v>
      </c>
      <c r="C395" t="s">
        <v>995</v>
      </c>
      <c r="D395" t="s">
        <v>7008</v>
      </c>
      <c r="E395">
        <v>84.62819470363667</v>
      </c>
    </row>
    <row r="396" spans="1:5">
      <c r="A396" t="s">
        <v>2028</v>
      </c>
      <c r="B396" t="s">
        <v>952</v>
      </c>
      <c r="C396" t="s">
        <v>995</v>
      </c>
      <c r="D396" t="s">
        <v>7009</v>
      </c>
      <c r="E396">
        <v>4.938198181965034</v>
      </c>
    </row>
    <row r="397" spans="1:5">
      <c r="A397" t="s">
        <v>2029</v>
      </c>
      <c r="B397" t="s">
        <v>952</v>
      </c>
      <c r="C397" t="s">
        <v>995</v>
      </c>
      <c r="D397" t="s">
        <v>7010</v>
      </c>
      <c r="E397">
        <v>3.781273480259108</v>
      </c>
    </row>
    <row r="398" spans="1:5">
      <c r="A398" t="s">
        <v>2030</v>
      </c>
      <c r="B398" t="s">
        <v>952</v>
      </c>
      <c r="C398" t="s">
        <v>995</v>
      </c>
      <c r="D398" t="s">
        <v>7011</v>
      </c>
      <c r="E398">
        <v>0.8430490682443829</v>
      </c>
    </row>
    <row r="399" spans="1:5">
      <c r="A399" t="s">
        <v>2031</v>
      </c>
      <c r="B399" t="s">
        <v>952</v>
      </c>
      <c r="C399" t="s">
        <v>995</v>
      </c>
      <c r="D399" t="s">
        <v>7012</v>
      </c>
      <c r="E399">
        <v>173.6296678592823</v>
      </c>
    </row>
    <row r="400" spans="1:5">
      <c r="A400" t="s">
        <v>2032</v>
      </c>
      <c r="B400" t="s">
        <v>952</v>
      </c>
      <c r="C400" t="s">
        <v>995</v>
      </c>
      <c r="D400" t="s">
        <v>7013</v>
      </c>
      <c r="E400">
        <v>0.3337943964136937</v>
      </c>
    </row>
    <row r="401" spans="1:5">
      <c r="A401" t="s">
        <v>2033</v>
      </c>
      <c r="B401" t="s">
        <v>952</v>
      </c>
      <c r="C401" t="s">
        <v>995</v>
      </c>
      <c r="D401" t="s">
        <v>7014</v>
      </c>
      <c r="E401">
        <v>0.2227380601911473</v>
      </c>
    </row>
    <row r="402" spans="1:5">
      <c r="A402" t="s">
        <v>2034</v>
      </c>
      <c r="B402" t="s">
        <v>952</v>
      </c>
      <c r="C402" t="s">
        <v>995</v>
      </c>
      <c r="D402" t="s">
        <v>6981</v>
      </c>
      <c r="E402">
        <v>221.9035216048908</v>
      </c>
    </row>
    <row r="403" spans="1:5">
      <c r="A403" t="s">
        <v>2035</v>
      </c>
      <c r="B403" t="s">
        <v>952</v>
      </c>
      <c r="C403" t="s">
        <v>995</v>
      </c>
      <c r="D403" t="s">
        <v>7015</v>
      </c>
      <c r="E403">
        <v>173.6296678592823</v>
      </c>
    </row>
    <row r="404" spans="1:5">
      <c r="A404" t="s">
        <v>2036</v>
      </c>
      <c r="B404" t="s">
        <v>952</v>
      </c>
      <c r="C404" t="s">
        <v>995</v>
      </c>
      <c r="D404" t="s">
        <v>7016</v>
      </c>
      <c r="E404">
        <v>182.6122519665451</v>
      </c>
    </row>
    <row r="405" spans="1:5">
      <c r="A405" t="s">
        <v>2037</v>
      </c>
      <c r="B405" t="s">
        <v>952</v>
      </c>
      <c r="C405" t="s">
        <v>995</v>
      </c>
      <c r="D405" t="s">
        <v>7017</v>
      </c>
      <c r="E405">
        <v>184.6548672430631</v>
      </c>
    </row>
    <row r="406" spans="1:5">
      <c r="A406" t="s">
        <v>2038</v>
      </c>
      <c r="B406" t="s">
        <v>952</v>
      </c>
      <c r="C406" t="s">
        <v>995</v>
      </c>
      <c r="D406" t="s">
        <v>7018</v>
      </c>
      <c r="E406">
        <v>155.3985478779043</v>
      </c>
    </row>
    <row r="407" spans="1:5">
      <c r="A407" t="s">
        <v>2039</v>
      </c>
      <c r="B407" t="s">
        <v>952</v>
      </c>
      <c r="C407" t="s">
        <v>995</v>
      </c>
      <c r="D407" t="s">
        <v>7019</v>
      </c>
      <c r="E407">
        <v>2.528929253484045</v>
      </c>
    </row>
    <row r="408" spans="1:5">
      <c r="A408" t="s">
        <v>2040</v>
      </c>
      <c r="B408" t="s">
        <v>952</v>
      </c>
      <c r="C408" t="s">
        <v>995</v>
      </c>
      <c r="D408" t="s">
        <v>997</v>
      </c>
      <c r="E408">
        <v>184.6548672430631</v>
      </c>
    </row>
    <row r="409" spans="1:5">
      <c r="A409" t="s">
        <v>2041</v>
      </c>
      <c r="B409" t="s">
        <v>952</v>
      </c>
      <c r="C409" t="s">
        <v>995</v>
      </c>
      <c r="D409" t="s">
        <v>7020</v>
      </c>
      <c r="E409">
        <v>826.5877103641161</v>
      </c>
    </row>
    <row r="410" spans="1:5">
      <c r="A410" t="s">
        <v>2042</v>
      </c>
      <c r="B410" t="s">
        <v>952</v>
      </c>
      <c r="C410" t="s">
        <v>995</v>
      </c>
      <c r="D410" t="s">
        <v>7021</v>
      </c>
      <c r="E410">
        <v>0.1042069514702662</v>
      </c>
    </row>
    <row r="411" spans="1:5">
      <c r="A411" t="s">
        <v>2043</v>
      </c>
      <c r="B411" t="s">
        <v>952</v>
      </c>
      <c r="C411" t="s">
        <v>995</v>
      </c>
      <c r="D411" t="s">
        <v>7022</v>
      </c>
      <c r="E411">
        <v>310.7969620248807</v>
      </c>
    </row>
    <row r="412" spans="1:5">
      <c r="A412" t="s">
        <v>2044</v>
      </c>
      <c r="B412" t="s">
        <v>952</v>
      </c>
      <c r="C412" t="s">
        <v>995</v>
      </c>
      <c r="D412" t="s">
        <v>7023</v>
      </c>
      <c r="E412">
        <v>242.7345216667764</v>
      </c>
    </row>
    <row r="413" spans="1:5">
      <c r="A413" t="s">
        <v>2045</v>
      </c>
      <c r="B413" t="s">
        <v>952</v>
      </c>
      <c r="C413" t="s">
        <v>995</v>
      </c>
      <c r="D413" t="s">
        <v>7024</v>
      </c>
      <c r="E413">
        <v>44.9037874728174</v>
      </c>
    </row>
    <row r="414" spans="1:5">
      <c r="A414" t="s">
        <v>2046</v>
      </c>
      <c r="B414" t="s">
        <v>952</v>
      </c>
      <c r="C414" t="s">
        <v>995</v>
      </c>
      <c r="D414" t="s">
        <v>6982</v>
      </c>
      <c r="E414">
        <v>61.53993845895889</v>
      </c>
    </row>
    <row r="415" spans="1:5">
      <c r="A415" t="s">
        <v>2047</v>
      </c>
      <c r="B415" t="s">
        <v>952</v>
      </c>
      <c r="C415" t="s">
        <v>995</v>
      </c>
      <c r="D415" t="s">
        <v>7025</v>
      </c>
      <c r="E415">
        <v>310.7969620248807</v>
      </c>
    </row>
    <row r="416" spans="1:5">
      <c r="A416" t="s">
        <v>2048</v>
      </c>
      <c r="B416" t="s">
        <v>952</v>
      </c>
      <c r="C416" t="s">
        <v>995</v>
      </c>
      <c r="D416" t="s">
        <v>7026</v>
      </c>
      <c r="E416">
        <v>3.237315215445279</v>
      </c>
    </row>
    <row r="417" spans="1:5">
      <c r="A417" t="s">
        <v>2049</v>
      </c>
      <c r="B417" t="s">
        <v>952</v>
      </c>
      <c r="C417" t="s">
        <v>995</v>
      </c>
      <c r="D417" t="s">
        <v>7027</v>
      </c>
      <c r="E417">
        <v>21.89031751893814</v>
      </c>
    </row>
    <row r="418" spans="1:5">
      <c r="A418" t="s">
        <v>2050</v>
      </c>
      <c r="B418" t="s">
        <v>952</v>
      </c>
      <c r="C418" t="s">
        <v>995</v>
      </c>
      <c r="D418" t="s">
        <v>7028</v>
      </c>
      <c r="E418">
        <v>111.5752356990306</v>
      </c>
    </row>
    <row r="419" spans="1:5">
      <c r="A419" t="s">
        <v>2051</v>
      </c>
      <c r="B419" t="s">
        <v>952</v>
      </c>
      <c r="C419" t="s">
        <v>995</v>
      </c>
      <c r="D419" t="s">
        <v>7029</v>
      </c>
      <c r="E419">
        <v>155.3985478779043</v>
      </c>
    </row>
    <row r="420" spans="1:5">
      <c r="A420" t="s">
        <v>2052</v>
      </c>
      <c r="B420" t="s">
        <v>952</v>
      </c>
      <c r="C420" t="s">
        <v>995</v>
      </c>
      <c r="D420" t="s">
        <v>6983</v>
      </c>
      <c r="E420">
        <v>225.997095826463</v>
      </c>
    </row>
    <row r="421" spans="1:5">
      <c r="A421" t="s">
        <v>2053</v>
      </c>
      <c r="B421" t="s">
        <v>952</v>
      </c>
      <c r="C421" t="s">
        <v>995</v>
      </c>
      <c r="D421" t="s">
        <v>7030</v>
      </c>
      <c r="E421">
        <v>0.1356783638385036</v>
      </c>
    </row>
    <row r="422" spans="1:5">
      <c r="A422" t="s">
        <v>2054</v>
      </c>
      <c r="B422" t="s">
        <v>952</v>
      </c>
      <c r="C422" t="s">
        <v>995</v>
      </c>
      <c r="D422" t="s">
        <v>6984</v>
      </c>
      <c r="E422">
        <v>394.8850006396385</v>
      </c>
    </row>
    <row r="423" spans="1:5">
      <c r="A423" t="s">
        <v>2055</v>
      </c>
      <c r="B423" t="s">
        <v>952</v>
      </c>
      <c r="C423" t="s">
        <v>995</v>
      </c>
      <c r="D423" t="s">
        <v>7031</v>
      </c>
      <c r="E423">
        <v>13636.15363413253</v>
      </c>
    </row>
    <row r="424" spans="1:5">
      <c r="A424" t="s">
        <v>2056</v>
      </c>
      <c r="B424" t="s">
        <v>952</v>
      </c>
      <c r="C424" t="s">
        <v>995</v>
      </c>
      <c r="D424" t="s">
        <v>7032</v>
      </c>
      <c r="E424">
        <v>0.3449718607918043</v>
      </c>
    </row>
    <row r="425" spans="1:5">
      <c r="A425" t="s">
        <v>2057</v>
      </c>
      <c r="B425" t="s">
        <v>952</v>
      </c>
      <c r="C425" t="s">
        <v>995</v>
      </c>
      <c r="D425" t="s">
        <v>7033</v>
      </c>
      <c r="E425">
        <v>45.60910180309209</v>
      </c>
    </row>
    <row r="426" spans="1:5">
      <c r="A426" t="s">
        <v>2058</v>
      </c>
      <c r="B426" t="s">
        <v>952</v>
      </c>
      <c r="C426" t="s">
        <v>995</v>
      </c>
      <c r="D426" t="s">
        <v>6985</v>
      </c>
      <c r="E426">
        <v>45.58900878231515</v>
      </c>
    </row>
    <row r="427" spans="1:5">
      <c r="A427" t="s">
        <v>2059</v>
      </c>
      <c r="B427" t="s">
        <v>952</v>
      </c>
      <c r="C427" t="s">
        <v>995</v>
      </c>
      <c r="D427" t="s">
        <v>7034</v>
      </c>
      <c r="E427">
        <v>0.08200236574751887</v>
      </c>
    </row>
    <row r="428" spans="1:5">
      <c r="A428" t="s">
        <v>2060</v>
      </c>
      <c r="B428" t="s">
        <v>952</v>
      </c>
      <c r="C428" t="s">
        <v>995</v>
      </c>
      <c r="D428" t="s">
        <v>7035</v>
      </c>
      <c r="E428">
        <v>0.6823096075633421</v>
      </c>
    </row>
    <row r="429" spans="1:5">
      <c r="A429" t="s">
        <v>2061</v>
      </c>
      <c r="B429" t="s">
        <v>952</v>
      </c>
      <c r="C429" t="s">
        <v>995</v>
      </c>
      <c r="D429" t="s">
        <v>7036</v>
      </c>
      <c r="E429">
        <v>12.94987759679441</v>
      </c>
    </row>
    <row r="430" spans="1:5">
      <c r="A430" t="s">
        <v>2062</v>
      </c>
      <c r="B430" t="s">
        <v>952</v>
      </c>
      <c r="C430" t="s">
        <v>995</v>
      </c>
      <c r="D430" t="s">
        <v>7037</v>
      </c>
      <c r="E430">
        <v>3.275323348297284</v>
      </c>
    </row>
    <row r="431" spans="1:5">
      <c r="A431" t="s">
        <v>2063</v>
      </c>
      <c r="B431" t="s">
        <v>952</v>
      </c>
      <c r="C431" t="s">
        <v>995</v>
      </c>
      <c r="D431" t="s">
        <v>6986</v>
      </c>
      <c r="E431">
        <v>14.84808597440851</v>
      </c>
    </row>
    <row r="432" spans="1:5">
      <c r="A432" t="s">
        <v>2064</v>
      </c>
      <c r="B432" t="s">
        <v>952</v>
      </c>
      <c r="C432" t="s">
        <v>995</v>
      </c>
      <c r="D432" t="s">
        <v>7038</v>
      </c>
      <c r="E432">
        <v>1.748791993120185</v>
      </c>
    </row>
    <row r="433" spans="1:5">
      <c r="A433" t="s">
        <v>2065</v>
      </c>
      <c r="B433" t="s">
        <v>952</v>
      </c>
      <c r="C433" t="s">
        <v>995</v>
      </c>
      <c r="D433" t="s">
        <v>6987</v>
      </c>
      <c r="E433">
        <v>48.408555503623</v>
      </c>
    </row>
    <row r="434" spans="1:5">
      <c r="A434" t="s">
        <v>2066</v>
      </c>
      <c r="B434" t="s">
        <v>952</v>
      </c>
      <c r="C434" t="s">
        <v>995</v>
      </c>
      <c r="D434" t="s">
        <v>7039</v>
      </c>
      <c r="E434">
        <v>5.20755240997374</v>
      </c>
    </row>
    <row r="435" spans="1:5">
      <c r="A435" t="s">
        <v>2067</v>
      </c>
      <c r="B435" t="s">
        <v>952</v>
      </c>
      <c r="C435" t="s">
        <v>995</v>
      </c>
      <c r="D435" t="s">
        <v>7040</v>
      </c>
      <c r="E435">
        <v>2.343806466752929</v>
      </c>
    </row>
    <row r="436" spans="1:5">
      <c r="A436" t="s">
        <v>2068</v>
      </c>
      <c r="B436" t="s">
        <v>952</v>
      </c>
      <c r="C436" t="s">
        <v>995</v>
      </c>
      <c r="D436" t="s">
        <v>7041</v>
      </c>
      <c r="E436">
        <v>5.847913583918772</v>
      </c>
    </row>
    <row r="437" spans="1:5">
      <c r="A437" t="s">
        <v>2069</v>
      </c>
      <c r="B437" t="s">
        <v>952</v>
      </c>
      <c r="C437" t="s">
        <v>995</v>
      </c>
      <c r="D437" t="s">
        <v>7042</v>
      </c>
      <c r="E437">
        <v>20.71980460064093</v>
      </c>
    </row>
    <row r="438" spans="1:5">
      <c r="A438" t="s">
        <v>2070</v>
      </c>
      <c r="B438" t="s">
        <v>952</v>
      </c>
      <c r="C438" t="s">
        <v>995</v>
      </c>
      <c r="D438" t="s">
        <v>7043</v>
      </c>
      <c r="E438">
        <v>1.966354508556648</v>
      </c>
    </row>
    <row r="439" spans="1:5">
      <c r="A439" t="s">
        <v>2071</v>
      </c>
      <c r="B439" t="s">
        <v>952</v>
      </c>
      <c r="C439" t="s">
        <v>995</v>
      </c>
      <c r="D439" t="s">
        <v>7044</v>
      </c>
      <c r="E439">
        <v>141.3386749163971</v>
      </c>
    </row>
    <row r="440" spans="1:5">
      <c r="A440" t="s">
        <v>2072</v>
      </c>
      <c r="B440" t="s">
        <v>952</v>
      </c>
      <c r="C440" t="s">
        <v>995</v>
      </c>
      <c r="D440" t="s">
        <v>7045</v>
      </c>
      <c r="E440">
        <v>414.0847389222092</v>
      </c>
    </row>
    <row r="441" spans="1:5">
      <c r="A441" t="s">
        <v>2073</v>
      </c>
      <c r="B441" t="s">
        <v>952</v>
      </c>
      <c r="C441" t="s">
        <v>995</v>
      </c>
      <c r="D441" t="s">
        <v>7046</v>
      </c>
      <c r="E441">
        <v>48.408555503623</v>
      </c>
    </row>
    <row r="442" spans="1:5">
      <c r="A442" t="s">
        <v>2074</v>
      </c>
      <c r="B442" t="s">
        <v>952</v>
      </c>
      <c r="C442" t="s">
        <v>995</v>
      </c>
      <c r="D442" t="s">
        <v>6988</v>
      </c>
      <c r="E442">
        <v>414.0842641491262</v>
      </c>
    </row>
    <row r="443" spans="1:5">
      <c r="A443" t="s">
        <v>2075</v>
      </c>
      <c r="B443" t="s">
        <v>952</v>
      </c>
      <c r="C443" t="s">
        <v>995</v>
      </c>
      <c r="D443" t="s">
        <v>7047</v>
      </c>
      <c r="E443">
        <v>116.1558930970978</v>
      </c>
    </row>
    <row r="444" spans="1:5">
      <c r="A444" t="s">
        <v>2076</v>
      </c>
      <c r="B444" t="s">
        <v>952</v>
      </c>
      <c r="C444" t="s">
        <v>995</v>
      </c>
      <c r="D444" t="s">
        <v>7048</v>
      </c>
      <c r="E444">
        <v>414.0847389222092</v>
      </c>
    </row>
    <row r="445" spans="1:5">
      <c r="A445" t="s">
        <v>2077</v>
      </c>
      <c r="B445" t="s">
        <v>952</v>
      </c>
      <c r="C445" t="s">
        <v>995</v>
      </c>
      <c r="D445" t="s">
        <v>7049</v>
      </c>
      <c r="E445">
        <v>27.17229352982964</v>
      </c>
    </row>
    <row r="446" spans="1:5">
      <c r="A446" t="s">
        <v>2078</v>
      </c>
      <c r="B446" t="s">
        <v>952</v>
      </c>
      <c r="C446" t="s">
        <v>995</v>
      </c>
      <c r="D446" t="s">
        <v>7050</v>
      </c>
      <c r="E446">
        <v>414.0847389222092</v>
      </c>
    </row>
    <row r="447" spans="1:5">
      <c r="A447" t="s">
        <v>2079</v>
      </c>
      <c r="B447" t="s">
        <v>952</v>
      </c>
      <c r="C447" t="s">
        <v>995</v>
      </c>
      <c r="D447" t="s">
        <v>7051</v>
      </c>
      <c r="E447">
        <v>4.187740879713603</v>
      </c>
    </row>
    <row r="448" spans="1:5">
      <c r="A448" t="s">
        <v>2080</v>
      </c>
      <c r="B448" t="s">
        <v>952</v>
      </c>
      <c r="C448" t="s">
        <v>995</v>
      </c>
      <c r="D448" t="s">
        <v>7052</v>
      </c>
      <c r="E448">
        <v>0.03543664647231608</v>
      </c>
    </row>
    <row r="449" spans="1:5">
      <c r="A449" t="s">
        <v>2081</v>
      </c>
      <c r="B449" t="s">
        <v>952</v>
      </c>
      <c r="C449" t="s">
        <v>995</v>
      </c>
      <c r="D449" t="s">
        <v>7053</v>
      </c>
      <c r="E449">
        <v>40.69842720681586</v>
      </c>
    </row>
    <row r="450" spans="1:5">
      <c r="A450" t="s">
        <v>2082</v>
      </c>
      <c r="B450" t="s">
        <v>952</v>
      </c>
      <c r="C450" t="s">
        <v>995</v>
      </c>
      <c r="D450" t="s">
        <v>7054</v>
      </c>
      <c r="E450">
        <v>1.485374326363209</v>
      </c>
    </row>
    <row r="451" spans="1:5">
      <c r="A451" t="s">
        <v>2083</v>
      </c>
      <c r="B451" t="s">
        <v>952</v>
      </c>
      <c r="C451" t="s">
        <v>995</v>
      </c>
      <c r="D451" t="s">
        <v>6989</v>
      </c>
      <c r="E451">
        <v>39.69698564162573</v>
      </c>
    </row>
    <row r="452" spans="1:5">
      <c r="A452" t="s">
        <v>2084</v>
      </c>
      <c r="B452" t="s">
        <v>952</v>
      </c>
      <c r="C452" t="s">
        <v>995</v>
      </c>
      <c r="D452" t="s">
        <v>7055</v>
      </c>
      <c r="E452">
        <v>11.65588801523387</v>
      </c>
    </row>
    <row r="453" spans="1:5">
      <c r="A453" t="s">
        <v>2085</v>
      </c>
      <c r="B453" t="s">
        <v>952</v>
      </c>
      <c r="C453" t="s">
        <v>995</v>
      </c>
      <c r="D453" t="s">
        <v>7056</v>
      </c>
      <c r="E453">
        <v>47.93331063773309</v>
      </c>
    </row>
    <row r="454" spans="1:5">
      <c r="A454" t="s">
        <v>2086</v>
      </c>
      <c r="B454" t="s">
        <v>952</v>
      </c>
      <c r="C454" t="s">
        <v>995</v>
      </c>
      <c r="D454" t="s">
        <v>7057</v>
      </c>
      <c r="E454">
        <v>2.373358845623732</v>
      </c>
    </row>
    <row r="455" spans="1:5">
      <c r="A455" t="s">
        <v>2087</v>
      </c>
      <c r="B455" t="s">
        <v>952</v>
      </c>
      <c r="C455" t="s">
        <v>995</v>
      </c>
      <c r="D455" t="s">
        <v>6990</v>
      </c>
      <c r="E455">
        <v>0.01776411272821188</v>
      </c>
    </row>
    <row r="456" spans="1:5">
      <c r="A456" t="s">
        <v>2088</v>
      </c>
      <c r="B456" t="s">
        <v>952</v>
      </c>
      <c r="C456" t="s">
        <v>995</v>
      </c>
      <c r="D456" t="s">
        <v>6991</v>
      </c>
      <c r="E456">
        <v>106.4099404740684</v>
      </c>
    </row>
    <row r="457" spans="1:5">
      <c r="A457" t="s">
        <v>2089</v>
      </c>
      <c r="B457" t="s">
        <v>952</v>
      </c>
      <c r="C457" t="s">
        <v>995</v>
      </c>
      <c r="D457" t="s">
        <v>7058</v>
      </c>
      <c r="E457">
        <v>414.0847389222092</v>
      </c>
    </row>
    <row r="458" spans="1:5">
      <c r="A458" t="s">
        <v>2090</v>
      </c>
      <c r="B458" t="s">
        <v>952</v>
      </c>
      <c r="C458" t="s">
        <v>995</v>
      </c>
      <c r="D458" t="s">
        <v>6992</v>
      </c>
      <c r="E458">
        <v>3.237314344884189</v>
      </c>
    </row>
    <row r="459" spans="1:5">
      <c r="A459" t="s">
        <v>2091</v>
      </c>
      <c r="B459" t="s">
        <v>952</v>
      </c>
      <c r="C459" t="s">
        <v>995</v>
      </c>
      <c r="D459" t="s">
        <v>7059</v>
      </c>
      <c r="E459">
        <v>0.2369308742215427</v>
      </c>
    </row>
    <row r="460" spans="1:5">
      <c r="A460" t="s">
        <v>2092</v>
      </c>
      <c r="B460" t="s">
        <v>952</v>
      </c>
      <c r="C460" t="s">
        <v>995</v>
      </c>
      <c r="D460" t="s">
        <v>7060</v>
      </c>
      <c r="E460">
        <v>0.0002760656134785313</v>
      </c>
    </row>
    <row r="461" spans="1:5">
      <c r="A461" t="s">
        <v>2093</v>
      </c>
      <c r="B461" t="s">
        <v>952</v>
      </c>
      <c r="C461" t="s">
        <v>995</v>
      </c>
      <c r="D461" t="s">
        <v>6993</v>
      </c>
      <c r="E461">
        <v>2.515034743317742</v>
      </c>
    </row>
    <row r="462" spans="1:5">
      <c r="A462" t="s">
        <v>2094</v>
      </c>
      <c r="B462" t="s">
        <v>952</v>
      </c>
      <c r="C462" t="s">
        <v>995</v>
      </c>
      <c r="D462" t="s">
        <v>7061</v>
      </c>
      <c r="E462">
        <v>414.0847389222092</v>
      </c>
    </row>
    <row r="463" spans="1:5">
      <c r="A463" t="s">
        <v>2095</v>
      </c>
      <c r="B463" t="s">
        <v>952</v>
      </c>
      <c r="C463" t="s">
        <v>995</v>
      </c>
      <c r="D463" t="s">
        <v>7062</v>
      </c>
      <c r="E463">
        <v>1.959148616306969</v>
      </c>
    </row>
    <row r="464" spans="1:5">
      <c r="A464" t="s">
        <v>2096</v>
      </c>
      <c r="B464" t="s">
        <v>952</v>
      </c>
      <c r="C464" t="s">
        <v>995</v>
      </c>
      <c r="D464" t="s">
        <v>7063</v>
      </c>
      <c r="E464">
        <v>438.3596164466697</v>
      </c>
    </row>
    <row r="465" spans="1:5">
      <c r="A465" t="s">
        <v>2097</v>
      </c>
      <c r="B465" t="s">
        <v>952</v>
      </c>
      <c r="C465" t="s">
        <v>995</v>
      </c>
      <c r="D465" t="s">
        <v>6994</v>
      </c>
      <c r="E465">
        <v>1.957649375820044</v>
      </c>
    </row>
    <row r="466" spans="1:5">
      <c r="A466" t="s">
        <v>2098</v>
      </c>
      <c r="B466" t="s">
        <v>952</v>
      </c>
      <c r="C466" t="s">
        <v>995</v>
      </c>
      <c r="D466" t="s">
        <v>7064</v>
      </c>
      <c r="E466">
        <v>2.40149793091846</v>
      </c>
    </row>
    <row r="467" spans="1:5">
      <c r="A467" t="s">
        <v>2099</v>
      </c>
      <c r="B467" t="s">
        <v>952</v>
      </c>
      <c r="C467" t="s">
        <v>995</v>
      </c>
      <c r="D467" t="s">
        <v>7065</v>
      </c>
      <c r="E467">
        <v>3.548814744797463</v>
      </c>
    </row>
    <row r="468" spans="1:5">
      <c r="A468" t="s">
        <v>2100</v>
      </c>
      <c r="B468" t="s">
        <v>952</v>
      </c>
      <c r="C468" t="s">
        <v>995</v>
      </c>
      <c r="D468" t="s">
        <v>7066</v>
      </c>
      <c r="E468">
        <v>0.07695190785344985</v>
      </c>
    </row>
    <row r="469" spans="1:5">
      <c r="A469" t="s">
        <v>2101</v>
      </c>
      <c r="B469" t="s">
        <v>952</v>
      </c>
      <c r="C469" t="s">
        <v>995</v>
      </c>
      <c r="D469" t="s">
        <v>7067</v>
      </c>
      <c r="E469">
        <v>221.9036579491301</v>
      </c>
    </row>
    <row r="470" spans="1:5">
      <c r="A470" t="s">
        <v>2102</v>
      </c>
      <c r="B470" t="s">
        <v>952</v>
      </c>
      <c r="C470" t="s">
        <v>995</v>
      </c>
      <c r="D470" t="s">
        <v>7068</v>
      </c>
      <c r="E470">
        <v>0.7341000075716345</v>
      </c>
    </row>
    <row r="471" spans="1:5">
      <c r="A471" t="s">
        <v>2103</v>
      </c>
      <c r="B471" t="s">
        <v>952</v>
      </c>
      <c r="C471" t="s">
        <v>995</v>
      </c>
      <c r="D471" t="s">
        <v>6995</v>
      </c>
      <c r="E471">
        <v>0.2073414143891044</v>
      </c>
    </row>
    <row r="472" spans="1:5">
      <c r="A472" t="s">
        <v>2104</v>
      </c>
      <c r="B472" t="s">
        <v>952</v>
      </c>
      <c r="C472" t="s">
        <v>995</v>
      </c>
      <c r="D472" t="s">
        <v>7069</v>
      </c>
      <c r="E472">
        <v>1009.536283131419</v>
      </c>
    </row>
    <row r="473" spans="1:5">
      <c r="A473" t="s">
        <v>2105</v>
      </c>
      <c r="B473" t="s">
        <v>952</v>
      </c>
      <c r="C473" t="s">
        <v>995</v>
      </c>
      <c r="D473" t="s">
        <v>7070</v>
      </c>
      <c r="E473">
        <v>372.9564828115367</v>
      </c>
    </row>
    <row r="474" spans="1:5">
      <c r="A474" t="s">
        <v>2106</v>
      </c>
      <c r="B474" t="s">
        <v>952</v>
      </c>
      <c r="C474" t="s">
        <v>995</v>
      </c>
      <c r="D474" t="s">
        <v>7071</v>
      </c>
      <c r="E474">
        <v>0.6612659923301327</v>
      </c>
    </row>
    <row r="475" spans="1:5">
      <c r="A475" t="s">
        <v>2107</v>
      </c>
      <c r="B475" t="s">
        <v>952</v>
      </c>
      <c r="C475" t="s">
        <v>995</v>
      </c>
      <c r="D475" t="s">
        <v>7072</v>
      </c>
      <c r="E475">
        <v>0.01416331594177656</v>
      </c>
    </row>
    <row r="476" spans="1:5">
      <c r="A476" t="s">
        <v>2108</v>
      </c>
      <c r="B476" t="s">
        <v>952</v>
      </c>
      <c r="C476" t="s">
        <v>995</v>
      </c>
      <c r="D476" t="s">
        <v>7073</v>
      </c>
      <c r="E476">
        <v>0.003472592874099661</v>
      </c>
    </row>
    <row r="477" spans="1:5">
      <c r="A477" t="s">
        <v>2109</v>
      </c>
      <c r="B477" t="s">
        <v>952</v>
      </c>
      <c r="C477" t="s">
        <v>995</v>
      </c>
      <c r="D477" t="s">
        <v>7074</v>
      </c>
      <c r="E477">
        <v>0.953194862855906</v>
      </c>
    </row>
    <row r="478" spans="1:5">
      <c r="A478" t="s">
        <v>2110</v>
      </c>
      <c r="B478" t="s">
        <v>952</v>
      </c>
      <c r="C478" t="s">
        <v>995</v>
      </c>
      <c r="D478" t="s">
        <v>7075</v>
      </c>
      <c r="E478">
        <v>1.693594488694564</v>
      </c>
    </row>
    <row r="479" spans="1:5">
      <c r="A479" t="s">
        <v>2111</v>
      </c>
      <c r="B479" t="s">
        <v>952</v>
      </c>
      <c r="C479" t="s">
        <v>995</v>
      </c>
      <c r="D479" t="s">
        <v>7076</v>
      </c>
      <c r="E479">
        <v>18.61439388074596</v>
      </c>
    </row>
    <row r="480" spans="1:5">
      <c r="A480" t="s">
        <v>2112</v>
      </c>
      <c r="B480" t="s">
        <v>952</v>
      </c>
      <c r="C480" t="s">
        <v>995</v>
      </c>
      <c r="D480" t="s">
        <v>7077</v>
      </c>
      <c r="E480">
        <v>49.11455662901322</v>
      </c>
    </row>
    <row r="481" spans="1:5">
      <c r="A481" t="s">
        <v>2113</v>
      </c>
      <c r="B481" t="s">
        <v>952</v>
      </c>
      <c r="C481" t="s">
        <v>995</v>
      </c>
      <c r="D481" t="s">
        <v>7078</v>
      </c>
      <c r="E481">
        <v>33.64180237443691</v>
      </c>
    </row>
    <row r="482" spans="1:5">
      <c r="A482" t="s">
        <v>2114</v>
      </c>
      <c r="B482" t="s">
        <v>952</v>
      </c>
      <c r="C482" t="s">
        <v>995</v>
      </c>
      <c r="D482" t="s">
        <v>7079</v>
      </c>
      <c r="E482">
        <v>17.97109888401636</v>
      </c>
    </row>
    <row r="483" spans="1:5">
      <c r="A483" t="s">
        <v>2115</v>
      </c>
      <c r="B483" t="s">
        <v>952</v>
      </c>
      <c r="C483" t="s">
        <v>995</v>
      </c>
      <c r="D483" t="s">
        <v>7080</v>
      </c>
      <c r="E483">
        <v>0.07396922596902554</v>
      </c>
    </row>
    <row r="484" spans="1:5">
      <c r="A484" t="s">
        <v>2116</v>
      </c>
      <c r="B484" t="s">
        <v>952</v>
      </c>
      <c r="C484" t="s">
        <v>995</v>
      </c>
      <c r="D484" t="s">
        <v>7081</v>
      </c>
      <c r="E484">
        <v>5.853901547139534</v>
      </c>
    </row>
    <row r="485" spans="1:5">
      <c r="A485" t="s">
        <v>2117</v>
      </c>
      <c r="B485" t="s">
        <v>952</v>
      </c>
      <c r="C485" t="s">
        <v>995</v>
      </c>
      <c r="D485" t="s">
        <v>7082</v>
      </c>
      <c r="E485">
        <v>0.1478163652299749</v>
      </c>
    </row>
    <row r="486" spans="1:5">
      <c r="A486" t="s">
        <v>2118</v>
      </c>
      <c r="B486" t="s">
        <v>952</v>
      </c>
      <c r="C486" t="s">
        <v>995</v>
      </c>
      <c r="D486" t="s">
        <v>7083</v>
      </c>
      <c r="E486">
        <v>0.0871255978696297</v>
      </c>
    </row>
    <row r="487" spans="1:5">
      <c r="A487" t="s">
        <v>2119</v>
      </c>
      <c r="B487" t="s">
        <v>952</v>
      </c>
      <c r="C487" t="s">
        <v>995</v>
      </c>
      <c r="D487" t="s">
        <v>7084</v>
      </c>
      <c r="E487">
        <v>38.5407697919299</v>
      </c>
    </row>
    <row r="488" spans="1:5">
      <c r="A488" t="s">
        <v>2120</v>
      </c>
      <c r="B488" t="s">
        <v>952</v>
      </c>
      <c r="C488" t="s">
        <v>995</v>
      </c>
      <c r="D488" t="s">
        <v>7085</v>
      </c>
      <c r="E488">
        <v>7.766067495810364</v>
      </c>
    </row>
    <row r="489" spans="1:5">
      <c r="A489" t="s">
        <v>2121</v>
      </c>
      <c r="B489" t="s">
        <v>952</v>
      </c>
      <c r="C489" t="s">
        <v>995</v>
      </c>
      <c r="D489" t="s">
        <v>7086</v>
      </c>
      <c r="E489">
        <v>6.586566406421261</v>
      </c>
    </row>
    <row r="490" spans="1:5">
      <c r="A490" t="s">
        <v>2122</v>
      </c>
      <c r="B490" t="s">
        <v>952</v>
      </c>
      <c r="C490" t="s">
        <v>995</v>
      </c>
      <c r="D490" t="s">
        <v>7087</v>
      </c>
      <c r="E490">
        <v>20.09857969013151</v>
      </c>
    </row>
    <row r="491" spans="1:5">
      <c r="A491" t="s">
        <v>2123</v>
      </c>
      <c r="B491" t="s">
        <v>952</v>
      </c>
      <c r="C491" t="s">
        <v>995</v>
      </c>
      <c r="D491" t="s">
        <v>7088</v>
      </c>
      <c r="E491">
        <v>0.17893484308096</v>
      </c>
    </row>
    <row r="492" spans="1:5">
      <c r="A492" t="s">
        <v>2124</v>
      </c>
      <c r="B492" t="s">
        <v>952</v>
      </c>
      <c r="C492" t="s">
        <v>995</v>
      </c>
      <c r="D492" t="s">
        <v>6996</v>
      </c>
      <c r="E492">
        <v>17.91778957908762</v>
      </c>
    </row>
    <row r="493" spans="1:5">
      <c r="A493" t="s">
        <v>2125</v>
      </c>
      <c r="B493" t="s">
        <v>952</v>
      </c>
      <c r="C493" t="s">
        <v>995</v>
      </c>
      <c r="D493" t="s">
        <v>6997</v>
      </c>
      <c r="E493">
        <v>78.65523383777601</v>
      </c>
    </row>
    <row r="494" spans="1:5">
      <c r="A494" t="s">
        <v>2126</v>
      </c>
      <c r="B494" t="s">
        <v>952</v>
      </c>
      <c r="C494" t="s">
        <v>995</v>
      </c>
      <c r="D494" t="s">
        <v>7089</v>
      </c>
      <c r="E494">
        <v>4.862420937962941</v>
      </c>
    </row>
    <row r="495" spans="1:5">
      <c r="A495" t="s">
        <v>2127</v>
      </c>
      <c r="B495" t="s">
        <v>952</v>
      </c>
      <c r="C495" t="s">
        <v>995</v>
      </c>
      <c r="D495" t="s">
        <v>7090</v>
      </c>
      <c r="E495">
        <v>18.61439388074596</v>
      </c>
    </row>
    <row r="496" spans="1:5">
      <c r="A496" t="s">
        <v>2128</v>
      </c>
      <c r="B496" t="s">
        <v>952</v>
      </c>
      <c r="C496" t="s">
        <v>995</v>
      </c>
      <c r="D496" t="s">
        <v>7091</v>
      </c>
      <c r="E496">
        <v>0.2270023398517598</v>
      </c>
    </row>
    <row r="497" spans="1:5">
      <c r="A497" t="s">
        <v>2129</v>
      </c>
      <c r="B497" t="s">
        <v>952</v>
      </c>
      <c r="C497" t="s">
        <v>995</v>
      </c>
      <c r="D497" t="s">
        <v>7092</v>
      </c>
      <c r="E497">
        <v>8.433676027033176</v>
      </c>
    </row>
    <row r="498" spans="1:5">
      <c r="A498" t="s">
        <v>2130</v>
      </c>
      <c r="B498" t="s">
        <v>952</v>
      </c>
      <c r="C498" t="s">
        <v>995</v>
      </c>
      <c r="D498" t="s">
        <v>6998</v>
      </c>
      <c r="E498">
        <v>33.36023454560553</v>
      </c>
    </row>
    <row r="499" spans="1:5">
      <c r="A499" t="s">
        <v>2131</v>
      </c>
      <c r="B499" t="s">
        <v>952</v>
      </c>
      <c r="C499" t="s">
        <v>995</v>
      </c>
      <c r="D499" t="s">
        <v>7093</v>
      </c>
      <c r="E499">
        <v>2.023322016454559</v>
      </c>
    </row>
    <row r="500" spans="1:5">
      <c r="A500" t="s">
        <v>2132</v>
      </c>
      <c r="B500" t="s">
        <v>952</v>
      </c>
      <c r="C500" t="s">
        <v>995</v>
      </c>
      <c r="D500" t="s">
        <v>6999</v>
      </c>
      <c r="E500">
        <v>181.401688679269</v>
      </c>
    </row>
    <row r="501" spans="1:5">
      <c r="A501" t="s">
        <v>2133</v>
      </c>
      <c r="B501" t="s">
        <v>952</v>
      </c>
      <c r="C501" t="s">
        <v>995</v>
      </c>
      <c r="D501" t="s">
        <v>7094</v>
      </c>
      <c r="E501">
        <v>808.3204355465034</v>
      </c>
    </row>
    <row r="502" spans="1:5">
      <c r="A502" t="s">
        <v>2134</v>
      </c>
      <c r="B502" t="s">
        <v>952</v>
      </c>
      <c r="C502" t="s">
        <v>995</v>
      </c>
      <c r="D502" t="s">
        <v>7095</v>
      </c>
      <c r="E502">
        <v>310.7969620248807</v>
      </c>
    </row>
    <row r="503" spans="1:5">
      <c r="A503" t="s">
        <v>2135</v>
      </c>
      <c r="B503" t="s">
        <v>952</v>
      </c>
      <c r="C503" t="s">
        <v>995</v>
      </c>
      <c r="D503" t="s">
        <v>7096</v>
      </c>
      <c r="E503">
        <v>90.49334968704115</v>
      </c>
    </row>
    <row r="504" spans="1:5">
      <c r="A504" t="s">
        <v>2136</v>
      </c>
      <c r="B504" t="s">
        <v>952</v>
      </c>
      <c r="C504" t="s">
        <v>995</v>
      </c>
      <c r="D504" t="s">
        <v>7097</v>
      </c>
      <c r="E504">
        <v>72.17321261882785</v>
      </c>
    </row>
    <row r="505" spans="1:5">
      <c r="A505" t="s">
        <v>2137</v>
      </c>
      <c r="B505" t="s">
        <v>952</v>
      </c>
      <c r="C505" t="s">
        <v>995</v>
      </c>
      <c r="D505" t="s">
        <v>7000</v>
      </c>
      <c r="E505">
        <v>5.042942846414951</v>
      </c>
    </row>
    <row r="506" spans="1:5">
      <c r="A506" t="s">
        <v>2138</v>
      </c>
      <c r="B506" t="s">
        <v>952</v>
      </c>
      <c r="C506" t="s">
        <v>995</v>
      </c>
      <c r="D506" t="s">
        <v>7098</v>
      </c>
      <c r="E506">
        <v>1.114718871450197</v>
      </c>
    </row>
    <row r="507" spans="1:5">
      <c r="A507" t="s">
        <v>2139</v>
      </c>
      <c r="B507" t="s">
        <v>952</v>
      </c>
      <c r="C507" t="s">
        <v>995</v>
      </c>
      <c r="D507" t="s">
        <v>7001</v>
      </c>
      <c r="E507">
        <v>85.02289321732759</v>
      </c>
    </row>
    <row r="508" spans="1:5">
      <c r="A508" t="s">
        <v>2140</v>
      </c>
      <c r="B508" t="s">
        <v>952</v>
      </c>
      <c r="C508" t="s">
        <v>995</v>
      </c>
      <c r="D508" t="s">
        <v>7099</v>
      </c>
      <c r="E508">
        <v>0.05068612035270587</v>
      </c>
    </row>
    <row r="509" spans="1:5">
      <c r="A509" t="s">
        <v>2141</v>
      </c>
      <c r="B509" t="s">
        <v>952</v>
      </c>
      <c r="C509" t="s">
        <v>995</v>
      </c>
      <c r="D509" t="s">
        <v>7100</v>
      </c>
      <c r="E509">
        <v>85.38380822958055</v>
      </c>
    </row>
    <row r="510" spans="1:5">
      <c r="A510" t="s">
        <v>2142</v>
      </c>
      <c r="B510" t="s">
        <v>952</v>
      </c>
      <c r="C510" t="s">
        <v>995</v>
      </c>
      <c r="D510" t="s">
        <v>7002</v>
      </c>
      <c r="E510">
        <v>69.2667138477413</v>
      </c>
    </row>
    <row r="511" spans="1:5">
      <c r="A511" t="s">
        <v>2143</v>
      </c>
      <c r="B511" t="s">
        <v>952</v>
      </c>
      <c r="C511" t="s">
        <v>995</v>
      </c>
      <c r="D511" t="s">
        <v>7101</v>
      </c>
      <c r="E511">
        <v>3.075181479276157</v>
      </c>
    </row>
    <row r="512" spans="1:5">
      <c r="A512" t="s">
        <v>2144</v>
      </c>
      <c r="B512" t="s">
        <v>952</v>
      </c>
      <c r="C512" t="s">
        <v>995</v>
      </c>
      <c r="D512" t="s">
        <v>7102</v>
      </c>
      <c r="E512">
        <v>4.244030547038265</v>
      </c>
    </row>
    <row r="513" spans="1:5">
      <c r="A513" t="s">
        <v>2145</v>
      </c>
      <c r="B513" t="s">
        <v>952</v>
      </c>
      <c r="C513" t="s">
        <v>995</v>
      </c>
      <c r="D513" t="s">
        <v>7103</v>
      </c>
      <c r="E513">
        <v>0.2122923812775599</v>
      </c>
    </row>
    <row r="514" spans="1:5">
      <c r="A514" t="s">
        <v>2146</v>
      </c>
      <c r="B514" t="s">
        <v>952</v>
      </c>
      <c r="C514" t="s">
        <v>995</v>
      </c>
      <c r="D514" t="s">
        <v>7104</v>
      </c>
      <c r="E514">
        <v>82.87920889280747</v>
      </c>
    </row>
    <row r="515" spans="1:5">
      <c r="A515" t="s">
        <v>2147</v>
      </c>
      <c r="B515" t="s">
        <v>952</v>
      </c>
      <c r="C515" t="s">
        <v>995</v>
      </c>
      <c r="D515" t="s">
        <v>7105</v>
      </c>
      <c r="E515">
        <v>39.15310954936258</v>
      </c>
    </row>
    <row r="516" spans="1:5">
      <c r="A516" t="s">
        <v>2148</v>
      </c>
      <c r="B516" t="s">
        <v>952</v>
      </c>
      <c r="C516" t="s">
        <v>995</v>
      </c>
      <c r="D516" t="s">
        <v>7106</v>
      </c>
      <c r="E516">
        <v>21.93724938919192</v>
      </c>
    </row>
    <row r="517" spans="1:5">
      <c r="A517" t="s">
        <v>2149</v>
      </c>
      <c r="B517" t="s">
        <v>952</v>
      </c>
      <c r="C517" t="s">
        <v>995</v>
      </c>
      <c r="D517" t="s">
        <v>7107</v>
      </c>
      <c r="E517">
        <v>0.6945922212966618</v>
      </c>
    </row>
    <row r="518" spans="1:5">
      <c r="A518" t="s">
        <v>2150</v>
      </c>
      <c r="B518" t="s">
        <v>952</v>
      </c>
      <c r="C518" t="s">
        <v>995</v>
      </c>
      <c r="D518" t="s">
        <v>7003</v>
      </c>
      <c r="E518">
        <v>32.92477434921216</v>
      </c>
    </row>
    <row r="519" spans="1:5">
      <c r="A519" t="s">
        <v>2151</v>
      </c>
      <c r="B519" t="s">
        <v>952</v>
      </c>
      <c r="C519" t="s">
        <v>995</v>
      </c>
      <c r="D519" t="s">
        <v>7004</v>
      </c>
      <c r="E519">
        <v>242.6723796980988</v>
      </c>
    </row>
    <row r="520" spans="1:5">
      <c r="A520" t="s">
        <v>2152</v>
      </c>
      <c r="B520" t="s">
        <v>952</v>
      </c>
      <c r="C520" t="s">
        <v>995</v>
      </c>
      <c r="D520" t="s">
        <v>7108</v>
      </c>
      <c r="E520">
        <v>414.0847389222092</v>
      </c>
    </row>
    <row r="521" spans="1:5">
      <c r="A521" t="s">
        <v>2153</v>
      </c>
      <c r="B521" t="s">
        <v>952</v>
      </c>
      <c r="C521" t="s">
        <v>995</v>
      </c>
      <c r="D521" t="s">
        <v>7109</v>
      </c>
      <c r="E521">
        <v>12.64746697332666</v>
      </c>
    </row>
    <row r="522" spans="1:5">
      <c r="A522" t="s">
        <v>2154</v>
      </c>
      <c r="B522" t="s">
        <v>952</v>
      </c>
      <c r="C522" t="s">
        <v>995</v>
      </c>
      <c r="D522" t="s">
        <v>7110</v>
      </c>
      <c r="E522">
        <v>0.01264697146486452</v>
      </c>
    </row>
    <row r="523" spans="1:5">
      <c r="A523" t="s">
        <v>2155</v>
      </c>
      <c r="B523" t="s">
        <v>952</v>
      </c>
      <c r="C523" t="s">
        <v>995</v>
      </c>
      <c r="D523" t="s">
        <v>7111</v>
      </c>
      <c r="E523">
        <v>0.5437259807179563</v>
      </c>
    </row>
    <row r="524" spans="1:5">
      <c r="A524" t="s">
        <v>2156</v>
      </c>
      <c r="B524" t="s">
        <v>952</v>
      </c>
      <c r="C524" t="s">
        <v>995</v>
      </c>
      <c r="D524" t="s">
        <v>7112</v>
      </c>
      <c r="E524">
        <v>8.351307117676779</v>
      </c>
    </row>
    <row r="525" spans="1:5">
      <c r="A525" t="s">
        <v>2157</v>
      </c>
      <c r="B525" t="s">
        <v>952</v>
      </c>
      <c r="C525" t="s">
        <v>995</v>
      </c>
      <c r="D525" t="s">
        <v>7113</v>
      </c>
      <c r="E525">
        <v>0.06608065087154325</v>
      </c>
    </row>
    <row r="526" spans="1:5">
      <c r="A526" t="s">
        <v>2158</v>
      </c>
      <c r="B526" t="s">
        <v>952</v>
      </c>
      <c r="C526" t="s">
        <v>995</v>
      </c>
      <c r="D526" t="s">
        <v>7114</v>
      </c>
      <c r="E526">
        <v>14.74096036734694</v>
      </c>
    </row>
    <row r="527" spans="1:5">
      <c r="A527" t="s">
        <v>2159</v>
      </c>
      <c r="B527" t="s">
        <v>952</v>
      </c>
      <c r="C527" t="s">
        <v>995</v>
      </c>
      <c r="D527" t="s">
        <v>7115</v>
      </c>
      <c r="E527">
        <v>2.764379499157808</v>
      </c>
    </row>
    <row r="528" spans="1:5">
      <c r="A528" t="s">
        <v>2160</v>
      </c>
      <c r="B528" t="s">
        <v>952</v>
      </c>
      <c r="C528" t="s">
        <v>995</v>
      </c>
      <c r="D528" t="s">
        <v>7116</v>
      </c>
      <c r="E528">
        <v>18.61439388074596</v>
      </c>
    </row>
    <row r="529" spans="1:5">
      <c r="A529" t="s">
        <v>2161</v>
      </c>
      <c r="B529" t="s">
        <v>952</v>
      </c>
      <c r="C529" t="s">
        <v>995</v>
      </c>
      <c r="D529" t="s">
        <v>7005</v>
      </c>
      <c r="E529">
        <v>9.507734742400165</v>
      </c>
    </row>
    <row r="530" spans="1:5">
      <c r="A530" t="s">
        <v>2162</v>
      </c>
      <c r="B530" t="s">
        <v>952</v>
      </c>
      <c r="C530" t="s">
        <v>995</v>
      </c>
      <c r="D530" t="s">
        <v>7117</v>
      </c>
      <c r="E530">
        <v>33.21910533816563</v>
      </c>
    </row>
    <row r="531" spans="1:5">
      <c r="A531" t="s">
        <v>2163</v>
      </c>
      <c r="B531" t="s">
        <v>952</v>
      </c>
      <c r="C531" t="s">
        <v>995</v>
      </c>
      <c r="D531" t="s">
        <v>7118</v>
      </c>
      <c r="E531">
        <v>88.6973949032713</v>
      </c>
    </row>
    <row r="532" spans="1:5">
      <c r="A532" t="s">
        <v>2164</v>
      </c>
      <c r="B532" t="s">
        <v>952</v>
      </c>
      <c r="C532" t="s">
        <v>995</v>
      </c>
      <c r="D532" t="s">
        <v>7119</v>
      </c>
      <c r="E532">
        <v>106.8135302125691</v>
      </c>
    </row>
    <row r="533" spans="1:5">
      <c r="A533" t="s">
        <v>2165</v>
      </c>
      <c r="B533" t="s">
        <v>952</v>
      </c>
      <c r="C533" t="s">
        <v>995</v>
      </c>
      <c r="D533" t="s">
        <v>7120</v>
      </c>
      <c r="E533">
        <v>131.4884938224859</v>
      </c>
    </row>
    <row r="534" spans="1:5">
      <c r="A534" t="s">
        <v>2166</v>
      </c>
      <c r="B534" t="s">
        <v>952</v>
      </c>
      <c r="C534" t="s">
        <v>995</v>
      </c>
      <c r="D534" t="s">
        <v>7006</v>
      </c>
      <c r="E534">
        <v>6.822868926100181</v>
      </c>
    </row>
    <row r="535" spans="1:5">
      <c r="A535" t="s">
        <v>2167</v>
      </c>
      <c r="B535" t="s">
        <v>952</v>
      </c>
      <c r="C535" t="s">
        <v>995</v>
      </c>
      <c r="D535" t="s">
        <v>7121</v>
      </c>
      <c r="E535">
        <v>45.38956712487708</v>
      </c>
    </row>
    <row r="536" spans="1:5">
      <c r="A536" t="s">
        <v>2168</v>
      </c>
      <c r="B536" t="s">
        <v>952</v>
      </c>
      <c r="C536" t="s">
        <v>995</v>
      </c>
      <c r="D536" t="s">
        <v>7122</v>
      </c>
      <c r="E536">
        <v>221.9036579491301</v>
      </c>
    </row>
    <row r="537" spans="1:5">
      <c r="A537" t="s">
        <v>2169</v>
      </c>
      <c r="B537" t="s">
        <v>952</v>
      </c>
      <c r="C537" t="s">
        <v>995</v>
      </c>
      <c r="D537" t="s">
        <v>7123</v>
      </c>
      <c r="E537">
        <v>9.839800915104805</v>
      </c>
    </row>
    <row r="538" spans="1:5">
      <c r="A538" t="s">
        <v>2170</v>
      </c>
      <c r="B538" t="s">
        <v>952</v>
      </c>
      <c r="C538" t="s">
        <v>995</v>
      </c>
      <c r="D538" t="s">
        <v>7124</v>
      </c>
      <c r="E538">
        <v>0.1197657954156684</v>
      </c>
    </row>
    <row r="539" spans="1:5">
      <c r="A539" t="s">
        <v>2171</v>
      </c>
      <c r="B539" t="s">
        <v>952</v>
      </c>
      <c r="C539" t="s">
        <v>995</v>
      </c>
      <c r="D539" t="s">
        <v>7125</v>
      </c>
      <c r="E539">
        <v>7.039527020916089</v>
      </c>
    </row>
    <row r="540" spans="1:5">
      <c r="A540" t="s">
        <v>2172</v>
      </c>
      <c r="B540" t="s">
        <v>952</v>
      </c>
      <c r="C540" t="s">
        <v>995</v>
      </c>
      <c r="D540" t="s">
        <v>7126</v>
      </c>
      <c r="E540">
        <v>0.08322533109556296</v>
      </c>
    </row>
    <row r="541" spans="1:5">
      <c r="A541" t="s">
        <v>2173</v>
      </c>
      <c r="B541" t="s">
        <v>952</v>
      </c>
      <c r="C541" t="s">
        <v>995</v>
      </c>
      <c r="D541" t="s">
        <v>998</v>
      </c>
      <c r="E541">
        <v>310.7969620248807</v>
      </c>
    </row>
    <row r="542" spans="1:5">
      <c r="A542" t="s">
        <v>2174</v>
      </c>
      <c r="B542" t="s">
        <v>952</v>
      </c>
      <c r="C542" t="s">
        <v>995</v>
      </c>
      <c r="D542" t="s">
        <v>7127</v>
      </c>
      <c r="E542">
        <v>7.747082629277735</v>
      </c>
    </row>
    <row r="543" spans="1:5">
      <c r="A543" t="s">
        <v>2175</v>
      </c>
      <c r="B543" t="s">
        <v>952</v>
      </c>
      <c r="C543" t="s">
        <v>995</v>
      </c>
      <c r="D543" t="s">
        <v>7128</v>
      </c>
      <c r="E543">
        <v>0.02546193509920209</v>
      </c>
    </row>
    <row r="544" spans="1:5">
      <c r="A544" t="s">
        <v>2176</v>
      </c>
      <c r="B544" t="s">
        <v>952</v>
      </c>
      <c r="C544" t="s">
        <v>995</v>
      </c>
      <c r="D544" t="s">
        <v>7129</v>
      </c>
      <c r="E544">
        <v>0.599735826547167</v>
      </c>
    </row>
    <row r="545" spans="1:5">
      <c r="A545" t="s">
        <v>2177</v>
      </c>
      <c r="B545" t="s">
        <v>952</v>
      </c>
      <c r="C545" t="s">
        <v>995</v>
      </c>
      <c r="D545" t="s">
        <v>7130</v>
      </c>
      <c r="E545">
        <v>0.01189366090628541</v>
      </c>
    </row>
    <row r="546" spans="1:5">
      <c r="A546" t="s">
        <v>2178</v>
      </c>
      <c r="B546" t="s">
        <v>952</v>
      </c>
      <c r="C546" t="s">
        <v>995</v>
      </c>
      <c r="D546" t="s">
        <v>7131</v>
      </c>
      <c r="E546">
        <v>2.649154361367707</v>
      </c>
    </row>
    <row r="547" spans="1:5">
      <c r="A547" t="s">
        <v>2179</v>
      </c>
      <c r="B547" t="s">
        <v>952</v>
      </c>
      <c r="C547" t="s">
        <v>995</v>
      </c>
      <c r="D547" t="s">
        <v>7132</v>
      </c>
      <c r="E547">
        <v>116.1782004666384</v>
      </c>
    </row>
    <row r="548" spans="1:5">
      <c r="A548" t="s">
        <v>2180</v>
      </c>
      <c r="B548" t="s">
        <v>952</v>
      </c>
      <c r="C548" t="s">
        <v>995</v>
      </c>
      <c r="D548" t="s">
        <v>7133</v>
      </c>
      <c r="E548">
        <v>0.5505750056787259</v>
      </c>
    </row>
    <row r="549" spans="1:5">
      <c r="A549" t="s">
        <v>2181</v>
      </c>
      <c r="B549" t="s">
        <v>952</v>
      </c>
      <c r="C549" t="s">
        <v>995</v>
      </c>
      <c r="D549" t="s">
        <v>7134</v>
      </c>
      <c r="E549">
        <v>115.1100152862312</v>
      </c>
    </row>
    <row r="550" spans="1:5">
      <c r="A550" t="s">
        <v>2182</v>
      </c>
      <c r="B550" t="s">
        <v>952</v>
      </c>
      <c r="C550" t="s">
        <v>995</v>
      </c>
      <c r="D550" t="s">
        <v>7135</v>
      </c>
      <c r="E550">
        <v>173.6296678592823</v>
      </c>
    </row>
    <row r="551" spans="1:5">
      <c r="A551" t="s">
        <v>2183</v>
      </c>
      <c r="B551" t="s">
        <v>952</v>
      </c>
      <c r="C551" t="s">
        <v>995</v>
      </c>
      <c r="D551" t="s">
        <v>7136</v>
      </c>
      <c r="E551">
        <v>424.1728961864158</v>
      </c>
    </row>
    <row r="552" spans="1:5">
      <c r="A552" t="s">
        <v>2184</v>
      </c>
      <c r="B552" t="s">
        <v>952</v>
      </c>
      <c r="C552" t="s">
        <v>995</v>
      </c>
      <c r="D552" t="s">
        <v>7137</v>
      </c>
      <c r="E552">
        <v>0.5505750056787259</v>
      </c>
    </row>
    <row r="553" spans="1:5">
      <c r="A553" t="s">
        <v>2185</v>
      </c>
      <c r="B553" t="s">
        <v>952</v>
      </c>
      <c r="C553" t="s">
        <v>995</v>
      </c>
      <c r="D553" t="s">
        <v>7138</v>
      </c>
      <c r="E553">
        <v>3.026460035866323</v>
      </c>
    </row>
    <row r="554" spans="1:5">
      <c r="A554" t="s">
        <v>2186</v>
      </c>
      <c r="B554" t="s">
        <v>952</v>
      </c>
      <c r="C554" t="s">
        <v>995</v>
      </c>
      <c r="D554" t="s">
        <v>7139</v>
      </c>
      <c r="E554">
        <v>1.301032052188387</v>
      </c>
    </row>
    <row r="555" spans="1:5">
      <c r="A555" t="s">
        <v>2187</v>
      </c>
      <c r="B555" t="s">
        <v>952</v>
      </c>
      <c r="C555" t="s">
        <v>995</v>
      </c>
      <c r="D555" t="s">
        <v>7007</v>
      </c>
      <c r="E555">
        <v>18.61433919432319</v>
      </c>
    </row>
    <row r="556" spans="1:5">
      <c r="A556" t="s">
        <v>2188</v>
      </c>
      <c r="B556" t="s">
        <v>952</v>
      </c>
      <c r="C556" t="s">
        <v>995</v>
      </c>
      <c r="D556" t="s">
        <v>7140</v>
      </c>
      <c r="E556">
        <v>16.37079754763633</v>
      </c>
    </row>
    <row r="557" spans="1:5">
      <c r="A557" t="s">
        <v>2189</v>
      </c>
      <c r="B557" t="s">
        <v>952</v>
      </c>
      <c r="C557" t="s">
        <v>995</v>
      </c>
      <c r="D557" t="s">
        <v>7141</v>
      </c>
      <c r="E557">
        <v>12.01446209069225</v>
      </c>
    </row>
    <row r="558" spans="1:5">
      <c r="A558" t="s">
        <v>2190</v>
      </c>
      <c r="B558" t="s">
        <v>952</v>
      </c>
      <c r="C558" t="s">
        <v>995</v>
      </c>
      <c r="D558" t="s">
        <v>7142</v>
      </c>
      <c r="E558">
        <v>12.01446209069225</v>
      </c>
    </row>
    <row r="559" spans="1:5">
      <c r="A559" t="s">
        <v>2026</v>
      </c>
      <c r="B559" t="s">
        <v>952</v>
      </c>
      <c r="C559" t="s">
        <v>995</v>
      </c>
      <c r="D559" t="s">
        <v>996</v>
      </c>
      <c r="E559">
        <v>361.153529</v>
      </c>
    </row>
    <row r="560" spans="1:5">
      <c r="A560" t="s">
        <v>2191</v>
      </c>
      <c r="B560" t="s">
        <v>6977</v>
      </c>
      <c r="C560" t="s">
        <v>995</v>
      </c>
      <c r="D560" t="s">
        <v>996</v>
      </c>
      <c r="E560">
        <v>360.551515</v>
      </c>
    </row>
    <row r="561" spans="1:5">
      <c r="A561" t="s">
        <v>2192</v>
      </c>
      <c r="B561" t="s">
        <v>6977</v>
      </c>
      <c r="C561" t="s">
        <v>995</v>
      </c>
      <c r="D561" t="s">
        <v>7008</v>
      </c>
      <c r="E561">
        <v>84.27920950150302</v>
      </c>
    </row>
    <row r="562" spans="1:5">
      <c r="A562" t="s">
        <v>2193</v>
      </c>
      <c r="B562" t="s">
        <v>6977</v>
      </c>
      <c r="C562" t="s">
        <v>995</v>
      </c>
      <c r="D562" t="s">
        <v>7009</v>
      </c>
      <c r="E562">
        <v>4.87057568382163</v>
      </c>
    </row>
    <row r="563" spans="1:5">
      <c r="A563" t="s">
        <v>2194</v>
      </c>
      <c r="B563" t="s">
        <v>6977</v>
      </c>
      <c r="C563" t="s">
        <v>995</v>
      </c>
      <c r="D563" t="s">
        <v>7010</v>
      </c>
      <c r="E563">
        <v>3.779353229017403</v>
      </c>
    </row>
    <row r="564" spans="1:5">
      <c r="A564" t="s">
        <v>2195</v>
      </c>
      <c r="B564" t="s">
        <v>6977</v>
      </c>
      <c r="C564" t="s">
        <v>995</v>
      </c>
      <c r="D564" t="s">
        <v>7011</v>
      </c>
      <c r="E564">
        <v>0.8423655584260217</v>
      </c>
    </row>
    <row r="565" spans="1:5">
      <c r="A565" t="s">
        <v>2196</v>
      </c>
      <c r="B565" t="s">
        <v>6977</v>
      </c>
      <c r="C565" t="s">
        <v>995</v>
      </c>
      <c r="D565" t="s">
        <v>7012</v>
      </c>
      <c r="E565">
        <v>172.9136145339864</v>
      </c>
    </row>
    <row r="566" spans="1:5">
      <c r="A566" t="s">
        <v>2197</v>
      </c>
      <c r="B566" t="s">
        <v>6977</v>
      </c>
      <c r="C566" t="s">
        <v>995</v>
      </c>
      <c r="D566" t="s">
        <v>7013</v>
      </c>
      <c r="E566">
        <v>0.3285478451746359</v>
      </c>
    </row>
    <row r="567" spans="1:5">
      <c r="A567" t="s">
        <v>2198</v>
      </c>
      <c r="B567" t="s">
        <v>6977</v>
      </c>
      <c r="C567" t="s">
        <v>995</v>
      </c>
      <c r="D567" t="s">
        <v>7014</v>
      </c>
      <c r="E567">
        <v>0.2218789976859659</v>
      </c>
    </row>
    <row r="568" spans="1:5">
      <c r="A568" t="s">
        <v>2199</v>
      </c>
      <c r="B568" t="s">
        <v>6977</v>
      </c>
      <c r="C568" t="s">
        <v>995</v>
      </c>
      <c r="D568" t="s">
        <v>6981</v>
      </c>
      <c r="E568">
        <v>221.7407172794672</v>
      </c>
    </row>
    <row r="569" spans="1:5">
      <c r="A569" t="s">
        <v>2200</v>
      </c>
      <c r="B569" t="s">
        <v>6977</v>
      </c>
      <c r="C569" t="s">
        <v>995</v>
      </c>
      <c r="D569" t="s">
        <v>7015</v>
      </c>
      <c r="E569">
        <v>172.9136145339864</v>
      </c>
    </row>
    <row r="570" spans="1:5">
      <c r="A570" t="s">
        <v>2201</v>
      </c>
      <c r="B570" t="s">
        <v>6977</v>
      </c>
      <c r="C570" t="s">
        <v>995</v>
      </c>
      <c r="D570" t="s">
        <v>7016</v>
      </c>
      <c r="E570">
        <v>182.3794128373727</v>
      </c>
    </row>
    <row r="571" spans="1:5">
      <c r="A571" t="s">
        <v>2202</v>
      </c>
      <c r="B571" t="s">
        <v>6977</v>
      </c>
      <c r="C571" t="s">
        <v>995</v>
      </c>
      <c r="D571" t="s">
        <v>7017</v>
      </c>
      <c r="E571">
        <v>184.3470623724966</v>
      </c>
    </row>
    <row r="572" spans="1:5">
      <c r="A572" t="s">
        <v>2203</v>
      </c>
      <c r="B572" t="s">
        <v>6977</v>
      </c>
      <c r="C572" t="s">
        <v>995</v>
      </c>
      <c r="D572" t="s">
        <v>7018</v>
      </c>
      <c r="E572">
        <v>154.757685379012</v>
      </c>
    </row>
    <row r="573" spans="1:5">
      <c r="A573" t="s">
        <v>2204</v>
      </c>
      <c r="B573" t="s">
        <v>6977</v>
      </c>
      <c r="C573" t="s">
        <v>995</v>
      </c>
      <c r="D573" t="s">
        <v>7019</v>
      </c>
      <c r="E573">
        <v>2.518810028184845</v>
      </c>
    </row>
    <row r="574" spans="1:5">
      <c r="A574" t="s">
        <v>2205</v>
      </c>
      <c r="B574" t="s">
        <v>6977</v>
      </c>
      <c r="C574" t="s">
        <v>995</v>
      </c>
      <c r="D574" t="s">
        <v>997</v>
      </c>
      <c r="E574">
        <v>184.3470623724966</v>
      </c>
    </row>
    <row r="575" spans="1:5">
      <c r="A575" t="s">
        <v>2206</v>
      </c>
      <c r="B575" t="s">
        <v>6977</v>
      </c>
      <c r="C575" t="s">
        <v>995</v>
      </c>
      <c r="D575" t="s">
        <v>7020</v>
      </c>
      <c r="E575">
        <v>823.1788542896217</v>
      </c>
    </row>
    <row r="576" spans="1:5">
      <c r="A576" t="s">
        <v>2207</v>
      </c>
      <c r="B576" t="s">
        <v>6977</v>
      </c>
      <c r="C576" t="s">
        <v>995</v>
      </c>
      <c r="D576" t="s">
        <v>7021</v>
      </c>
      <c r="E576">
        <v>0.1039661114773055</v>
      </c>
    </row>
    <row r="577" spans="1:5">
      <c r="A577" t="s">
        <v>2208</v>
      </c>
      <c r="B577" t="s">
        <v>6977</v>
      </c>
      <c r="C577" t="s">
        <v>995</v>
      </c>
      <c r="D577" t="s">
        <v>7022</v>
      </c>
      <c r="E577">
        <v>309.5155036097829</v>
      </c>
    </row>
    <row r="578" spans="1:5">
      <c r="A578" t="s">
        <v>2209</v>
      </c>
      <c r="B578" t="s">
        <v>6977</v>
      </c>
      <c r="C578" t="s">
        <v>995</v>
      </c>
      <c r="D578" t="s">
        <v>7023</v>
      </c>
      <c r="E578">
        <v>242.0427740247674</v>
      </c>
    </row>
    <row r="579" spans="1:5">
      <c r="A579" t="s">
        <v>2210</v>
      </c>
      <c r="B579" t="s">
        <v>6977</v>
      </c>
      <c r="C579" t="s">
        <v>995</v>
      </c>
      <c r="D579" t="s">
        <v>7024</v>
      </c>
      <c r="E579">
        <v>44.71181493119084</v>
      </c>
    </row>
    <row r="580" spans="1:5">
      <c r="A580" t="s">
        <v>2211</v>
      </c>
      <c r="B580" t="s">
        <v>6977</v>
      </c>
      <c r="C580" t="s">
        <v>995</v>
      </c>
      <c r="D580" t="s">
        <v>6982</v>
      </c>
      <c r="E580">
        <v>61.40361291175203</v>
      </c>
    </row>
    <row r="581" spans="1:5">
      <c r="A581" t="s">
        <v>2212</v>
      </c>
      <c r="B581" t="s">
        <v>6977</v>
      </c>
      <c r="C581" t="s">
        <v>995</v>
      </c>
      <c r="D581" t="s">
        <v>7025</v>
      </c>
      <c r="E581">
        <v>309.5155036097829</v>
      </c>
    </row>
    <row r="582" spans="1:5">
      <c r="A582" t="s">
        <v>2213</v>
      </c>
      <c r="B582" t="s">
        <v>6977</v>
      </c>
      <c r="C582" t="s">
        <v>995</v>
      </c>
      <c r="D582" t="s">
        <v>7026</v>
      </c>
      <c r="E582">
        <v>3.215218663289003</v>
      </c>
    </row>
    <row r="583" spans="1:5">
      <c r="A583" t="s">
        <v>2214</v>
      </c>
      <c r="B583" t="s">
        <v>6977</v>
      </c>
      <c r="C583" t="s">
        <v>995</v>
      </c>
      <c r="D583" t="s">
        <v>7027</v>
      </c>
      <c r="E583">
        <v>22.04957203645335</v>
      </c>
    </row>
    <row r="584" spans="1:5">
      <c r="A584" t="s">
        <v>2215</v>
      </c>
      <c r="B584" t="s">
        <v>6977</v>
      </c>
      <c r="C584" t="s">
        <v>995</v>
      </c>
      <c r="D584" t="s">
        <v>7028</v>
      </c>
      <c r="E584">
        <v>112.4733409199098</v>
      </c>
    </row>
    <row r="585" spans="1:5">
      <c r="A585" t="s">
        <v>2216</v>
      </c>
      <c r="B585" t="s">
        <v>6977</v>
      </c>
      <c r="C585" t="s">
        <v>995</v>
      </c>
      <c r="D585" t="s">
        <v>7029</v>
      </c>
      <c r="E585">
        <v>154.757685379012</v>
      </c>
    </row>
    <row r="586" spans="1:5">
      <c r="A586" t="s">
        <v>2217</v>
      </c>
      <c r="B586" t="s">
        <v>6977</v>
      </c>
      <c r="C586" t="s">
        <v>995</v>
      </c>
      <c r="D586" t="s">
        <v>6983</v>
      </c>
      <c r="E586">
        <v>225.2426338065564</v>
      </c>
    </row>
    <row r="587" spans="1:5">
      <c r="A587" t="s">
        <v>2218</v>
      </c>
      <c r="B587" t="s">
        <v>6977</v>
      </c>
      <c r="C587" t="s">
        <v>995</v>
      </c>
      <c r="D587" t="s">
        <v>7030</v>
      </c>
      <c r="E587">
        <v>0.1355107059478006</v>
      </c>
    </row>
    <row r="588" spans="1:5">
      <c r="A588" t="s">
        <v>2219</v>
      </c>
      <c r="B588" t="s">
        <v>6977</v>
      </c>
      <c r="C588" t="s">
        <v>995</v>
      </c>
      <c r="D588" t="s">
        <v>6984</v>
      </c>
      <c r="E588">
        <v>394.2879771925239</v>
      </c>
    </row>
    <row r="589" spans="1:5">
      <c r="A589" t="s">
        <v>2220</v>
      </c>
      <c r="B589" t="s">
        <v>6977</v>
      </c>
      <c r="C589" t="s">
        <v>995</v>
      </c>
      <c r="D589" t="s">
        <v>7031</v>
      </c>
      <c r="E589">
        <v>13474.02799058261</v>
      </c>
    </row>
    <row r="590" spans="1:5">
      <c r="A590" t="s">
        <v>2221</v>
      </c>
      <c r="B590" t="s">
        <v>6977</v>
      </c>
      <c r="C590" t="s">
        <v>995</v>
      </c>
      <c r="D590" t="s">
        <v>7032</v>
      </c>
      <c r="E590">
        <v>0.3408876508458626</v>
      </c>
    </row>
    <row r="591" spans="1:5">
      <c r="A591" t="s">
        <v>2222</v>
      </c>
      <c r="B591" t="s">
        <v>6977</v>
      </c>
      <c r="C591" t="s">
        <v>995</v>
      </c>
      <c r="D591" t="s">
        <v>7033</v>
      </c>
      <c r="E591">
        <v>45.51696284023645</v>
      </c>
    </row>
    <row r="592" spans="1:5">
      <c r="A592" t="s">
        <v>2223</v>
      </c>
      <c r="B592" t="s">
        <v>6977</v>
      </c>
      <c r="C592" t="s">
        <v>995</v>
      </c>
      <c r="D592" t="s">
        <v>6985</v>
      </c>
      <c r="E592">
        <v>45.48042350667666</v>
      </c>
    </row>
    <row r="593" spans="1:5">
      <c r="A593" t="s">
        <v>2224</v>
      </c>
      <c r="B593" t="s">
        <v>6977</v>
      </c>
      <c r="C593" t="s">
        <v>995</v>
      </c>
      <c r="D593" t="s">
        <v>7034</v>
      </c>
      <c r="E593">
        <v>0.08170772506978723</v>
      </c>
    </row>
    <row r="594" spans="1:5">
      <c r="A594" t="s">
        <v>2225</v>
      </c>
      <c r="B594" t="s">
        <v>6977</v>
      </c>
      <c r="C594" t="s">
        <v>995</v>
      </c>
      <c r="D594" t="s">
        <v>7035</v>
      </c>
      <c r="E594">
        <v>0.6809643375460481</v>
      </c>
    </row>
    <row r="595" spans="1:5">
      <c r="A595" t="s">
        <v>2226</v>
      </c>
      <c r="B595" t="s">
        <v>6977</v>
      </c>
      <c r="C595" t="s">
        <v>995</v>
      </c>
      <c r="D595" t="s">
        <v>7036</v>
      </c>
      <c r="E595">
        <v>12.89647654932872</v>
      </c>
    </row>
    <row r="596" spans="1:5">
      <c r="A596" t="s">
        <v>2227</v>
      </c>
      <c r="B596" t="s">
        <v>6977</v>
      </c>
      <c r="C596" t="s">
        <v>995</v>
      </c>
      <c r="D596" t="s">
        <v>7037</v>
      </c>
      <c r="E596">
        <v>3.269863646669387</v>
      </c>
    </row>
    <row r="597" spans="1:5">
      <c r="A597" t="s">
        <v>2228</v>
      </c>
      <c r="B597" t="s">
        <v>6977</v>
      </c>
      <c r="C597" t="s">
        <v>995</v>
      </c>
      <c r="D597" t="s">
        <v>6986</v>
      </c>
      <c r="E597">
        <v>14.82811183511949</v>
      </c>
    </row>
    <row r="598" spans="1:5">
      <c r="A598" t="s">
        <v>2229</v>
      </c>
      <c r="B598" t="s">
        <v>6977</v>
      </c>
      <c r="C598" t="s">
        <v>995</v>
      </c>
      <c r="D598" t="s">
        <v>7038</v>
      </c>
      <c r="E598">
        <v>1.741580527222393</v>
      </c>
    </row>
    <row r="599" spans="1:5">
      <c r="A599" t="s">
        <v>2230</v>
      </c>
      <c r="B599" t="s">
        <v>6977</v>
      </c>
      <c r="C599" t="s">
        <v>995</v>
      </c>
      <c r="D599" t="s">
        <v>6987</v>
      </c>
      <c r="E599">
        <v>48.31004844785444</v>
      </c>
    </row>
    <row r="600" spans="1:5">
      <c r="A600" t="s">
        <v>2231</v>
      </c>
      <c r="B600" t="s">
        <v>6977</v>
      </c>
      <c r="C600" t="s">
        <v>995</v>
      </c>
      <c r="D600" t="s">
        <v>7039</v>
      </c>
      <c r="E600">
        <v>5.202511546446444</v>
      </c>
    </row>
    <row r="601" spans="1:5">
      <c r="A601" t="s">
        <v>2232</v>
      </c>
      <c r="B601" t="s">
        <v>6977</v>
      </c>
      <c r="C601" t="s">
        <v>995</v>
      </c>
      <c r="D601" t="s">
        <v>7040</v>
      </c>
      <c r="E601">
        <v>2.338665923278238</v>
      </c>
    </row>
    <row r="602" spans="1:5">
      <c r="A602" t="s">
        <v>2233</v>
      </c>
      <c r="B602" t="s">
        <v>6977</v>
      </c>
      <c r="C602" t="s">
        <v>995</v>
      </c>
      <c r="D602" t="s">
        <v>7041</v>
      </c>
      <c r="E602">
        <v>5.811130478599343</v>
      </c>
    </row>
    <row r="603" spans="1:5">
      <c r="A603" t="s">
        <v>2234</v>
      </c>
      <c r="B603" t="s">
        <v>6977</v>
      </c>
      <c r="C603" t="s">
        <v>995</v>
      </c>
      <c r="D603" t="s">
        <v>7042</v>
      </c>
      <c r="E603">
        <v>20.63436218369982</v>
      </c>
    </row>
    <row r="604" spans="1:5">
      <c r="A604" t="s">
        <v>2235</v>
      </c>
      <c r="B604" t="s">
        <v>6977</v>
      </c>
      <c r="C604" t="s">
        <v>995</v>
      </c>
      <c r="D604" t="s">
        <v>7043</v>
      </c>
      <c r="E604">
        <v>1.963837036579913</v>
      </c>
    </row>
    <row r="605" spans="1:5">
      <c r="A605" t="s">
        <v>2236</v>
      </c>
      <c r="B605" t="s">
        <v>6977</v>
      </c>
      <c r="C605" t="s">
        <v>995</v>
      </c>
      <c r="D605" t="s">
        <v>7044</v>
      </c>
      <c r="E605">
        <v>141.014776080584</v>
      </c>
    </row>
    <row r="606" spans="1:5">
      <c r="A606" t="s">
        <v>2237</v>
      </c>
      <c r="B606" t="s">
        <v>6977</v>
      </c>
      <c r="C606" t="s">
        <v>995</v>
      </c>
      <c r="D606" t="s">
        <v>7045</v>
      </c>
      <c r="E606">
        <v>415.0161608720425</v>
      </c>
    </row>
    <row r="607" spans="1:5">
      <c r="A607" t="s">
        <v>2238</v>
      </c>
      <c r="B607" t="s">
        <v>6977</v>
      </c>
      <c r="C607" t="s">
        <v>995</v>
      </c>
      <c r="D607" t="s">
        <v>7046</v>
      </c>
      <c r="E607">
        <v>48.31006139391796</v>
      </c>
    </row>
    <row r="608" spans="1:5">
      <c r="A608" t="s">
        <v>2239</v>
      </c>
      <c r="B608" t="s">
        <v>6977</v>
      </c>
      <c r="C608" t="s">
        <v>995</v>
      </c>
      <c r="D608" t="s">
        <v>6988</v>
      </c>
      <c r="E608">
        <v>415.017116290634</v>
      </c>
    </row>
    <row r="609" spans="1:5">
      <c r="A609" t="s">
        <v>2240</v>
      </c>
      <c r="B609" t="s">
        <v>6977</v>
      </c>
      <c r="C609" t="s">
        <v>995</v>
      </c>
      <c r="D609" t="s">
        <v>7047</v>
      </c>
      <c r="E609">
        <v>115.9268498381436</v>
      </c>
    </row>
    <row r="610" spans="1:5">
      <c r="A610" t="s">
        <v>2241</v>
      </c>
      <c r="B610" t="s">
        <v>6977</v>
      </c>
      <c r="C610" t="s">
        <v>995</v>
      </c>
      <c r="D610" t="s">
        <v>7048</v>
      </c>
      <c r="E610">
        <v>415.0161608720425</v>
      </c>
    </row>
    <row r="611" spans="1:5">
      <c r="A611" t="s">
        <v>2242</v>
      </c>
      <c r="B611" t="s">
        <v>6977</v>
      </c>
      <c r="C611" t="s">
        <v>995</v>
      </c>
      <c r="D611" t="s">
        <v>7049</v>
      </c>
      <c r="E611">
        <v>27.05985903865292</v>
      </c>
    </row>
    <row r="612" spans="1:5">
      <c r="A612" t="s">
        <v>2243</v>
      </c>
      <c r="B612" t="s">
        <v>6977</v>
      </c>
      <c r="C612" t="s">
        <v>995</v>
      </c>
      <c r="D612" t="s">
        <v>7050</v>
      </c>
      <c r="E612">
        <v>415.0161608720425</v>
      </c>
    </row>
    <row r="613" spans="1:5">
      <c r="A613" t="s">
        <v>2244</v>
      </c>
      <c r="B613" t="s">
        <v>6977</v>
      </c>
      <c r="C613" t="s">
        <v>995</v>
      </c>
      <c r="D613" t="s">
        <v>7051</v>
      </c>
      <c r="E613">
        <v>4.175083700783738</v>
      </c>
    </row>
    <row r="614" spans="1:5">
      <c r="A614" t="s">
        <v>2245</v>
      </c>
      <c r="B614" t="s">
        <v>6977</v>
      </c>
      <c r="C614" t="s">
        <v>995</v>
      </c>
      <c r="D614" t="s">
        <v>7052</v>
      </c>
      <c r="E614">
        <v>0.03532621995512449</v>
      </c>
    </row>
    <row r="615" spans="1:5">
      <c r="A615" t="s">
        <v>2246</v>
      </c>
      <c r="B615" t="s">
        <v>6977</v>
      </c>
      <c r="C615" t="s">
        <v>995</v>
      </c>
      <c r="D615" t="s">
        <v>7053</v>
      </c>
      <c r="E615">
        <v>40.65172772217448</v>
      </c>
    </row>
    <row r="616" spans="1:5">
      <c r="A616" t="s">
        <v>2247</v>
      </c>
      <c r="B616" t="s">
        <v>6977</v>
      </c>
      <c r="C616" t="s">
        <v>995</v>
      </c>
      <c r="D616" t="s">
        <v>7054</v>
      </c>
      <c r="E616">
        <v>1.483538846798317</v>
      </c>
    </row>
    <row r="617" spans="1:5">
      <c r="A617" t="s">
        <v>2248</v>
      </c>
      <c r="B617" t="s">
        <v>6977</v>
      </c>
      <c r="C617" t="s">
        <v>995</v>
      </c>
      <c r="D617" t="s">
        <v>6989</v>
      </c>
      <c r="E617">
        <v>39.51636631577932</v>
      </c>
    </row>
    <row r="618" spans="1:5">
      <c r="A618" t="s">
        <v>2249</v>
      </c>
      <c r="B618" t="s">
        <v>6977</v>
      </c>
      <c r="C618" t="s">
        <v>995</v>
      </c>
      <c r="D618" t="s">
        <v>7055</v>
      </c>
      <c r="E618">
        <v>11.65531795932613</v>
      </c>
    </row>
    <row r="619" spans="1:5">
      <c r="A619" t="s">
        <v>2250</v>
      </c>
      <c r="B619" t="s">
        <v>6977</v>
      </c>
      <c r="C619" t="s">
        <v>995</v>
      </c>
      <c r="D619" t="s">
        <v>7056</v>
      </c>
      <c r="E619">
        <v>47.85340964894817</v>
      </c>
    </row>
    <row r="620" spans="1:5">
      <c r="A620" t="s">
        <v>2251</v>
      </c>
      <c r="B620" t="s">
        <v>6977</v>
      </c>
      <c r="C620" t="s">
        <v>995</v>
      </c>
      <c r="D620" t="s">
        <v>7057</v>
      </c>
      <c r="E620">
        <v>2.370426073207128</v>
      </c>
    </row>
    <row r="621" spans="1:5">
      <c r="A621" t="s">
        <v>2252</v>
      </c>
      <c r="B621" t="s">
        <v>6977</v>
      </c>
      <c r="C621" t="s">
        <v>995</v>
      </c>
      <c r="D621" t="s">
        <v>6990</v>
      </c>
      <c r="E621">
        <v>0.01753244811043867</v>
      </c>
    </row>
    <row r="622" spans="1:5">
      <c r="A622" t="s">
        <v>2253</v>
      </c>
      <c r="B622" t="s">
        <v>6977</v>
      </c>
      <c r="C622" t="s">
        <v>995</v>
      </c>
      <c r="D622" t="s">
        <v>6991</v>
      </c>
      <c r="E622">
        <v>106.5563471024066</v>
      </c>
    </row>
    <row r="623" spans="1:5">
      <c r="A623" t="s">
        <v>2254</v>
      </c>
      <c r="B623" t="s">
        <v>6977</v>
      </c>
      <c r="C623" t="s">
        <v>995</v>
      </c>
      <c r="D623" t="s">
        <v>7058</v>
      </c>
      <c r="E623">
        <v>415.0161608720425</v>
      </c>
    </row>
    <row r="624" spans="1:5">
      <c r="A624" t="s">
        <v>2255</v>
      </c>
      <c r="B624" t="s">
        <v>6977</v>
      </c>
      <c r="C624" t="s">
        <v>995</v>
      </c>
      <c r="D624" t="s">
        <v>6992</v>
      </c>
      <c r="E624">
        <v>3.215209230321738</v>
      </c>
    </row>
    <row r="625" spans="1:5">
      <c r="A625" t="s">
        <v>2256</v>
      </c>
      <c r="B625" t="s">
        <v>6977</v>
      </c>
      <c r="C625" t="s">
        <v>995</v>
      </c>
      <c r="D625" t="s">
        <v>7059</v>
      </c>
      <c r="E625">
        <v>0.2366380983758047</v>
      </c>
    </row>
    <row r="626" spans="1:5">
      <c r="A626" t="s">
        <v>2257</v>
      </c>
      <c r="B626" t="s">
        <v>6977</v>
      </c>
      <c r="C626" t="s">
        <v>995</v>
      </c>
      <c r="D626" t="s">
        <v>7060</v>
      </c>
      <c r="E626">
        <v>0.0002389505239953711</v>
      </c>
    </row>
    <row r="627" spans="1:5">
      <c r="A627" t="s">
        <v>2258</v>
      </c>
      <c r="B627" t="s">
        <v>6977</v>
      </c>
      <c r="C627" t="s">
        <v>995</v>
      </c>
      <c r="D627" t="s">
        <v>6993</v>
      </c>
      <c r="E627">
        <v>2.513923367598686</v>
      </c>
    </row>
    <row r="628" spans="1:5">
      <c r="A628" t="s">
        <v>2259</v>
      </c>
      <c r="B628" t="s">
        <v>6977</v>
      </c>
      <c r="C628" t="s">
        <v>995</v>
      </c>
      <c r="D628" t="s">
        <v>7061</v>
      </c>
      <c r="E628">
        <v>415.0161608720425</v>
      </c>
    </row>
    <row r="629" spans="1:5">
      <c r="A629" t="s">
        <v>2260</v>
      </c>
      <c r="B629" t="s">
        <v>6977</v>
      </c>
      <c r="C629" t="s">
        <v>995</v>
      </c>
      <c r="D629" t="s">
        <v>7062</v>
      </c>
      <c r="E629">
        <v>1.96193487418968</v>
      </c>
    </row>
    <row r="630" spans="1:5">
      <c r="A630" t="s">
        <v>2261</v>
      </c>
      <c r="B630" t="s">
        <v>6977</v>
      </c>
      <c r="C630" t="s">
        <v>995</v>
      </c>
      <c r="D630" t="s">
        <v>7063</v>
      </c>
      <c r="E630">
        <v>436.552196554818</v>
      </c>
    </row>
    <row r="631" spans="1:5">
      <c r="A631" t="s">
        <v>2262</v>
      </c>
      <c r="B631" t="s">
        <v>6977</v>
      </c>
      <c r="C631" t="s">
        <v>995</v>
      </c>
      <c r="D631" t="s">
        <v>6994</v>
      </c>
      <c r="E631">
        <v>1.948844982727106</v>
      </c>
    </row>
    <row r="632" spans="1:5">
      <c r="A632" t="s">
        <v>2263</v>
      </c>
      <c r="B632" t="s">
        <v>6977</v>
      </c>
      <c r="C632" t="s">
        <v>995</v>
      </c>
      <c r="D632" t="s">
        <v>7064</v>
      </c>
      <c r="E632">
        <v>2.393374788052302</v>
      </c>
    </row>
    <row r="633" spans="1:5">
      <c r="A633" t="s">
        <v>2264</v>
      </c>
      <c r="B633" t="s">
        <v>6977</v>
      </c>
      <c r="C633" t="s">
        <v>995</v>
      </c>
      <c r="D633" t="s">
        <v>7065</v>
      </c>
      <c r="E633">
        <v>3.543849649957488</v>
      </c>
    </row>
    <row r="634" spans="1:5">
      <c r="A634" t="s">
        <v>2265</v>
      </c>
      <c r="B634" t="s">
        <v>6977</v>
      </c>
      <c r="C634" t="s">
        <v>995</v>
      </c>
      <c r="D634" t="s">
        <v>7066</v>
      </c>
      <c r="E634">
        <v>0.0768568182991837</v>
      </c>
    </row>
    <row r="635" spans="1:5">
      <c r="A635" t="s">
        <v>2266</v>
      </c>
      <c r="B635" t="s">
        <v>6977</v>
      </c>
      <c r="C635" t="s">
        <v>995</v>
      </c>
      <c r="D635" t="s">
        <v>7067</v>
      </c>
      <c r="E635">
        <v>221.7408536510365</v>
      </c>
    </row>
    <row r="636" spans="1:5">
      <c r="A636" t="s">
        <v>2267</v>
      </c>
      <c r="B636" t="s">
        <v>6977</v>
      </c>
      <c r="C636" t="s">
        <v>995</v>
      </c>
      <c r="D636" t="s">
        <v>7068</v>
      </c>
      <c r="E636">
        <v>0.7328763216694589</v>
      </c>
    </row>
    <row r="637" spans="1:5">
      <c r="A637" t="s">
        <v>2268</v>
      </c>
      <c r="B637" t="s">
        <v>6977</v>
      </c>
      <c r="C637" t="s">
        <v>995</v>
      </c>
      <c r="D637" t="s">
        <v>6995</v>
      </c>
      <c r="E637">
        <v>0.2068528890620019</v>
      </c>
    </row>
    <row r="638" spans="1:5">
      <c r="A638" t="s">
        <v>2269</v>
      </c>
      <c r="B638" t="s">
        <v>6977</v>
      </c>
      <c r="C638" t="s">
        <v>995</v>
      </c>
      <c r="D638" t="s">
        <v>7069</v>
      </c>
      <c r="E638">
        <v>1006.112593167225</v>
      </c>
    </row>
    <row r="639" spans="1:5">
      <c r="A639" t="s">
        <v>2270</v>
      </c>
      <c r="B639" t="s">
        <v>6977</v>
      </c>
      <c r="C639" t="s">
        <v>995</v>
      </c>
      <c r="D639" t="s">
        <v>7070</v>
      </c>
      <c r="E639">
        <v>371.4188594074012</v>
      </c>
    </row>
    <row r="640" spans="1:5">
      <c r="A640" t="s">
        <v>2271</v>
      </c>
      <c r="B640" t="s">
        <v>6977</v>
      </c>
      <c r="C640" t="s">
        <v>995</v>
      </c>
      <c r="D640" t="s">
        <v>7071</v>
      </c>
      <c r="E640">
        <v>0.6615312638251517</v>
      </c>
    </row>
    <row r="641" spans="1:5">
      <c r="A641" t="s">
        <v>2272</v>
      </c>
      <c r="B641" t="s">
        <v>6977</v>
      </c>
      <c r="C641" t="s">
        <v>995</v>
      </c>
      <c r="D641" t="s">
        <v>7072</v>
      </c>
      <c r="E641">
        <v>0.01420392192480694</v>
      </c>
    </row>
    <row r="642" spans="1:5">
      <c r="A642" t="s">
        <v>2273</v>
      </c>
      <c r="B642" t="s">
        <v>6977</v>
      </c>
      <c r="C642" t="s">
        <v>995</v>
      </c>
      <c r="D642" t="s">
        <v>7073</v>
      </c>
      <c r="E642">
        <v>0.003458272994191431</v>
      </c>
    </row>
    <row r="643" spans="1:5">
      <c r="A643" t="s">
        <v>2274</v>
      </c>
      <c r="B643" t="s">
        <v>6977</v>
      </c>
      <c r="C643" t="s">
        <v>995</v>
      </c>
      <c r="D643" t="s">
        <v>7074</v>
      </c>
      <c r="E643">
        <v>0.9449754198524135</v>
      </c>
    </row>
    <row r="644" spans="1:5">
      <c r="A644" t="s">
        <v>2275</v>
      </c>
      <c r="B644" t="s">
        <v>6977</v>
      </c>
      <c r="C644" t="s">
        <v>995</v>
      </c>
      <c r="D644" t="s">
        <v>7075</v>
      </c>
      <c r="E644">
        <v>1.69315177575561</v>
      </c>
    </row>
    <row r="645" spans="1:5">
      <c r="A645" t="s">
        <v>2276</v>
      </c>
      <c r="B645" t="s">
        <v>6977</v>
      </c>
      <c r="C645" t="s">
        <v>995</v>
      </c>
      <c r="D645" t="s">
        <v>7076</v>
      </c>
      <c r="E645">
        <v>18.64650451266268</v>
      </c>
    </row>
    <row r="646" spans="1:5">
      <c r="A646" t="s">
        <v>2277</v>
      </c>
      <c r="B646" t="s">
        <v>6977</v>
      </c>
      <c r="C646" t="s">
        <v>995</v>
      </c>
      <c r="D646" t="s">
        <v>7077</v>
      </c>
      <c r="E646">
        <v>48.86475342072166</v>
      </c>
    </row>
    <row r="647" spans="1:5">
      <c r="A647" t="s">
        <v>2278</v>
      </c>
      <c r="B647" t="s">
        <v>6977</v>
      </c>
      <c r="C647" t="s">
        <v>995</v>
      </c>
      <c r="D647" t="s">
        <v>7078</v>
      </c>
      <c r="E647">
        <v>33.63932331270416</v>
      </c>
    </row>
    <row r="648" spans="1:5">
      <c r="A648" t="s">
        <v>2279</v>
      </c>
      <c r="B648" t="s">
        <v>6977</v>
      </c>
      <c r="C648" t="s">
        <v>995</v>
      </c>
      <c r="D648" t="s">
        <v>7079</v>
      </c>
      <c r="E648">
        <v>17.98214206984633</v>
      </c>
    </row>
    <row r="649" spans="1:5">
      <c r="A649" t="s">
        <v>2280</v>
      </c>
      <c r="B649" t="s">
        <v>6977</v>
      </c>
      <c r="C649" t="s">
        <v>995</v>
      </c>
      <c r="D649" t="s">
        <v>7080</v>
      </c>
      <c r="E649">
        <v>0.07386090643099312</v>
      </c>
    </row>
    <row r="650" spans="1:5">
      <c r="A650" t="s">
        <v>2281</v>
      </c>
      <c r="B650" t="s">
        <v>6977</v>
      </c>
      <c r="C650" t="s">
        <v>995</v>
      </c>
      <c r="D650" t="s">
        <v>7081</v>
      </c>
      <c r="E650">
        <v>5.844143562230021</v>
      </c>
    </row>
    <row r="651" spans="1:5">
      <c r="A651" t="s">
        <v>2282</v>
      </c>
      <c r="B651" t="s">
        <v>6977</v>
      </c>
      <c r="C651" t="s">
        <v>995</v>
      </c>
      <c r="D651" t="s">
        <v>7082</v>
      </c>
      <c r="E651">
        <v>0.1476487680735087</v>
      </c>
    </row>
    <row r="652" spans="1:5">
      <c r="A652" t="s">
        <v>2283</v>
      </c>
      <c r="B652" t="s">
        <v>6977</v>
      </c>
      <c r="C652" t="s">
        <v>995</v>
      </c>
      <c r="D652" t="s">
        <v>7083</v>
      </c>
      <c r="E652">
        <v>0.08705935450238758</v>
      </c>
    </row>
    <row r="653" spans="1:5">
      <c r="A653" t="s">
        <v>2284</v>
      </c>
      <c r="B653" t="s">
        <v>6977</v>
      </c>
      <c r="C653" t="s">
        <v>995</v>
      </c>
      <c r="D653" t="s">
        <v>7084</v>
      </c>
      <c r="E653">
        <v>38.36542125438599</v>
      </c>
    </row>
    <row r="654" spans="1:5">
      <c r="A654" t="s">
        <v>2285</v>
      </c>
      <c r="B654" t="s">
        <v>6977</v>
      </c>
      <c r="C654" t="s">
        <v>995</v>
      </c>
      <c r="D654" t="s">
        <v>7085</v>
      </c>
      <c r="E654">
        <v>7.745346930686901</v>
      </c>
    </row>
    <row r="655" spans="1:5">
      <c r="A655" t="s">
        <v>2286</v>
      </c>
      <c r="B655" t="s">
        <v>6977</v>
      </c>
      <c r="C655" t="s">
        <v>995</v>
      </c>
      <c r="D655" t="s">
        <v>7086</v>
      </c>
      <c r="E655">
        <v>6.557220469666695</v>
      </c>
    </row>
    <row r="656" spans="1:5">
      <c r="A656" t="s">
        <v>2287</v>
      </c>
      <c r="B656" t="s">
        <v>6977</v>
      </c>
      <c r="C656" t="s">
        <v>995</v>
      </c>
      <c r="D656" t="s">
        <v>7087</v>
      </c>
      <c r="E656">
        <v>20.05792964984025</v>
      </c>
    </row>
    <row r="657" spans="1:5">
      <c r="A657" t="s">
        <v>2288</v>
      </c>
      <c r="B657" t="s">
        <v>6977</v>
      </c>
      <c r="C657" t="s">
        <v>995</v>
      </c>
      <c r="D657" t="s">
        <v>7088</v>
      </c>
      <c r="E657">
        <v>0.1776560698739224</v>
      </c>
    </row>
    <row r="658" spans="1:5">
      <c r="A658" t="s">
        <v>2289</v>
      </c>
      <c r="B658" t="s">
        <v>6977</v>
      </c>
      <c r="C658" t="s">
        <v>995</v>
      </c>
      <c r="D658" t="s">
        <v>6996</v>
      </c>
      <c r="E658">
        <v>17.90637021596368</v>
      </c>
    </row>
    <row r="659" spans="1:5">
      <c r="A659" t="s">
        <v>2290</v>
      </c>
      <c r="B659" t="s">
        <v>6977</v>
      </c>
      <c r="C659" t="s">
        <v>995</v>
      </c>
      <c r="D659" t="s">
        <v>6997</v>
      </c>
      <c r="E659">
        <v>77.89564360910572</v>
      </c>
    </row>
    <row r="660" spans="1:5">
      <c r="A660" t="s">
        <v>2291</v>
      </c>
      <c r="B660" t="s">
        <v>6977</v>
      </c>
      <c r="C660" t="s">
        <v>995</v>
      </c>
      <c r="D660" t="s">
        <v>7089</v>
      </c>
      <c r="E660">
        <v>4.84421315120082</v>
      </c>
    </row>
    <row r="661" spans="1:5">
      <c r="A661" t="s">
        <v>2292</v>
      </c>
      <c r="B661" t="s">
        <v>6977</v>
      </c>
      <c r="C661" t="s">
        <v>995</v>
      </c>
      <c r="D661" t="s">
        <v>7090</v>
      </c>
      <c r="E661">
        <v>18.64650451266268</v>
      </c>
    </row>
    <row r="662" spans="1:5">
      <c r="A662" t="s">
        <v>2293</v>
      </c>
      <c r="B662" t="s">
        <v>6977</v>
      </c>
      <c r="C662" t="s">
        <v>995</v>
      </c>
      <c r="D662" t="s">
        <v>7091</v>
      </c>
      <c r="E662">
        <v>0.2275287688488792</v>
      </c>
    </row>
    <row r="663" spans="1:5">
      <c r="A663" t="s">
        <v>2294</v>
      </c>
      <c r="B663" t="s">
        <v>6977</v>
      </c>
      <c r="C663" t="s">
        <v>995</v>
      </c>
      <c r="D663" t="s">
        <v>7092</v>
      </c>
      <c r="E663">
        <v>8.427558873573311</v>
      </c>
    </row>
    <row r="664" spans="1:5">
      <c r="A664" t="s">
        <v>2295</v>
      </c>
      <c r="B664" t="s">
        <v>6977</v>
      </c>
      <c r="C664" t="s">
        <v>995</v>
      </c>
      <c r="D664" t="s">
        <v>6998</v>
      </c>
      <c r="E664">
        <v>33.39481067847726</v>
      </c>
    </row>
    <row r="665" spans="1:5">
      <c r="A665" t="s">
        <v>2296</v>
      </c>
      <c r="B665" t="s">
        <v>6977</v>
      </c>
      <c r="C665" t="s">
        <v>995</v>
      </c>
      <c r="D665" t="s">
        <v>7093</v>
      </c>
      <c r="E665">
        <v>2.009511669035582</v>
      </c>
    </row>
    <row r="666" spans="1:5">
      <c r="A666" t="s">
        <v>2297</v>
      </c>
      <c r="B666" t="s">
        <v>6977</v>
      </c>
      <c r="C666" t="s">
        <v>995</v>
      </c>
      <c r="D666" t="s">
        <v>6999</v>
      </c>
      <c r="E666">
        <v>181.6936035351868</v>
      </c>
    </row>
    <row r="667" spans="1:5">
      <c r="A667" t="s">
        <v>2298</v>
      </c>
      <c r="B667" t="s">
        <v>6977</v>
      </c>
      <c r="C667" t="s">
        <v>995</v>
      </c>
      <c r="D667" t="s">
        <v>7094</v>
      </c>
      <c r="E667">
        <v>804.9875641051402</v>
      </c>
    </row>
    <row r="668" spans="1:5">
      <c r="A668" t="s">
        <v>2299</v>
      </c>
      <c r="B668" t="s">
        <v>6977</v>
      </c>
      <c r="C668" t="s">
        <v>995</v>
      </c>
      <c r="D668" t="s">
        <v>7095</v>
      </c>
      <c r="E668">
        <v>309.5155036097829</v>
      </c>
    </row>
    <row r="669" spans="1:5">
      <c r="A669" t="s">
        <v>2300</v>
      </c>
      <c r="B669" t="s">
        <v>6977</v>
      </c>
      <c r="C669" t="s">
        <v>995</v>
      </c>
      <c r="D669" t="s">
        <v>7096</v>
      </c>
      <c r="E669">
        <v>90.31462447008796</v>
      </c>
    </row>
    <row r="670" spans="1:5">
      <c r="A670" t="s">
        <v>2301</v>
      </c>
      <c r="B670" t="s">
        <v>6977</v>
      </c>
      <c r="C670" t="s">
        <v>995</v>
      </c>
      <c r="D670" t="s">
        <v>7097</v>
      </c>
      <c r="E670">
        <v>71.07114338412337</v>
      </c>
    </row>
    <row r="671" spans="1:5">
      <c r="A671" t="s">
        <v>2302</v>
      </c>
      <c r="B671" t="s">
        <v>6977</v>
      </c>
      <c r="C671" t="s">
        <v>995</v>
      </c>
      <c r="D671" t="s">
        <v>7000</v>
      </c>
      <c r="E671">
        <v>5.01739109089035</v>
      </c>
    </row>
    <row r="672" spans="1:5">
      <c r="A672" t="s">
        <v>2303</v>
      </c>
      <c r="B672" t="s">
        <v>6977</v>
      </c>
      <c r="C672" t="s">
        <v>995</v>
      </c>
      <c r="D672" t="s">
        <v>7098</v>
      </c>
      <c r="E672">
        <v>1.110488927478623</v>
      </c>
    </row>
    <row r="673" spans="1:5">
      <c r="A673" t="s">
        <v>2304</v>
      </c>
      <c r="B673" t="s">
        <v>6977</v>
      </c>
      <c r="C673" t="s">
        <v>995</v>
      </c>
      <c r="D673" t="s">
        <v>7001</v>
      </c>
      <c r="E673">
        <v>84.97795366970996</v>
      </c>
    </row>
    <row r="674" spans="1:5">
      <c r="A674" t="s">
        <v>2305</v>
      </c>
      <c r="B674" t="s">
        <v>6977</v>
      </c>
      <c r="C674" t="s">
        <v>995</v>
      </c>
      <c r="D674" t="s">
        <v>7099</v>
      </c>
      <c r="E674">
        <v>0.05075240535105314</v>
      </c>
    </row>
    <row r="675" spans="1:5">
      <c r="A675" t="s">
        <v>2306</v>
      </c>
      <c r="B675" t="s">
        <v>6977</v>
      </c>
      <c r="C675" t="s">
        <v>995</v>
      </c>
      <c r="D675" t="s">
        <v>7100</v>
      </c>
      <c r="E675">
        <v>85.03170368574509</v>
      </c>
    </row>
    <row r="676" spans="1:5">
      <c r="A676" t="s">
        <v>2307</v>
      </c>
      <c r="B676" t="s">
        <v>6977</v>
      </c>
      <c r="C676" t="s">
        <v>995</v>
      </c>
      <c r="D676" t="s">
        <v>7002</v>
      </c>
      <c r="E676">
        <v>69.20703998961947</v>
      </c>
    </row>
    <row r="677" spans="1:5">
      <c r="A677" t="s">
        <v>2308</v>
      </c>
      <c r="B677" t="s">
        <v>6977</v>
      </c>
      <c r="C677" t="s">
        <v>995</v>
      </c>
      <c r="D677" t="s">
        <v>7101</v>
      </c>
      <c r="E677">
        <v>3.071603186623061</v>
      </c>
    </row>
    <row r="678" spans="1:5">
      <c r="A678" t="s">
        <v>2309</v>
      </c>
      <c r="B678" t="s">
        <v>6977</v>
      </c>
      <c r="C678" t="s">
        <v>995</v>
      </c>
      <c r="D678" t="s">
        <v>7102</v>
      </c>
      <c r="E678">
        <v>4.269065019013806</v>
      </c>
    </row>
    <row r="679" spans="1:5">
      <c r="A679" t="s">
        <v>2310</v>
      </c>
      <c r="B679" t="s">
        <v>6977</v>
      </c>
      <c r="C679" t="s">
        <v>995</v>
      </c>
      <c r="D679" t="s">
        <v>7103</v>
      </c>
      <c r="E679">
        <v>0.2118351780852728</v>
      </c>
    </row>
    <row r="680" spans="1:5">
      <c r="A680" t="s">
        <v>2311</v>
      </c>
      <c r="B680" t="s">
        <v>6977</v>
      </c>
      <c r="C680" t="s">
        <v>995</v>
      </c>
      <c r="D680" t="s">
        <v>7104</v>
      </c>
      <c r="E680">
        <v>82.53745818203629</v>
      </c>
    </row>
    <row r="681" spans="1:5">
      <c r="A681" t="s">
        <v>2312</v>
      </c>
      <c r="B681" t="s">
        <v>6977</v>
      </c>
      <c r="C681" t="s">
        <v>995</v>
      </c>
      <c r="D681" t="s">
        <v>7105</v>
      </c>
      <c r="E681">
        <v>39.06618556571456</v>
      </c>
    </row>
    <row r="682" spans="1:5">
      <c r="A682" t="s">
        <v>2313</v>
      </c>
      <c r="B682" t="s">
        <v>6977</v>
      </c>
      <c r="C682" t="s">
        <v>995</v>
      </c>
      <c r="D682" t="s">
        <v>7106</v>
      </c>
      <c r="E682">
        <v>20.91084697418909</v>
      </c>
    </row>
    <row r="683" spans="1:5">
      <c r="A683" t="s">
        <v>2314</v>
      </c>
      <c r="B683" t="s">
        <v>6977</v>
      </c>
      <c r="C683" t="s">
        <v>995</v>
      </c>
      <c r="D683" t="s">
        <v>7107</v>
      </c>
      <c r="E683">
        <v>0.6937339118577162</v>
      </c>
    </row>
    <row r="684" spans="1:5">
      <c r="A684" t="s">
        <v>2315</v>
      </c>
      <c r="B684" t="s">
        <v>6977</v>
      </c>
      <c r="C684" t="s">
        <v>995</v>
      </c>
      <c r="D684" t="s">
        <v>7003</v>
      </c>
      <c r="E684">
        <v>32.9551616084903</v>
      </c>
    </row>
    <row r="685" spans="1:5">
      <c r="A685" t="s">
        <v>2316</v>
      </c>
      <c r="B685" t="s">
        <v>6977</v>
      </c>
      <c r="C685" t="s">
        <v>995</v>
      </c>
      <c r="D685" t="s">
        <v>7004</v>
      </c>
      <c r="E685">
        <v>242.0427740247674</v>
      </c>
    </row>
    <row r="686" spans="1:5">
      <c r="A686" t="s">
        <v>2317</v>
      </c>
      <c r="B686" t="s">
        <v>6977</v>
      </c>
      <c r="C686" t="s">
        <v>995</v>
      </c>
      <c r="D686" t="s">
        <v>7108</v>
      </c>
      <c r="E686">
        <v>415.0161608720425</v>
      </c>
    </row>
    <row r="687" spans="1:5">
      <c r="A687" t="s">
        <v>2318</v>
      </c>
      <c r="B687" t="s">
        <v>6977</v>
      </c>
      <c r="C687" t="s">
        <v>995</v>
      </c>
      <c r="D687" t="s">
        <v>7109</v>
      </c>
      <c r="E687">
        <v>12.59530682429755</v>
      </c>
    </row>
    <row r="688" spans="1:5">
      <c r="A688" t="s">
        <v>2319</v>
      </c>
      <c r="B688" t="s">
        <v>6977</v>
      </c>
      <c r="C688" t="s">
        <v>995</v>
      </c>
      <c r="D688" t="s">
        <v>7110</v>
      </c>
      <c r="E688">
        <v>0.01259510165374</v>
      </c>
    </row>
    <row r="689" spans="1:5">
      <c r="A689" t="s">
        <v>2320</v>
      </c>
      <c r="B689" t="s">
        <v>6977</v>
      </c>
      <c r="C689" t="s">
        <v>995</v>
      </c>
      <c r="D689" t="s">
        <v>7111</v>
      </c>
      <c r="E689">
        <v>0.5430540975958565</v>
      </c>
    </row>
    <row r="690" spans="1:5">
      <c r="A690" t="s">
        <v>2321</v>
      </c>
      <c r="B690" t="s">
        <v>6977</v>
      </c>
      <c r="C690" t="s">
        <v>995</v>
      </c>
      <c r="D690" t="s">
        <v>7112</v>
      </c>
      <c r="E690">
        <v>8.353122694821202</v>
      </c>
    </row>
    <row r="691" spans="1:5">
      <c r="A691" t="s">
        <v>2322</v>
      </c>
      <c r="B691" t="s">
        <v>6977</v>
      </c>
      <c r="C691" t="s">
        <v>995</v>
      </c>
      <c r="D691" t="s">
        <v>7113</v>
      </c>
      <c r="E691">
        <v>0.06555916476398937</v>
      </c>
    </row>
    <row r="692" spans="1:5">
      <c r="A692" t="s">
        <v>2323</v>
      </c>
      <c r="B692" t="s">
        <v>6977</v>
      </c>
      <c r="C692" t="s">
        <v>995</v>
      </c>
      <c r="D692" t="s">
        <v>7114</v>
      </c>
      <c r="E692">
        <v>14.71638836734694</v>
      </c>
    </row>
    <row r="693" spans="1:5">
      <c r="A693" t="s">
        <v>2324</v>
      </c>
      <c r="B693" t="s">
        <v>6977</v>
      </c>
      <c r="C693" t="s">
        <v>995</v>
      </c>
      <c r="D693" t="s">
        <v>7115</v>
      </c>
      <c r="E693">
        <v>2.761454260028301</v>
      </c>
    </row>
    <row r="694" spans="1:5">
      <c r="A694" t="s">
        <v>2325</v>
      </c>
      <c r="B694" t="s">
        <v>6977</v>
      </c>
      <c r="C694" t="s">
        <v>995</v>
      </c>
      <c r="D694" t="s">
        <v>7116</v>
      </c>
      <c r="E694">
        <v>18.64650451266268</v>
      </c>
    </row>
    <row r="695" spans="1:5">
      <c r="A695" t="s">
        <v>2326</v>
      </c>
      <c r="B695" t="s">
        <v>6977</v>
      </c>
      <c r="C695" t="s">
        <v>995</v>
      </c>
      <c r="D695" t="s">
        <v>7005</v>
      </c>
      <c r="E695">
        <v>9.508575390897594</v>
      </c>
    </row>
    <row r="696" spans="1:5">
      <c r="A696" t="s">
        <v>2327</v>
      </c>
      <c r="B696" t="s">
        <v>6977</v>
      </c>
      <c r="C696" t="s">
        <v>995</v>
      </c>
      <c r="D696" t="s">
        <v>7117</v>
      </c>
      <c r="E696">
        <v>33.2660831679032</v>
      </c>
    </row>
    <row r="697" spans="1:5">
      <c r="A697" t="s">
        <v>2328</v>
      </c>
      <c r="B697" t="s">
        <v>6977</v>
      </c>
      <c r="C697" t="s">
        <v>995</v>
      </c>
      <c r="D697" t="s">
        <v>7118</v>
      </c>
      <c r="E697">
        <v>88.55917855351575</v>
      </c>
    </row>
    <row r="698" spans="1:5">
      <c r="A698" t="s">
        <v>2329</v>
      </c>
      <c r="B698" t="s">
        <v>6977</v>
      </c>
      <c r="C698" t="s">
        <v>995</v>
      </c>
      <c r="D698" t="s">
        <v>7119</v>
      </c>
      <c r="E698">
        <v>106.7368458602678</v>
      </c>
    </row>
    <row r="699" spans="1:5">
      <c r="A699" t="s">
        <v>2330</v>
      </c>
      <c r="B699" t="s">
        <v>6977</v>
      </c>
      <c r="C699" t="s">
        <v>995</v>
      </c>
      <c r="D699" t="s">
        <v>7120</v>
      </c>
      <c r="E699">
        <v>132.5081083008052</v>
      </c>
    </row>
    <row r="700" spans="1:5">
      <c r="A700" t="s">
        <v>2331</v>
      </c>
      <c r="B700" t="s">
        <v>6977</v>
      </c>
      <c r="C700" t="s">
        <v>995</v>
      </c>
      <c r="D700" t="s">
        <v>7006</v>
      </c>
      <c r="E700">
        <v>6.786868143913151</v>
      </c>
    </row>
    <row r="701" spans="1:5">
      <c r="A701" t="s">
        <v>2332</v>
      </c>
      <c r="B701" t="s">
        <v>6977</v>
      </c>
      <c r="C701" t="s">
        <v>995</v>
      </c>
      <c r="D701" t="s">
        <v>7121</v>
      </c>
      <c r="E701">
        <v>43.37586026523226</v>
      </c>
    </row>
    <row r="702" spans="1:5">
      <c r="A702" t="s">
        <v>2333</v>
      </c>
      <c r="B702" t="s">
        <v>6977</v>
      </c>
      <c r="C702" t="s">
        <v>995</v>
      </c>
      <c r="D702" t="s">
        <v>7122</v>
      </c>
      <c r="E702">
        <v>221.7408536510365</v>
      </c>
    </row>
    <row r="703" spans="1:5">
      <c r="A703" t="s">
        <v>2334</v>
      </c>
      <c r="B703" t="s">
        <v>6977</v>
      </c>
      <c r="C703" t="s">
        <v>995</v>
      </c>
      <c r="D703" t="s">
        <v>7123</v>
      </c>
      <c r="E703">
        <v>9.812089145156316</v>
      </c>
    </row>
    <row r="704" spans="1:5">
      <c r="A704" t="s">
        <v>2335</v>
      </c>
      <c r="B704" t="s">
        <v>6977</v>
      </c>
      <c r="C704" t="s">
        <v>995</v>
      </c>
      <c r="D704" t="s">
        <v>7124</v>
      </c>
      <c r="E704">
        <v>0.1198513527829115</v>
      </c>
    </row>
    <row r="705" spans="1:5">
      <c r="A705" t="s">
        <v>2336</v>
      </c>
      <c r="B705" t="s">
        <v>6977</v>
      </c>
      <c r="C705" t="s">
        <v>995</v>
      </c>
      <c r="D705" t="s">
        <v>7125</v>
      </c>
      <c r="E705">
        <v>7.019544974973106</v>
      </c>
    </row>
    <row r="706" spans="1:5">
      <c r="A706" t="s">
        <v>2337</v>
      </c>
      <c r="B706" t="s">
        <v>6977</v>
      </c>
      <c r="C706" t="s">
        <v>995</v>
      </c>
      <c r="D706" t="s">
        <v>7126</v>
      </c>
      <c r="E706">
        <v>0.08330690319044443</v>
      </c>
    </row>
    <row r="707" spans="1:5">
      <c r="A707" t="s">
        <v>2338</v>
      </c>
      <c r="B707" t="s">
        <v>6977</v>
      </c>
      <c r="C707" t="s">
        <v>995</v>
      </c>
      <c r="D707" t="s">
        <v>998</v>
      </c>
      <c r="E707">
        <v>309.5120495011172</v>
      </c>
    </row>
    <row r="708" spans="1:5">
      <c r="A708" t="s">
        <v>2339</v>
      </c>
      <c r="B708" t="s">
        <v>6977</v>
      </c>
      <c r="C708" t="s">
        <v>995</v>
      </c>
      <c r="D708" t="s">
        <v>7127</v>
      </c>
      <c r="E708">
        <v>7.730789192867403</v>
      </c>
    </row>
    <row r="709" spans="1:5">
      <c r="A709" t="s">
        <v>2340</v>
      </c>
      <c r="B709" t="s">
        <v>6977</v>
      </c>
      <c r="C709" t="s">
        <v>995</v>
      </c>
      <c r="D709" t="s">
        <v>7128</v>
      </c>
      <c r="E709">
        <v>0.02592514068096599</v>
      </c>
    </row>
    <row r="710" spans="1:5">
      <c r="A710" t="s">
        <v>2341</v>
      </c>
      <c r="B710" t="s">
        <v>6977</v>
      </c>
      <c r="C710" t="s">
        <v>995</v>
      </c>
      <c r="D710" t="s">
        <v>7129</v>
      </c>
      <c r="E710">
        <v>0.5987361149705345</v>
      </c>
    </row>
    <row r="711" spans="1:5">
      <c r="A711" t="s">
        <v>2342</v>
      </c>
      <c r="B711" t="s">
        <v>6977</v>
      </c>
      <c r="C711" t="s">
        <v>995</v>
      </c>
      <c r="D711" t="s">
        <v>7130</v>
      </c>
      <c r="E711">
        <v>0.01184283161377465</v>
      </c>
    </row>
    <row r="712" spans="1:5">
      <c r="A712" t="s">
        <v>2343</v>
      </c>
      <c r="B712" t="s">
        <v>6977</v>
      </c>
      <c r="C712" t="s">
        <v>995</v>
      </c>
      <c r="D712" t="s">
        <v>7131</v>
      </c>
      <c r="E712">
        <v>2.623177395920353</v>
      </c>
    </row>
    <row r="713" spans="1:5">
      <c r="A713" t="s">
        <v>2344</v>
      </c>
      <c r="B713" t="s">
        <v>6977</v>
      </c>
      <c r="C713" t="s">
        <v>995</v>
      </c>
      <c r="D713" t="s">
        <v>7132</v>
      </c>
      <c r="E713">
        <v>115.294247718987</v>
      </c>
    </row>
    <row r="714" spans="1:5">
      <c r="A714" t="s">
        <v>2345</v>
      </c>
      <c r="B714" t="s">
        <v>6977</v>
      </c>
      <c r="C714" t="s">
        <v>995</v>
      </c>
      <c r="D714" t="s">
        <v>7133</v>
      </c>
      <c r="E714">
        <v>0.5496572412520943</v>
      </c>
    </row>
    <row r="715" spans="1:5">
      <c r="A715" t="s">
        <v>2346</v>
      </c>
      <c r="B715" t="s">
        <v>6977</v>
      </c>
      <c r="C715" t="s">
        <v>995</v>
      </c>
      <c r="D715" t="s">
        <v>7134</v>
      </c>
      <c r="E715">
        <v>114.6353352596525</v>
      </c>
    </row>
    <row r="716" spans="1:5">
      <c r="A716" t="s">
        <v>2347</v>
      </c>
      <c r="B716" t="s">
        <v>6977</v>
      </c>
      <c r="C716" t="s">
        <v>995</v>
      </c>
      <c r="D716" t="s">
        <v>7135</v>
      </c>
      <c r="E716">
        <v>172.9136145339864</v>
      </c>
    </row>
    <row r="717" spans="1:5">
      <c r="A717" t="s">
        <v>2348</v>
      </c>
      <c r="B717" t="s">
        <v>6977</v>
      </c>
      <c r="C717" t="s">
        <v>995</v>
      </c>
      <c r="D717" t="s">
        <v>7136</v>
      </c>
      <c r="E717">
        <v>424.2685971954028</v>
      </c>
    </row>
    <row r="718" spans="1:5">
      <c r="A718" t="s">
        <v>2349</v>
      </c>
      <c r="B718" t="s">
        <v>6977</v>
      </c>
      <c r="C718" t="s">
        <v>995</v>
      </c>
      <c r="D718" t="s">
        <v>7137</v>
      </c>
      <c r="E718">
        <v>0.5496572412520943</v>
      </c>
    </row>
    <row r="719" spans="1:5">
      <c r="A719" t="s">
        <v>2350</v>
      </c>
      <c r="B719" t="s">
        <v>6977</v>
      </c>
      <c r="C719" t="s">
        <v>995</v>
      </c>
      <c r="D719" t="s">
        <v>7138</v>
      </c>
      <c r="E719">
        <v>3.021415169443234</v>
      </c>
    </row>
    <row r="720" spans="1:5">
      <c r="A720" t="s">
        <v>2351</v>
      </c>
      <c r="B720" t="s">
        <v>6977</v>
      </c>
      <c r="C720" t="s">
        <v>995</v>
      </c>
      <c r="D720" t="s">
        <v>7139</v>
      </c>
      <c r="E720">
        <v>1.299820714540836</v>
      </c>
    </row>
    <row r="721" spans="1:5">
      <c r="A721" t="s">
        <v>2352</v>
      </c>
      <c r="B721" t="s">
        <v>6977</v>
      </c>
      <c r="C721" t="s">
        <v>995</v>
      </c>
      <c r="D721" t="s">
        <v>7007</v>
      </c>
      <c r="E721">
        <v>18.64926291626074</v>
      </c>
    </row>
    <row r="722" spans="1:5">
      <c r="A722" t="s">
        <v>2353</v>
      </c>
      <c r="B722" t="s">
        <v>6977</v>
      </c>
      <c r="C722" t="s">
        <v>995</v>
      </c>
      <c r="D722" t="s">
        <v>7140</v>
      </c>
      <c r="E722">
        <v>16.37616183168065</v>
      </c>
    </row>
    <row r="723" spans="1:5">
      <c r="A723" t="s">
        <v>2354</v>
      </c>
      <c r="B723" t="s">
        <v>6977</v>
      </c>
      <c r="C723" t="s">
        <v>995</v>
      </c>
      <c r="D723" t="s">
        <v>7141</v>
      </c>
      <c r="E723">
        <v>11.97109799624815</v>
      </c>
    </row>
    <row r="724" spans="1:5">
      <c r="A724" t="s">
        <v>2355</v>
      </c>
      <c r="B724" t="s">
        <v>6977</v>
      </c>
      <c r="C724" t="s">
        <v>995</v>
      </c>
      <c r="D724" t="s">
        <v>7142</v>
      </c>
      <c r="E724">
        <v>11.97109799624815</v>
      </c>
    </row>
    <row r="725" spans="1:5">
      <c r="A725" t="s">
        <v>2191</v>
      </c>
      <c r="B725" t="s">
        <v>6977</v>
      </c>
      <c r="C725" t="s">
        <v>995</v>
      </c>
      <c r="D725" t="s">
        <v>996</v>
      </c>
      <c r="E725">
        <v>360.551515</v>
      </c>
    </row>
    <row r="726" spans="1:5">
      <c r="A726" t="s">
        <v>2356</v>
      </c>
      <c r="B726" t="s">
        <v>953</v>
      </c>
      <c r="C726" t="s">
        <v>995</v>
      </c>
      <c r="D726" t="s">
        <v>996</v>
      </c>
      <c r="E726">
        <v>360.35444</v>
      </c>
    </row>
    <row r="727" spans="1:5">
      <c r="A727" t="s">
        <v>2357</v>
      </c>
      <c r="B727" t="s">
        <v>953</v>
      </c>
      <c r="C727" t="s">
        <v>995</v>
      </c>
      <c r="D727" t="s">
        <v>7008</v>
      </c>
      <c r="E727">
        <v>84.50221107681716</v>
      </c>
    </row>
    <row r="728" spans="1:5">
      <c r="A728" t="s">
        <v>2358</v>
      </c>
      <c r="B728" t="s">
        <v>953</v>
      </c>
      <c r="C728" t="s">
        <v>995</v>
      </c>
      <c r="D728" t="s">
        <v>7009</v>
      </c>
      <c r="E728">
        <v>4.911976114418368</v>
      </c>
    </row>
    <row r="729" spans="1:5">
      <c r="A729" t="s">
        <v>2359</v>
      </c>
      <c r="B729" t="s">
        <v>953</v>
      </c>
      <c r="C729" t="s">
        <v>995</v>
      </c>
      <c r="D729" t="s">
        <v>7010</v>
      </c>
      <c r="E729">
        <v>3.776382635749511</v>
      </c>
    </row>
    <row r="730" spans="1:5">
      <c r="A730" t="s">
        <v>2360</v>
      </c>
      <c r="B730" t="s">
        <v>953</v>
      </c>
      <c r="C730" t="s">
        <v>995</v>
      </c>
      <c r="D730" t="s">
        <v>7011</v>
      </c>
      <c r="E730">
        <v>0.8438050924497975</v>
      </c>
    </row>
    <row r="731" spans="1:5">
      <c r="A731" t="s">
        <v>2361</v>
      </c>
      <c r="B731" t="s">
        <v>953</v>
      </c>
      <c r="C731" t="s">
        <v>995</v>
      </c>
      <c r="D731" t="s">
        <v>7012</v>
      </c>
      <c r="E731">
        <v>173.3711873001577</v>
      </c>
    </row>
    <row r="732" spans="1:5">
      <c r="A732" t="s">
        <v>2362</v>
      </c>
      <c r="B732" t="s">
        <v>953</v>
      </c>
      <c r="C732" t="s">
        <v>995</v>
      </c>
      <c r="D732" t="s">
        <v>7013</v>
      </c>
      <c r="E732">
        <v>0.3301516394503108</v>
      </c>
    </row>
    <row r="733" spans="1:5">
      <c r="A733" t="s">
        <v>2363</v>
      </c>
      <c r="B733" t="s">
        <v>953</v>
      </c>
      <c r="C733" t="s">
        <v>995</v>
      </c>
      <c r="D733" t="s">
        <v>7014</v>
      </c>
      <c r="E733">
        <v>0.2218520767016889</v>
      </c>
    </row>
    <row r="734" spans="1:5">
      <c r="A734" t="s">
        <v>2364</v>
      </c>
      <c r="B734" t="s">
        <v>953</v>
      </c>
      <c r="C734" t="s">
        <v>995</v>
      </c>
      <c r="D734" t="s">
        <v>6981</v>
      </c>
      <c r="E734">
        <v>221.4705067116383</v>
      </c>
    </row>
    <row r="735" spans="1:5">
      <c r="A735" t="s">
        <v>2365</v>
      </c>
      <c r="B735" t="s">
        <v>953</v>
      </c>
      <c r="C735" t="s">
        <v>995</v>
      </c>
      <c r="D735" t="s">
        <v>7015</v>
      </c>
      <c r="E735">
        <v>173.3711873001577</v>
      </c>
    </row>
    <row r="736" spans="1:5">
      <c r="A736" t="s">
        <v>2366</v>
      </c>
      <c r="B736" t="s">
        <v>953</v>
      </c>
      <c r="C736" t="s">
        <v>995</v>
      </c>
      <c r="D736" t="s">
        <v>7016</v>
      </c>
      <c r="E736">
        <v>182.8480819327923</v>
      </c>
    </row>
    <row r="737" spans="1:5">
      <c r="A737" t="s">
        <v>2367</v>
      </c>
      <c r="B737" t="s">
        <v>953</v>
      </c>
      <c r="C737" t="s">
        <v>995</v>
      </c>
      <c r="D737" t="s">
        <v>7017</v>
      </c>
      <c r="E737">
        <v>184.2462995250098</v>
      </c>
    </row>
    <row r="738" spans="1:5">
      <c r="A738" t="s">
        <v>2368</v>
      </c>
      <c r="B738" t="s">
        <v>953</v>
      </c>
      <c r="C738" t="s">
        <v>995</v>
      </c>
      <c r="D738" t="s">
        <v>7018</v>
      </c>
      <c r="E738">
        <v>155.1672133801707</v>
      </c>
    </row>
    <row r="739" spans="1:5">
      <c r="A739" t="s">
        <v>2369</v>
      </c>
      <c r="B739" t="s">
        <v>953</v>
      </c>
      <c r="C739" t="s">
        <v>995</v>
      </c>
      <c r="D739" t="s">
        <v>7019</v>
      </c>
      <c r="E739">
        <v>2.526478709576812</v>
      </c>
    </row>
    <row r="740" spans="1:5">
      <c r="A740" t="s">
        <v>2370</v>
      </c>
      <c r="B740" t="s">
        <v>953</v>
      </c>
      <c r="C740" t="s">
        <v>995</v>
      </c>
      <c r="D740" t="s">
        <v>997</v>
      </c>
      <c r="E740">
        <v>184.2462995250098</v>
      </c>
    </row>
    <row r="741" spans="1:5">
      <c r="A741" t="s">
        <v>2371</v>
      </c>
      <c r="B741" t="s">
        <v>953</v>
      </c>
      <c r="C741" t="s">
        <v>995</v>
      </c>
      <c r="D741" t="s">
        <v>7020</v>
      </c>
      <c r="E741">
        <v>825.3576238422003</v>
      </c>
    </row>
    <row r="742" spans="1:5">
      <c r="A742" t="s">
        <v>2372</v>
      </c>
      <c r="B742" t="s">
        <v>953</v>
      </c>
      <c r="C742" t="s">
        <v>995</v>
      </c>
      <c r="D742" t="s">
        <v>7021</v>
      </c>
      <c r="E742">
        <v>0.1040885210817435</v>
      </c>
    </row>
    <row r="743" spans="1:5">
      <c r="A743" t="s">
        <v>2373</v>
      </c>
      <c r="B743" t="s">
        <v>953</v>
      </c>
      <c r="C743" t="s">
        <v>995</v>
      </c>
      <c r="D743" t="s">
        <v>7022</v>
      </c>
      <c r="E743">
        <v>310.3344267603414</v>
      </c>
    </row>
    <row r="744" spans="1:5">
      <c r="A744" t="s">
        <v>2374</v>
      </c>
      <c r="B744" t="s">
        <v>953</v>
      </c>
      <c r="C744" t="s">
        <v>995</v>
      </c>
      <c r="D744" t="s">
        <v>7023</v>
      </c>
      <c r="E744">
        <v>242.5675289986968</v>
      </c>
    </row>
    <row r="745" spans="1:5">
      <c r="A745" t="s">
        <v>2375</v>
      </c>
      <c r="B745" t="s">
        <v>953</v>
      </c>
      <c r="C745" t="s">
        <v>995</v>
      </c>
      <c r="D745" t="s">
        <v>7024</v>
      </c>
      <c r="E745">
        <v>44.91093636061012</v>
      </c>
    </row>
    <row r="746" spans="1:5">
      <c r="A746" t="s">
        <v>2376</v>
      </c>
      <c r="B746" t="s">
        <v>953</v>
      </c>
      <c r="C746" t="s">
        <v>995</v>
      </c>
      <c r="D746" t="s">
        <v>6982</v>
      </c>
      <c r="E746">
        <v>61.71544384477597</v>
      </c>
    </row>
    <row r="747" spans="1:5">
      <c r="A747" t="s">
        <v>2377</v>
      </c>
      <c r="B747" t="s">
        <v>953</v>
      </c>
      <c r="C747" t="s">
        <v>995</v>
      </c>
      <c r="D747" t="s">
        <v>7025</v>
      </c>
      <c r="E747">
        <v>310.3344267603414</v>
      </c>
    </row>
    <row r="748" spans="1:5">
      <c r="A748" t="s">
        <v>2378</v>
      </c>
      <c r="B748" t="s">
        <v>953</v>
      </c>
      <c r="C748" t="s">
        <v>995</v>
      </c>
      <c r="D748" t="s">
        <v>7026</v>
      </c>
      <c r="E748">
        <v>3.205373796550854</v>
      </c>
    </row>
    <row r="749" spans="1:5">
      <c r="A749" t="s">
        <v>2379</v>
      </c>
      <c r="B749" t="s">
        <v>953</v>
      </c>
      <c r="C749" t="s">
        <v>995</v>
      </c>
      <c r="D749" t="s">
        <v>7027</v>
      </c>
      <c r="E749">
        <v>22.00155178174046</v>
      </c>
    </row>
    <row r="750" spans="1:5">
      <c r="A750" t="s">
        <v>2380</v>
      </c>
      <c r="B750" t="s">
        <v>953</v>
      </c>
      <c r="C750" t="s">
        <v>995</v>
      </c>
      <c r="D750" t="s">
        <v>7028</v>
      </c>
      <c r="E750">
        <v>113.4608323297203</v>
      </c>
    </row>
    <row r="751" spans="1:5">
      <c r="A751" t="s">
        <v>2381</v>
      </c>
      <c r="B751" t="s">
        <v>953</v>
      </c>
      <c r="C751" t="s">
        <v>995</v>
      </c>
      <c r="D751" t="s">
        <v>7029</v>
      </c>
      <c r="E751">
        <v>155.1672133801707</v>
      </c>
    </row>
    <row r="752" spans="1:5">
      <c r="A752" t="s">
        <v>2382</v>
      </c>
      <c r="B752" t="s">
        <v>953</v>
      </c>
      <c r="C752" t="s">
        <v>995</v>
      </c>
      <c r="D752" t="s">
        <v>6983</v>
      </c>
      <c r="E752">
        <v>225.5872583425879</v>
      </c>
    </row>
    <row r="753" spans="1:5">
      <c r="A753" t="s">
        <v>2383</v>
      </c>
      <c r="B753" t="s">
        <v>953</v>
      </c>
      <c r="C753" t="s">
        <v>995</v>
      </c>
      <c r="D753" t="s">
        <v>7030</v>
      </c>
      <c r="E753">
        <v>0.1356466513940545</v>
      </c>
    </row>
    <row r="754" spans="1:5">
      <c r="A754" t="s">
        <v>2384</v>
      </c>
      <c r="B754" t="s">
        <v>953</v>
      </c>
      <c r="C754" t="s">
        <v>995</v>
      </c>
      <c r="D754" t="s">
        <v>6984</v>
      </c>
      <c r="E754">
        <v>393.5916832868406</v>
      </c>
    </row>
    <row r="755" spans="1:5">
      <c r="A755" t="s">
        <v>2385</v>
      </c>
      <c r="B755" t="s">
        <v>953</v>
      </c>
      <c r="C755" t="s">
        <v>995</v>
      </c>
      <c r="D755" t="s">
        <v>7031</v>
      </c>
      <c r="E755">
        <v>13544.61341853035</v>
      </c>
    </row>
    <row r="756" spans="1:5">
      <c r="A756" t="s">
        <v>2386</v>
      </c>
      <c r="B756" t="s">
        <v>953</v>
      </c>
      <c r="C756" t="s">
        <v>995</v>
      </c>
      <c r="D756" t="s">
        <v>7032</v>
      </c>
      <c r="E756">
        <v>0.3426776928931694</v>
      </c>
    </row>
    <row r="757" spans="1:5">
      <c r="A757" t="s">
        <v>2387</v>
      </c>
      <c r="B757" t="s">
        <v>953</v>
      </c>
      <c r="C757" t="s">
        <v>995</v>
      </c>
      <c r="D757" t="s">
        <v>7033</v>
      </c>
      <c r="E757">
        <v>45.60403755595237</v>
      </c>
    </row>
    <row r="758" spans="1:5">
      <c r="A758" t="s">
        <v>2388</v>
      </c>
      <c r="B758" t="s">
        <v>953</v>
      </c>
      <c r="C758" t="s">
        <v>995</v>
      </c>
      <c r="D758" t="s">
        <v>6985</v>
      </c>
      <c r="E758">
        <v>45.57000052606873</v>
      </c>
    </row>
    <row r="759" spans="1:5">
      <c r="A759" t="s">
        <v>2389</v>
      </c>
      <c r="B759" t="s">
        <v>953</v>
      </c>
      <c r="C759" t="s">
        <v>995</v>
      </c>
      <c r="D759" t="s">
        <v>7034</v>
      </c>
      <c r="E759">
        <v>0.08204587973791362</v>
      </c>
    </row>
    <row r="760" spans="1:5">
      <c r="A760" t="s">
        <v>2390</v>
      </c>
      <c r="B760" t="s">
        <v>953</v>
      </c>
      <c r="C760" t="s">
        <v>995</v>
      </c>
      <c r="D760" t="s">
        <v>7035</v>
      </c>
      <c r="E760">
        <v>0.6868639788924183</v>
      </c>
    </row>
    <row r="761" spans="1:5">
      <c r="A761" t="s">
        <v>2391</v>
      </c>
      <c r="B761" t="s">
        <v>953</v>
      </c>
      <c r="C761" t="s">
        <v>995</v>
      </c>
      <c r="D761" t="s">
        <v>7036</v>
      </c>
      <c r="E761">
        <v>12.93059833108168</v>
      </c>
    </row>
    <row r="762" spans="1:5">
      <c r="A762" t="s">
        <v>2392</v>
      </c>
      <c r="B762" t="s">
        <v>953</v>
      </c>
      <c r="C762" t="s">
        <v>995</v>
      </c>
      <c r="D762" t="s">
        <v>7037</v>
      </c>
      <c r="E762">
        <v>3.268076361492767</v>
      </c>
    </row>
    <row r="763" spans="1:5">
      <c r="A763" t="s">
        <v>2393</v>
      </c>
      <c r="B763" t="s">
        <v>953</v>
      </c>
      <c r="C763" t="s">
        <v>995</v>
      </c>
      <c r="D763" t="s">
        <v>6986</v>
      </c>
      <c r="E763">
        <v>14.82127047179469</v>
      </c>
    </row>
    <row r="764" spans="1:5">
      <c r="A764" t="s">
        <v>2394</v>
      </c>
      <c r="B764" t="s">
        <v>953</v>
      </c>
      <c r="C764" t="s">
        <v>995</v>
      </c>
      <c r="D764" t="s">
        <v>7038</v>
      </c>
      <c r="E764">
        <v>1.746188471516463</v>
      </c>
    </row>
    <row r="765" spans="1:5">
      <c r="A765" t="s">
        <v>2395</v>
      </c>
      <c r="B765" t="s">
        <v>953</v>
      </c>
      <c r="C765" t="s">
        <v>995</v>
      </c>
      <c r="D765" t="s">
        <v>6987</v>
      </c>
      <c r="E765">
        <v>48.28379130350427</v>
      </c>
    </row>
    <row r="766" spans="1:5">
      <c r="A766" t="s">
        <v>2396</v>
      </c>
      <c r="B766" t="s">
        <v>953</v>
      </c>
      <c r="C766" t="s">
        <v>995</v>
      </c>
      <c r="D766" t="s">
        <v>7039</v>
      </c>
      <c r="E766">
        <v>5.283269017576832</v>
      </c>
    </row>
    <row r="767" spans="1:5">
      <c r="A767" t="s">
        <v>2397</v>
      </c>
      <c r="B767" t="s">
        <v>953</v>
      </c>
      <c r="C767" t="s">
        <v>995</v>
      </c>
      <c r="D767" t="s">
        <v>7040</v>
      </c>
      <c r="E767">
        <v>2.343111181300628</v>
      </c>
    </row>
    <row r="768" spans="1:5">
      <c r="A768" t="s">
        <v>2398</v>
      </c>
      <c r="B768" t="s">
        <v>953</v>
      </c>
      <c r="C768" t="s">
        <v>995</v>
      </c>
      <c r="D768" t="s">
        <v>7041</v>
      </c>
      <c r="E768">
        <v>5.826137774019519</v>
      </c>
    </row>
    <row r="769" spans="1:5">
      <c r="A769" t="s">
        <v>2399</v>
      </c>
      <c r="B769" t="s">
        <v>953</v>
      </c>
      <c r="C769" t="s">
        <v>995</v>
      </c>
      <c r="D769" t="s">
        <v>7042</v>
      </c>
      <c r="E769">
        <v>20.68895703277794</v>
      </c>
    </row>
    <row r="770" spans="1:5">
      <c r="A770" t="s">
        <v>2400</v>
      </c>
      <c r="B770" t="s">
        <v>953</v>
      </c>
      <c r="C770" t="s">
        <v>995</v>
      </c>
      <c r="D770" t="s">
        <v>7043</v>
      </c>
      <c r="E770">
        <v>1.957324985717163</v>
      </c>
    </row>
    <row r="771" spans="1:5">
      <c r="A771" t="s">
        <v>2401</v>
      </c>
      <c r="B771" t="s">
        <v>953</v>
      </c>
      <c r="C771" t="s">
        <v>995</v>
      </c>
      <c r="D771" t="s">
        <v>7044</v>
      </c>
      <c r="E771">
        <v>141.0550403412053</v>
      </c>
    </row>
    <row r="772" spans="1:5">
      <c r="A772" t="s">
        <v>2402</v>
      </c>
      <c r="B772" t="s">
        <v>953</v>
      </c>
      <c r="C772" t="s">
        <v>995</v>
      </c>
      <c r="D772" t="s">
        <v>7045</v>
      </c>
      <c r="E772">
        <v>416.438744331603</v>
      </c>
    </row>
    <row r="773" spans="1:5">
      <c r="A773" t="s">
        <v>2403</v>
      </c>
      <c r="B773" t="s">
        <v>953</v>
      </c>
      <c r="C773" t="s">
        <v>995</v>
      </c>
      <c r="D773" t="s">
        <v>7046</v>
      </c>
      <c r="E773">
        <v>48.28379777303692</v>
      </c>
    </row>
    <row r="774" spans="1:5">
      <c r="A774" t="s">
        <v>2404</v>
      </c>
      <c r="B774" t="s">
        <v>953</v>
      </c>
      <c r="C774" t="s">
        <v>995</v>
      </c>
      <c r="D774" t="s">
        <v>6988</v>
      </c>
      <c r="E774">
        <v>416.4382630803456</v>
      </c>
    </row>
    <row r="775" spans="1:5">
      <c r="A775" t="s">
        <v>2405</v>
      </c>
      <c r="B775" t="s">
        <v>953</v>
      </c>
      <c r="C775" t="s">
        <v>995</v>
      </c>
      <c r="D775" t="s">
        <v>7047</v>
      </c>
      <c r="E775">
        <v>116.2199363031647</v>
      </c>
    </row>
    <row r="776" spans="1:5">
      <c r="A776" t="s">
        <v>2406</v>
      </c>
      <c r="B776" t="s">
        <v>953</v>
      </c>
      <c r="C776" t="s">
        <v>995</v>
      </c>
      <c r="D776" t="s">
        <v>7048</v>
      </c>
      <c r="E776">
        <v>416.438744331603</v>
      </c>
    </row>
    <row r="777" spans="1:5">
      <c r="A777" t="s">
        <v>2407</v>
      </c>
      <c r="B777" t="s">
        <v>953</v>
      </c>
      <c r="C777" t="s">
        <v>995</v>
      </c>
      <c r="D777" t="s">
        <v>7049</v>
      </c>
      <c r="E777">
        <v>26.97609454145621</v>
      </c>
    </row>
    <row r="778" spans="1:5">
      <c r="A778" t="s">
        <v>2408</v>
      </c>
      <c r="B778" t="s">
        <v>953</v>
      </c>
      <c r="C778" t="s">
        <v>995</v>
      </c>
      <c r="D778" t="s">
        <v>7050</v>
      </c>
      <c r="E778">
        <v>416.438744331603</v>
      </c>
    </row>
    <row r="779" spans="1:5">
      <c r="A779" t="s">
        <v>2409</v>
      </c>
      <c r="B779" t="s">
        <v>953</v>
      </c>
      <c r="C779" t="s">
        <v>995</v>
      </c>
      <c r="D779" t="s">
        <v>7051</v>
      </c>
      <c r="E779">
        <v>4.187651809949725</v>
      </c>
    </row>
    <row r="780" spans="1:5">
      <c r="A780" t="s">
        <v>2410</v>
      </c>
      <c r="B780" t="s">
        <v>953</v>
      </c>
      <c r="C780" t="s">
        <v>995</v>
      </c>
      <c r="D780" t="s">
        <v>7052</v>
      </c>
      <c r="E780">
        <v>0.03544529930055028</v>
      </c>
    </row>
    <row r="781" spans="1:5">
      <c r="A781" t="s">
        <v>2411</v>
      </c>
      <c r="B781" t="s">
        <v>953</v>
      </c>
      <c r="C781" t="s">
        <v>995</v>
      </c>
      <c r="D781" t="s">
        <v>7053</v>
      </c>
      <c r="E781">
        <v>40.79169899436429</v>
      </c>
    </row>
    <row r="782" spans="1:5">
      <c r="A782" t="s">
        <v>2412</v>
      </c>
      <c r="B782" t="s">
        <v>953</v>
      </c>
      <c r="C782" t="s">
        <v>995</v>
      </c>
      <c r="D782" t="s">
        <v>7054</v>
      </c>
      <c r="E782">
        <v>1.485027144342163</v>
      </c>
    </row>
    <row r="783" spans="1:5">
      <c r="A783" t="s">
        <v>2413</v>
      </c>
      <c r="B783" t="s">
        <v>953</v>
      </c>
      <c r="C783" t="s">
        <v>995</v>
      </c>
      <c r="D783" t="s">
        <v>6989</v>
      </c>
      <c r="E783">
        <v>39.61859750023858</v>
      </c>
    </row>
    <row r="784" spans="1:5">
      <c r="A784" t="s">
        <v>2414</v>
      </c>
      <c r="B784" t="s">
        <v>953</v>
      </c>
      <c r="C784" t="s">
        <v>995</v>
      </c>
      <c r="D784" t="s">
        <v>7055</v>
      </c>
      <c r="E784">
        <v>11.68913037801634</v>
      </c>
    </row>
    <row r="785" spans="1:5">
      <c r="A785" t="s">
        <v>2415</v>
      </c>
      <c r="B785" t="s">
        <v>953</v>
      </c>
      <c r="C785" t="s">
        <v>995</v>
      </c>
      <c r="D785" t="s">
        <v>7056</v>
      </c>
      <c r="E785">
        <v>47.82725330147986</v>
      </c>
    </row>
    <row r="786" spans="1:5">
      <c r="A786" t="s">
        <v>2416</v>
      </c>
      <c r="B786" t="s">
        <v>953</v>
      </c>
      <c r="C786" t="s">
        <v>995</v>
      </c>
      <c r="D786" t="s">
        <v>7057</v>
      </c>
      <c r="E786">
        <v>2.372804105833568</v>
      </c>
    </row>
    <row r="787" spans="1:5">
      <c r="A787" t="s">
        <v>2417</v>
      </c>
      <c r="B787" t="s">
        <v>953</v>
      </c>
      <c r="C787" t="s">
        <v>995</v>
      </c>
      <c r="D787" t="s">
        <v>6990</v>
      </c>
      <c r="E787">
        <v>0.01759288074507526</v>
      </c>
    </row>
    <row r="788" spans="1:5">
      <c r="A788" t="s">
        <v>2418</v>
      </c>
      <c r="B788" t="s">
        <v>953</v>
      </c>
      <c r="C788" t="s">
        <v>995</v>
      </c>
      <c r="D788" t="s">
        <v>6991</v>
      </c>
      <c r="E788">
        <v>106.6093554140821</v>
      </c>
    </row>
    <row r="789" spans="1:5">
      <c r="A789" t="s">
        <v>2419</v>
      </c>
      <c r="B789" t="s">
        <v>953</v>
      </c>
      <c r="C789" t="s">
        <v>995</v>
      </c>
      <c r="D789" t="s">
        <v>7058</v>
      </c>
      <c r="E789">
        <v>416.438744331603</v>
      </c>
    </row>
    <row r="790" spans="1:5">
      <c r="A790" t="s">
        <v>2420</v>
      </c>
      <c r="B790" t="s">
        <v>953</v>
      </c>
      <c r="C790" t="s">
        <v>995</v>
      </c>
      <c r="D790" t="s">
        <v>6992</v>
      </c>
      <c r="E790">
        <v>3.205370432139897</v>
      </c>
    </row>
    <row r="791" spans="1:5">
      <c r="A791" t="s">
        <v>2421</v>
      </c>
      <c r="B791" t="s">
        <v>953</v>
      </c>
      <c r="C791" t="s">
        <v>995</v>
      </c>
      <c r="D791" t="s">
        <v>7059</v>
      </c>
      <c r="E791">
        <v>0.2368754957459233</v>
      </c>
    </row>
    <row r="792" spans="1:5">
      <c r="A792" t="s">
        <v>2422</v>
      </c>
      <c r="B792" t="s">
        <v>953</v>
      </c>
      <c r="C792" t="s">
        <v>995</v>
      </c>
      <c r="D792" t="s">
        <v>7060</v>
      </c>
      <c r="E792">
        <v>0.0002358869633286074</v>
      </c>
    </row>
    <row r="793" spans="1:5">
      <c r="A793" t="s">
        <v>2423</v>
      </c>
      <c r="B793" t="s">
        <v>953</v>
      </c>
      <c r="C793" t="s">
        <v>995</v>
      </c>
      <c r="D793" t="s">
        <v>6993</v>
      </c>
      <c r="E793">
        <v>2.512874443925729</v>
      </c>
    </row>
    <row r="794" spans="1:5">
      <c r="A794" t="s">
        <v>2424</v>
      </c>
      <c r="B794" t="s">
        <v>953</v>
      </c>
      <c r="C794" t="s">
        <v>995</v>
      </c>
      <c r="D794" t="s">
        <v>7061</v>
      </c>
      <c r="E794">
        <v>416.438744331603</v>
      </c>
    </row>
    <row r="795" spans="1:5">
      <c r="A795" t="s">
        <v>2425</v>
      </c>
      <c r="B795" t="s">
        <v>953</v>
      </c>
      <c r="C795" t="s">
        <v>995</v>
      </c>
      <c r="D795" t="s">
        <v>7062</v>
      </c>
      <c r="E795">
        <v>1.969551184905598</v>
      </c>
    </row>
    <row r="796" spans="1:5">
      <c r="A796" t="s">
        <v>2426</v>
      </c>
      <c r="B796" t="s">
        <v>953</v>
      </c>
      <c r="C796" t="s">
        <v>995</v>
      </c>
      <c r="D796" t="s">
        <v>7063</v>
      </c>
      <c r="E796">
        <v>437.7068742271748</v>
      </c>
    </row>
    <row r="797" spans="1:5">
      <c r="A797" t="s">
        <v>2427</v>
      </c>
      <c r="B797" t="s">
        <v>953</v>
      </c>
      <c r="C797" t="s">
        <v>995</v>
      </c>
      <c r="D797" t="s">
        <v>6994</v>
      </c>
      <c r="E797">
        <v>1.951897877311348</v>
      </c>
    </row>
    <row r="798" spans="1:5">
      <c r="A798" t="s">
        <v>2428</v>
      </c>
      <c r="B798" t="s">
        <v>953</v>
      </c>
      <c r="C798" t="s">
        <v>995</v>
      </c>
      <c r="D798" t="s">
        <v>7064</v>
      </c>
      <c r="E798">
        <v>2.400461783603798</v>
      </c>
    </row>
    <row r="799" spans="1:5">
      <c r="A799" t="s">
        <v>2429</v>
      </c>
      <c r="B799" t="s">
        <v>953</v>
      </c>
      <c r="C799" t="s">
        <v>995</v>
      </c>
      <c r="D799" t="s">
        <v>7065</v>
      </c>
      <c r="E799">
        <v>3.550275953091536</v>
      </c>
    </row>
    <row r="800" spans="1:5">
      <c r="A800" t="s">
        <v>2430</v>
      </c>
      <c r="B800" t="s">
        <v>953</v>
      </c>
      <c r="C800" t="s">
        <v>995</v>
      </c>
      <c r="D800" t="s">
        <v>7066</v>
      </c>
      <c r="E800">
        <v>0.07693392168790911</v>
      </c>
    </row>
    <row r="801" spans="1:5">
      <c r="A801" t="s">
        <v>2431</v>
      </c>
      <c r="B801" t="s">
        <v>953</v>
      </c>
      <c r="C801" t="s">
        <v>995</v>
      </c>
      <c r="D801" t="s">
        <v>7067</v>
      </c>
      <c r="E801">
        <v>221.471051167879</v>
      </c>
    </row>
    <row r="802" spans="1:5">
      <c r="A802" t="s">
        <v>2432</v>
      </c>
      <c r="B802" t="s">
        <v>953</v>
      </c>
      <c r="C802" t="s">
        <v>995</v>
      </c>
      <c r="D802" t="s">
        <v>7068</v>
      </c>
      <c r="E802">
        <v>0.7324757364684982</v>
      </c>
    </row>
    <row r="803" spans="1:5">
      <c r="A803" t="s">
        <v>2433</v>
      </c>
      <c r="B803" t="s">
        <v>953</v>
      </c>
      <c r="C803" t="s">
        <v>995</v>
      </c>
      <c r="D803" t="s">
        <v>6995</v>
      </c>
      <c r="E803">
        <v>0.2065121395320146</v>
      </c>
    </row>
    <row r="804" spans="1:5">
      <c r="A804" t="s">
        <v>2434</v>
      </c>
      <c r="B804" t="s">
        <v>953</v>
      </c>
      <c r="C804" t="s">
        <v>995</v>
      </c>
      <c r="D804" t="s">
        <v>7069</v>
      </c>
      <c r="E804">
        <v>1007.001388853958</v>
      </c>
    </row>
    <row r="805" spans="1:5">
      <c r="A805" t="s">
        <v>2435</v>
      </c>
      <c r="B805" t="s">
        <v>953</v>
      </c>
      <c r="C805" t="s">
        <v>995</v>
      </c>
      <c r="D805" t="s">
        <v>7070</v>
      </c>
      <c r="E805">
        <v>372.401247970601</v>
      </c>
    </row>
    <row r="806" spans="1:5">
      <c r="A806" t="s">
        <v>2436</v>
      </c>
      <c r="B806" t="s">
        <v>953</v>
      </c>
      <c r="C806" t="s">
        <v>995</v>
      </c>
      <c r="D806" t="s">
        <v>7071</v>
      </c>
      <c r="E806">
        <v>0.6574108914506454</v>
      </c>
    </row>
    <row r="807" spans="1:5">
      <c r="A807" t="s">
        <v>2437</v>
      </c>
      <c r="B807" t="s">
        <v>953</v>
      </c>
      <c r="C807" t="s">
        <v>995</v>
      </c>
      <c r="D807" t="s">
        <v>7072</v>
      </c>
      <c r="E807">
        <v>0.01417193012286392</v>
      </c>
    </row>
    <row r="808" spans="1:5">
      <c r="A808" t="s">
        <v>2438</v>
      </c>
      <c r="B808" t="s">
        <v>953</v>
      </c>
      <c r="C808" t="s">
        <v>995</v>
      </c>
      <c r="D808" t="s">
        <v>7073</v>
      </c>
      <c r="E808">
        <v>0.003467423026732506</v>
      </c>
    </row>
    <row r="809" spans="1:5">
      <c r="A809" t="s">
        <v>2439</v>
      </c>
      <c r="B809" t="s">
        <v>953</v>
      </c>
      <c r="C809" t="s">
        <v>995</v>
      </c>
      <c r="D809" t="s">
        <v>7074</v>
      </c>
      <c r="E809">
        <v>0.9257108889078417</v>
      </c>
    </row>
    <row r="810" spans="1:5">
      <c r="A810" t="s">
        <v>2440</v>
      </c>
      <c r="B810" t="s">
        <v>953</v>
      </c>
      <c r="C810" t="s">
        <v>995</v>
      </c>
      <c r="D810" t="s">
        <v>7075</v>
      </c>
      <c r="E810">
        <v>1.697469873543044</v>
      </c>
    </row>
    <row r="811" spans="1:5">
      <c r="A811" t="s">
        <v>2441</v>
      </c>
      <c r="B811" t="s">
        <v>953</v>
      </c>
      <c r="C811" t="s">
        <v>995</v>
      </c>
      <c r="D811" t="s">
        <v>7076</v>
      </c>
      <c r="E811">
        <v>18.80250077744917</v>
      </c>
    </row>
    <row r="812" spans="1:5">
      <c r="A812" t="s">
        <v>2442</v>
      </c>
      <c r="B812" t="s">
        <v>953</v>
      </c>
      <c r="C812" t="s">
        <v>995</v>
      </c>
      <c r="D812" t="s">
        <v>7077</v>
      </c>
      <c r="E812">
        <v>48.75586338351917</v>
      </c>
    </row>
    <row r="813" spans="1:5">
      <c r="A813" t="s">
        <v>2443</v>
      </c>
      <c r="B813" t="s">
        <v>953</v>
      </c>
      <c r="C813" t="s">
        <v>995</v>
      </c>
      <c r="D813" t="s">
        <v>7078</v>
      </c>
      <c r="E813">
        <v>33.62282476020182</v>
      </c>
    </row>
    <row r="814" spans="1:5">
      <c r="A814" t="s">
        <v>2444</v>
      </c>
      <c r="B814" t="s">
        <v>953</v>
      </c>
      <c r="C814" t="s">
        <v>995</v>
      </c>
      <c r="D814" t="s">
        <v>7079</v>
      </c>
      <c r="E814">
        <v>17.97164450066474</v>
      </c>
    </row>
    <row r="815" spans="1:5">
      <c r="A815" t="s">
        <v>2445</v>
      </c>
      <c r="B815" t="s">
        <v>953</v>
      </c>
      <c r="C815" t="s">
        <v>995</v>
      </c>
      <c r="D815" t="s">
        <v>7080</v>
      </c>
      <c r="E815">
        <v>0.07412550381456683</v>
      </c>
    </row>
    <row r="816" spans="1:5">
      <c r="A816" t="s">
        <v>2446</v>
      </c>
      <c r="B816" t="s">
        <v>953</v>
      </c>
      <c r="C816" t="s">
        <v>995</v>
      </c>
      <c r="D816" t="s">
        <v>7081</v>
      </c>
      <c r="E816">
        <v>5.840712514384816</v>
      </c>
    </row>
    <row r="817" spans="1:5">
      <c r="A817" t="s">
        <v>2447</v>
      </c>
      <c r="B817" t="s">
        <v>953</v>
      </c>
      <c r="C817" t="s">
        <v>995</v>
      </c>
      <c r="D817" t="s">
        <v>7082</v>
      </c>
      <c r="E817">
        <v>0.1480225741802632</v>
      </c>
    </row>
    <row r="818" spans="1:5">
      <c r="A818" t="s">
        <v>2448</v>
      </c>
      <c r="B818" t="s">
        <v>953</v>
      </c>
      <c r="C818" t="s">
        <v>995</v>
      </c>
      <c r="D818" t="s">
        <v>7083</v>
      </c>
      <c r="E818">
        <v>0.08689049705548153</v>
      </c>
    </row>
    <row r="819" spans="1:5">
      <c r="A819" t="s">
        <v>2449</v>
      </c>
      <c r="B819" t="s">
        <v>953</v>
      </c>
      <c r="C819" t="s">
        <v>995</v>
      </c>
      <c r="D819" t="s">
        <v>7084</v>
      </c>
      <c r="E819">
        <v>38.45663940602806</v>
      </c>
    </row>
    <row r="820" spans="1:5">
      <c r="A820" t="s">
        <v>2450</v>
      </c>
      <c r="B820" t="s">
        <v>953</v>
      </c>
      <c r="C820" t="s">
        <v>995</v>
      </c>
      <c r="D820" t="s">
        <v>7085</v>
      </c>
      <c r="E820">
        <v>7.747043475696016</v>
      </c>
    </row>
    <row r="821" spans="1:5">
      <c r="A821" t="s">
        <v>2451</v>
      </c>
      <c r="B821" t="s">
        <v>953</v>
      </c>
      <c r="C821" t="s">
        <v>995</v>
      </c>
      <c r="D821" t="s">
        <v>7086</v>
      </c>
      <c r="E821">
        <v>6.559338272037663</v>
      </c>
    </row>
    <row r="822" spans="1:5">
      <c r="A822" t="s">
        <v>2452</v>
      </c>
      <c r="B822" t="s">
        <v>953</v>
      </c>
      <c r="C822" t="s">
        <v>995</v>
      </c>
      <c r="D822" t="s">
        <v>7087</v>
      </c>
      <c r="E822">
        <v>20.125415509174</v>
      </c>
    </row>
    <row r="823" spans="1:5">
      <c r="A823" t="s">
        <v>2453</v>
      </c>
      <c r="B823" t="s">
        <v>953</v>
      </c>
      <c r="C823" t="s">
        <v>995</v>
      </c>
      <c r="D823" t="s">
        <v>7088</v>
      </c>
      <c r="E823">
        <v>0.1782451761526327</v>
      </c>
    </row>
    <row r="824" spans="1:5">
      <c r="A824" t="s">
        <v>2454</v>
      </c>
      <c r="B824" t="s">
        <v>953</v>
      </c>
      <c r="C824" t="s">
        <v>995</v>
      </c>
      <c r="D824" t="s">
        <v>6996</v>
      </c>
      <c r="E824">
        <v>17.89803959900541</v>
      </c>
    </row>
    <row r="825" spans="1:5">
      <c r="A825" t="s">
        <v>2455</v>
      </c>
      <c r="B825" t="s">
        <v>953</v>
      </c>
      <c r="C825" t="s">
        <v>995</v>
      </c>
      <c r="D825" t="s">
        <v>6997</v>
      </c>
      <c r="E825">
        <v>78.16992437557023</v>
      </c>
    </row>
    <row r="826" spans="1:5">
      <c r="A826" t="s">
        <v>2456</v>
      </c>
      <c r="B826" t="s">
        <v>953</v>
      </c>
      <c r="C826" t="s">
        <v>995</v>
      </c>
      <c r="D826" t="s">
        <v>7089</v>
      </c>
      <c r="E826">
        <v>4.87151478909994</v>
      </c>
    </row>
    <row r="827" spans="1:5">
      <c r="A827" t="s">
        <v>2457</v>
      </c>
      <c r="B827" t="s">
        <v>953</v>
      </c>
      <c r="C827" t="s">
        <v>995</v>
      </c>
      <c r="D827" t="s">
        <v>7090</v>
      </c>
      <c r="E827">
        <v>18.80250077744917</v>
      </c>
    </row>
    <row r="828" spans="1:5">
      <c r="A828" t="s">
        <v>2458</v>
      </c>
      <c r="B828" t="s">
        <v>953</v>
      </c>
      <c r="C828" t="s">
        <v>995</v>
      </c>
      <c r="D828" t="s">
        <v>7091</v>
      </c>
      <c r="E828">
        <v>0.2280797153613389</v>
      </c>
    </row>
    <row r="829" spans="1:5">
      <c r="A829" t="s">
        <v>2459</v>
      </c>
      <c r="B829" t="s">
        <v>953</v>
      </c>
      <c r="C829" t="s">
        <v>995</v>
      </c>
      <c r="D829" t="s">
        <v>7092</v>
      </c>
      <c r="E829">
        <v>8.448040176119365</v>
      </c>
    </row>
    <row r="830" spans="1:5">
      <c r="A830" t="s">
        <v>2460</v>
      </c>
      <c r="B830" t="s">
        <v>953</v>
      </c>
      <c r="C830" t="s">
        <v>995</v>
      </c>
      <c r="D830" t="s">
        <v>6998</v>
      </c>
      <c r="E830">
        <v>33.47317924311326</v>
      </c>
    </row>
    <row r="831" spans="1:5">
      <c r="A831" t="s">
        <v>2461</v>
      </c>
      <c r="B831" t="s">
        <v>953</v>
      </c>
      <c r="C831" t="s">
        <v>995</v>
      </c>
      <c r="D831" t="s">
        <v>7093</v>
      </c>
      <c r="E831">
        <v>2.003358618389286</v>
      </c>
    </row>
    <row r="832" spans="1:5">
      <c r="A832" t="s">
        <v>2462</v>
      </c>
      <c r="B832" t="s">
        <v>953</v>
      </c>
      <c r="C832" t="s">
        <v>995</v>
      </c>
      <c r="D832" t="s">
        <v>6999</v>
      </c>
      <c r="E832">
        <v>181.8445527037406</v>
      </c>
    </row>
    <row r="833" spans="1:5">
      <c r="A833" t="s">
        <v>2463</v>
      </c>
      <c r="B833" t="s">
        <v>953</v>
      </c>
      <c r="C833" t="s">
        <v>995</v>
      </c>
      <c r="D833" t="s">
        <v>7094</v>
      </c>
      <c r="E833">
        <v>807.1172371777786</v>
      </c>
    </row>
    <row r="834" spans="1:5">
      <c r="A834" t="s">
        <v>2464</v>
      </c>
      <c r="B834" t="s">
        <v>953</v>
      </c>
      <c r="C834" t="s">
        <v>995</v>
      </c>
      <c r="D834" t="s">
        <v>7095</v>
      </c>
      <c r="E834">
        <v>310.3344267603414</v>
      </c>
    </row>
    <row r="835" spans="1:5">
      <c r="A835" t="s">
        <v>2465</v>
      </c>
      <c r="B835" t="s">
        <v>953</v>
      </c>
      <c r="C835" t="s">
        <v>995</v>
      </c>
      <c r="D835" t="s">
        <v>7096</v>
      </c>
      <c r="E835">
        <v>90.763870505594</v>
      </c>
    </row>
    <row r="836" spans="1:5">
      <c r="A836" t="s">
        <v>2466</v>
      </c>
      <c r="B836" t="s">
        <v>953</v>
      </c>
      <c r="C836" t="s">
        <v>995</v>
      </c>
      <c r="D836" t="s">
        <v>7097</v>
      </c>
      <c r="E836">
        <v>70.85696645076548</v>
      </c>
    </row>
    <row r="837" spans="1:5">
      <c r="A837" t="s">
        <v>2467</v>
      </c>
      <c r="B837" t="s">
        <v>953</v>
      </c>
      <c r="C837" t="s">
        <v>995</v>
      </c>
      <c r="D837" t="s">
        <v>7000</v>
      </c>
      <c r="E837">
        <v>5.036809067089484</v>
      </c>
    </row>
    <row r="838" spans="1:5">
      <c r="A838" t="s">
        <v>2468</v>
      </c>
      <c r="B838" t="s">
        <v>953</v>
      </c>
      <c r="C838" t="s">
        <v>995</v>
      </c>
      <c r="D838" t="s">
        <v>7098</v>
      </c>
      <c r="E838">
        <v>1.112540860210934</v>
      </c>
    </row>
    <row r="839" spans="1:5">
      <c r="A839" t="s">
        <v>2469</v>
      </c>
      <c r="B839" t="s">
        <v>953</v>
      </c>
      <c r="C839" t="s">
        <v>995</v>
      </c>
      <c r="D839" t="s">
        <v>7001</v>
      </c>
      <c r="E839">
        <v>84.80446498773074</v>
      </c>
    </row>
    <row r="840" spans="1:5">
      <c r="A840" t="s">
        <v>2470</v>
      </c>
      <c r="B840" t="s">
        <v>953</v>
      </c>
      <c r="C840" t="s">
        <v>995</v>
      </c>
      <c r="D840" t="s">
        <v>7099</v>
      </c>
      <c r="E840">
        <v>0.05080797082589839</v>
      </c>
    </row>
    <row r="841" spans="1:5">
      <c r="A841" t="s">
        <v>2471</v>
      </c>
      <c r="B841" t="s">
        <v>953</v>
      </c>
      <c r="C841" t="s">
        <v>995</v>
      </c>
      <c r="D841" t="s">
        <v>7100</v>
      </c>
      <c r="E841">
        <v>85.25668725010055</v>
      </c>
    </row>
    <row r="842" spans="1:5">
      <c r="A842" t="s">
        <v>2472</v>
      </c>
      <c r="B842" t="s">
        <v>953</v>
      </c>
      <c r="C842" t="s">
        <v>995</v>
      </c>
      <c r="D842" t="s">
        <v>7002</v>
      </c>
      <c r="E842">
        <v>68.87712460900505</v>
      </c>
    </row>
    <row r="843" spans="1:5">
      <c r="A843" t="s">
        <v>2473</v>
      </c>
      <c r="B843" t="s">
        <v>953</v>
      </c>
      <c r="C843" t="s">
        <v>995</v>
      </c>
      <c r="D843" t="s">
        <v>7101</v>
      </c>
      <c r="E843">
        <v>3.069130122487317</v>
      </c>
    </row>
    <row r="844" spans="1:5">
      <c r="A844" t="s">
        <v>2474</v>
      </c>
      <c r="B844" t="s">
        <v>953</v>
      </c>
      <c r="C844" t="s">
        <v>995</v>
      </c>
      <c r="D844" t="s">
        <v>7102</v>
      </c>
      <c r="E844">
        <v>4.34328533046727</v>
      </c>
    </row>
    <row r="845" spans="1:5">
      <c r="A845" t="s">
        <v>2475</v>
      </c>
      <c r="B845" t="s">
        <v>953</v>
      </c>
      <c r="C845" t="s">
        <v>995</v>
      </c>
      <c r="D845" t="s">
        <v>7103</v>
      </c>
      <c r="E845">
        <v>0.2123483025341006</v>
      </c>
    </row>
    <row r="846" spans="1:5">
      <c r="A846" t="s">
        <v>2476</v>
      </c>
      <c r="B846" t="s">
        <v>953</v>
      </c>
      <c r="C846" t="s">
        <v>995</v>
      </c>
      <c r="D846" t="s">
        <v>7104</v>
      </c>
      <c r="E846">
        <v>82.75582337986832</v>
      </c>
    </row>
    <row r="847" spans="1:5">
      <c r="A847" t="s">
        <v>2477</v>
      </c>
      <c r="B847" t="s">
        <v>953</v>
      </c>
      <c r="C847" t="s">
        <v>995</v>
      </c>
      <c r="D847" t="s">
        <v>7105</v>
      </c>
      <c r="E847">
        <v>38.84380863620837</v>
      </c>
    </row>
    <row r="848" spans="1:5">
      <c r="A848" t="s">
        <v>2478</v>
      </c>
      <c r="B848" t="s">
        <v>953</v>
      </c>
      <c r="C848" t="s">
        <v>995</v>
      </c>
      <c r="D848" t="s">
        <v>7106</v>
      </c>
      <c r="E848">
        <v>20.99686784314103</v>
      </c>
    </row>
    <row r="849" spans="1:5">
      <c r="A849" t="s">
        <v>2479</v>
      </c>
      <c r="B849" t="s">
        <v>953</v>
      </c>
      <c r="C849" t="s">
        <v>995</v>
      </c>
      <c r="D849" t="s">
        <v>7107</v>
      </c>
      <c r="E849">
        <v>0.6944298717460775</v>
      </c>
    </row>
    <row r="850" spans="1:5">
      <c r="A850" t="s">
        <v>2480</v>
      </c>
      <c r="B850" t="s">
        <v>953</v>
      </c>
      <c r="C850" t="s">
        <v>995</v>
      </c>
      <c r="D850" t="s">
        <v>7003</v>
      </c>
      <c r="E850">
        <v>33.16416977489688</v>
      </c>
    </row>
    <row r="851" spans="1:5">
      <c r="A851" t="s">
        <v>2481</v>
      </c>
      <c r="B851" t="s">
        <v>953</v>
      </c>
      <c r="C851" t="s">
        <v>995</v>
      </c>
      <c r="D851" t="s">
        <v>7004</v>
      </c>
      <c r="E851">
        <v>242.5673657178822</v>
      </c>
    </row>
    <row r="852" spans="1:5">
      <c r="A852" t="s">
        <v>2482</v>
      </c>
      <c r="B852" t="s">
        <v>953</v>
      </c>
      <c r="C852" t="s">
        <v>995</v>
      </c>
      <c r="D852" t="s">
        <v>7108</v>
      </c>
      <c r="E852">
        <v>416.438744331603</v>
      </c>
    </row>
    <row r="853" spans="1:5">
      <c r="A853" t="s">
        <v>2483</v>
      </c>
      <c r="B853" t="s">
        <v>953</v>
      </c>
      <c r="C853" t="s">
        <v>995</v>
      </c>
      <c r="D853" t="s">
        <v>7109</v>
      </c>
      <c r="E853">
        <v>12.75057219411697</v>
      </c>
    </row>
    <row r="854" spans="1:5">
      <c r="A854" t="s">
        <v>2484</v>
      </c>
      <c r="B854" t="s">
        <v>953</v>
      </c>
      <c r="C854" t="s">
        <v>995</v>
      </c>
      <c r="D854" t="s">
        <v>7110</v>
      </c>
      <c r="E854">
        <v>0.01275321133912942</v>
      </c>
    </row>
    <row r="855" spans="1:5">
      <c r="A855" t="s">
        <v>2485</v>
      </c>
      <c r="B855" t="s">
        <v>953</v>
      </c>
      <c r="C855" t="s">
        <v>995</v>
      </c>
      <c r="D855" t="s">
        <v>7111</v>
      </c>
      <c r="E855">
        <v>0.5435988939278342</v>
      </c>
    </row>
    <row r="856" spans="1:5">
      <c r="A856" t="s">
        <v>2486</v>
      </c>
      <c r="B856" t="s">
        <v>953</v>
      </c>
      <c r="C856" t="s">
        <v>995</v>
      </c>
      <c r="D856" t="s">
        <v>7112</v>
      </c>
      <c r="E856">
        <v>8.348342828611665</v>
      </c>
    </row>
    <row r="857" spans="1:5">
      <c r="A857" t="s">
        <v>2487</v>
      </c>
      <c r="B857" t="s">
        <v>953</v>
      </c>
      <c r="C857" t="s">
        <v>995</v>
      </c>
      <c r="D857" t="s">
        <v>7113</v>
      </c>
      <c r="E857">
        <v>0.06588989499029083</v>
      </c>
    </row>
    <row r="858" spans="1:5">
      <c r="A858" t="s">
        <v>2488</v>
      </c>
      <c r="B858" t="s">
        <v>953</v>
      </c>
      <c r="C858" t="s">
        <v>995</v>
      </c>
      <c r="D858" t="s">
        <v>7114</v>
      </c>
      <c r="E858">
        <v>14.70834448979592</v>
      </c>
    </row>
    <row r="859" spans="1:5">
      <c r="A859" t="s">
        <v>2489</v>
      </c>
      <c r="B859" t="s">
        <v>953</v>
      </c>
      <c r="C859" t="s">
        <v>995</v>
      </c>
      <c r="D859" t="s">
        <v>7115</v>
      </c>
      <c r="E859">
        <v>2.768554102769536</v>
      </c>
    </row>
    <row r="860" spans="1:5">
      <c r="A860" t="s">
        <v>2490</v>
      </c>
      <c r="B860" t="s">
        <v>953</v>
      </c>
      <c r="C860" t="s">
        <v>995</v>
      </c>
      <c r="D860" t="s">
        <v>7116</v>
      </c>
      <c r="E860">
        <v>18.80250077744917</v>
      </c>
    </row>
    <row r="861" spans="1:5">
      <c r="A861" t="s">
        <v>2491</v>
      </c>
      <c r="B861" t="s">
        <v>953</v>
      </c>
      <c r="C861" t="s">
        <v>995</v>
      </c>
      <c r="D861" t="s">
        <v>7005</v>
      </c>
      <c r="E861">
        <v>9.511340606346497</v>
      </c>
    </row>
    <row r="862" spans="1:5">
      <c r="A862" t="s">
        <v>2492</v>
      </c>
      <c r="B862" t="s">
        <v>953</v>
      </c>
      <c r="C862" t="s">
        <v>995</v>
      </c>
      <c r="D862" t="s">
        <v>7117</v>
      </c>
      <c r="E862">
        <v>33.35040922349802</v>
      </c>
    </row>
    <row r="863" spans="1:5">
      <c r="A863" t="s">
        <v>2493</v>
      </c>
      <c r="B863" t="s">
        <v>953</v>
      </c>
      <c r="C863" t="s">
        <v>995</v>
      </c>
      <c r="D863" t="s">
        <v>7118</v>
      </c>
      <c r="E863">
        <v>88.77918362590562</v>
      </c>
    </row>
    <row r="864" spans="1:5">
      <c r="A864" t="s">
        <v>2494</v>
      </c>
      <c r="B864" t="s">
        <v>953</v>
      </c>
      <c r="C864" t="s">
        <v>995</v>
      </c>
      <c r="D864" t="s">
        <v>7119</v>
      </c>
      <c r="E864">
        <v>106.7627336729987</v>
      </c>
    </row>
    <row r="865" spans="1:5">
      <c r="A865" t="s">
        <v>2495</v>
      </c>
      <c r="B865" t="s">
        <v>953</v>
      </c>
      <c r="C865" t="s">
        <v>995</v>
      </c>
      <c r="D865" t="s">
        <v>7120</v>
      </c>
      <c r="E865">
        <v>130.184018361013</v>
      </c>
    </row>
    <row r="866" spans="1:5">
      <c r="A866" t="s">
        <v>2496</v>
      </c>
      <c r="B866" t="s">
        <v>953</v>
      </c>
      <c r="C866" t="s">
        <v>995</v>
      </c>
      <c r="D866" t="s">
        <v>7006</v>
      </c>
      <c r="E866">
        <v>6.79954373142437</v>
      </c>
    </row>
    <row r="867" spans="1:5">
      <c r="A867" t="s">
        <v>2497</v>
      </c>
      <c r="B867" t="s">
        <v>953</v>
      </c>
      <c r="C867" t="s">
        <v>995</v>
      </c>
      <c r="D867" t="s">
        <v>7121</v>
      </c>
      <c r="E867">
        <v>40.84118082202928</v>
      </c>
    </row>
    <row r="868" spans="1:5">
      <c r="A868" t="s">
        <v>2498</v>
      </c>
      <c r="B868" t="s">
        <v>953</v>
      </c>
      <c r="C868" t="s">
        <v>995</v>
      </c>
      <c r="D868" t="s">
        <v>7122</v>
      </c>
      <c r="E868">
        <v>221.471051167879</v>
      </c>
    </row>
    <row r="869" spans="1:5">
      <c r="A869" t="s">
        <v>2499</v>
      </c>
      <c r="B869" t="s">
        <v>953</v>
      </c>
      <c r="C869" t="s">
        <v>995</v>
      </c>
      <c r="D869" t="s">
        <v>7123</v>
      </c>
      <c r="E869">
        <v>9.818344206444525</v>
      </c>
    </row>
    <row r="870" spans="1:5">
      <c r="A870" t="s">
        <v>2500</v>
      </c>
      <c r="B870" t="s">
        <v>953</v>
      </c>
      <c r="C870" t="s">
        <v>995</v>
      </c>
      <c r="D870" t="s">
        <v>7124</v>
      </c>
      <c r="E870">
        <v>0.1195868479327492</v>
      </c>
    </row>
    <row r="871" spans="1:5">
      <c r="A871" t="s">
        <v>2501</v>
      </c>
      <c r="B871" t="s">
        <v>953</v>
      </c>
      <c r="C871" t="s">
        <v>995</v>
      </c>
      <c r="D871" t="s">
        <v>7125</v>
      </c>
      <c r="E871">
        <v>7.028143961529582</v>
      </c>
    </row>
    <row r="872" spans="1:5">
      <c r="A872" t="s">
        <v>2502</v>
      </c>
      <c r="B872" t="s">
        <v>953</v>
      </c>
      <c r="C872" t="s">
        <v>995</v>
      </c>
      <c r="D872" t="s">
        <v>7126</v>
      </c>
      <c r="E872">
        <v>0.08303611455982168</v>
      </c>
    </row>
    <row r="873" spans="1:5">
      <c r="A873" t="s">
        <v>2503</v>
      </c>
      <c r="B873" t="s">
        <v>953</v>
      </c>
      <c r="C873" t="s">
        <v>995</v>
      </c>
      <c r="D873" t="s">
        <v>998</v>
      </c>
      <c r="E873">
        <v>310.2759083864302</v>
      </c>
    </row>
    <row r="874" spans="1:5">
      <c r="A874" t="s">
        <v>2504</v>
      </c>
      <c r="B874" t="s">
        <v>953</v>
      </c>
      <c r="C874" t="s">
        <v>995</v>
      </c>
      <c r="D874" t="s">
        <v>7127</v>
      </c>
      <c r="E874">
        <v>7.711908148036167</v>
      </c>
    </row>
    <row r="875" spans="1:5">
      <c r="A875" t="s">
        <v>2505</v>
      </c>
      <c r="B875" t="s">
        <v>953</v>
      </c>
      <c r="C875" t="s">
        <v>995</v>
      </c>
      <c r="D875" t="s">
        <v>7128</v>
      </c>
      <c r="E875">
        <v>0.025614107772905</v>
      </c>
    </row>
    <row r="876" spans="1:5">
      <c r="A876" t="s">
        <v>2506</v>
      </c>
      <c r="B876" t="s">
        <v>953</v>
      </c>
      <c r="C876" t="s">
        <v>995</v>
      </c>
      <c r="D876" t="s">
        <v>7129</v>
      </c>
      <c r="E876">
        <v>0.5913819378243019</v>
      </c>
    </row>
    <row r="877" spans="1:5">
      <c r="A877" t="s">
        <v>2507</v>
      </c>
      <c r="B877" t="s">
        <v>953</v>
      </c>
      <c r="C877" t="s">
        <v>995</v>
      </c>
      <c r="D877" t="s">
        <v>7130</v>
      </c>
      <c r="E877">
        <v>0.01186179460740627</v>
      </c>
    </row>
    <row r="878" spans="1:5">
      <c r="A878" t="s">
        <v>2508</v>
      </c>
      <c r="B878" t="s">
        <v>953</v>
      </c>
      <c r="C878" t="s">
        <v>995</v>
      </c>
      <c r="D878" t="s">
        <v>7131</v>
      </c>
      <c r="E878">
        <v>2.614008463784543</v>
      </c>
    </row>
    <row r="879" spans="1:5">
      <c r="A879" t="s">
        <v>2509</v>
      </c>
      <c r="B879" t="s">
        <v>953</v>
      </c>
      <c r="C879" t="s">
        <v>995</v>
      </c>
      <c r="D879" t="s">
        <v>7132</v>
      </c>
      <c r="E879">
        <v>115.2095294547189</v>
      </c>
    </row>
    <row r="880" spans="1:5">
      <c r="A880" t="s">
        <v>2510</v>
      </c>
      <c r="B880" t="s">
        <v>953</v>
      </c>
      <c r="C880" t="s">
        <v>995</v>
      </c>
      <c r="D880" t="s">
        <v>7133</v>
      </c>
      <c r="E880">
        <v>0.5493568023513736</v>
      </c>
    </row>
    <row r="881" spans="1:5">
      <c r="A881" t="s">
        <v>2511</v>
      </c>
      <c r="B881" t="s">
        <v>953</v>
      </c>
      <c r="C881" t="s">
        <v>995</v>
      </c>
      <c r="D881" t="s">
        <v>7134</v>
      </c>
      <c r="E881">
        <v>114.9386655796509</v>
      </c>
    </row>
    <row r="882" spans="1:5">
      <c r="A882" t="s">
        <v>2512</v>
      </c>
      <c r="B882" t="s">
        <v>953</v>
      </c>
      <c r="C882" t="s">
        <v>995</v>
      </c>
      <c r="D882" t="s">
        <v>7135</v>
      </c>
      <c r="E882">
        <v>173.3711873001577</v>
      </c>
    </row>
    <row r="883" spans="1:5">
      <c r="A883" t="s">
        <v>2513</v>
      </c>
      <c r="B883" t="s">
        <v>953</v>
      </c>
      <c r="C883" t="s">
        <v>995</v>
      </c>
      <c r="D883" t="s">
        <v>7136</v>
      </c>
      <c r="E883">
        <v>424.2149030798317</v>
      </c>
    </row>
    <row r="884" spans="1:5">
      <c r="A884" t="s">
        <v>2514</v>
      </c>
      <c r="B884" t="s">
        <v>953</v>
      </c>
      <c r="C884" t="s">
        <v>995</v>
      </c>
      <c r="D884" t="s">
        <v>7137</v>
      </c>
      <c r="E884">
        <v>0.5493568023513736</v>
      </c>
    </row>
    <row r="885" spans="1:5">
      <c r="A885" t="s">
        <v>2515</v>
      </c>
      <c r="B885" t="s">
        <v>953</v>
      </c>
      <c r="C885" t="s">
        <v>995</v>
      </c>
      <c r="D885" t="s">
        <v>7138</v>
      </c>
      <c r="E885">
        <v>3.019763684510442</v>
      </c>
    </row>
    <row r="886" spans="1:5">
      <c r="A886" t="s">
        <v>2516</v>
      </c>
      <c r="B886" t="s">
        <v>953</v>
      </c>
      <c r="C886" t="s">
        <v>995</v>
      </c>
      <c r="D886" t="s">
        <v>7139</v>
      </c>
      <c r="E886">
        <v>1.302888269026788</v>
      </c>
    </row>
    <row r="887" spans="1:5">
      <c r="A887" t="s">
        <v>2517</v>
      </c>
      <c r="B887" t="s">
        <v>953</v>
      </c>
      <c r="C887" t="s">
        <v>995</v>
      </c>
      <c r="D887" t="s">
        <v>7007</v>
      </c>
      <c r="E887">
        <v>18.8023781441157</v>
      </c>
    </row>
    <row r="888" spans="1:5">
      <c r="A888" t="s">
        <v>2518</v>
      </c>
      <c r="B888" t="s">
        <v>953</v>
      </c>
      <c r="C888" t="s">
        <v>995</v>
      </c>
      <c r="D888" t="s">
        <v>7140</v>
      </c>
      <c r="E888">
        <v>16.41407881074894</v>
      </c>
    </row>
    <row r="889" spans="1:5">
      <c r="A889" t="s">
        <v>2519</v>
      </c>
      <c r="B889" t="s">
        <v>953</v>
      </c>
      <c r="C889" t="s">
        <v>995</v>
      </c>
      <c r="D889" t="s">
        <v>7141</v>
      </c>
      <c r="E889">
        <v>11.47044776689511</v>
      </c>
    </row>
    <row r="890" spans="1:5">
      <c r="A890" t="s">
        <v>2520</v>
      </c>
      <c r="B890" t="s">
        <v>953</v>
      </c>
      <c r="C890" t="s">
        <v>995</v>
      </c>
      <c r="D890" t="s">
        <v>7142</v>
      </c>
      <c r="E890">
        <v>11.47044776689511</v>
      </c>
    </row>
    <row r="891" spans="1:5">
      <c r="A891" t="s">
        <v>2356</v>
      </c>
      <c r="B891" t="s">
        <v>953</v>
      </c>
      <c r="C891" t="s">
        <v>995</v>
      </c>
      <c r="D891" t="s">
        <v>996</v>
      </c>
      <c r="E891">
        <v>360.35444</v>
      </c>
    </row>
    <row r="892" spans="1:5">
      <c r="A892" t="s">
        <v>2521</v>
      </c>
      <c r="B892" t="s">
        <v>954</v>
      </c>
      <c r="C892" t="s">
        <v>995</v>
      </c>
      <c r="D892" t="s">
        <v>996</v>
      </c>
      <c r="E892">
        <v>358.868639</v>
      </c>
    </row>
    <row r="893" spans="1:5">
      <c r="A893" t="s">
        <v>2522</v>
      </c>
      <c r="B893" t="s">
        <v>954</v>
      </c>
      <c r="C893" t="s">
        <v>995</v>
      </c>
      <c r="D893" t="s">
        <v>7008</v>
      </c>
      <c r="E893">
        <v>84.21811676152691</v>
      </c>
    </row>
    <row r="894" spans="1:5">
      <c r="A894" t="s">
        <v>2523</v>
      </c>
      <c r="B894" t="s">
        <v>954</v>
      </c>
      <c r="C894" t="s">
        <v>995</v>
      </c>
      <c r="D894" t="s">
        <v>7009</v>
      </c>
      <c r="E894">
        <v>4.87617395246887</v>
      </c>
    </row>
    <row r="895" spans="1:5">
      <c r="A895" t="s">
        <v>2524</v>
      </c>
      <c r="B895" t="s">
        <v>954</v>
      </c>
      <c r="C895" t="s">
        <v>995</v>
      </c>
      <c r="D895" t="s">
        <v>7010</v>
      </c>
      <c r="E895">
        <v>3.763541230648776</v>
      </c>
    </row>
    <row r="896" spans="1:5">
      <c r="A896" t="s">
        <v>2525</v>
      </c>
      <c r="B896" t="s">
        <v>954</v>
      </c>
      <c r="C896" t="s">
        <v>995</v>
      </c>
      <c r="D896" t="s">
        <v>7011</v>
      </c>
      <c r="E896">
        <v>0.8411940216739768</v>
      </c>
    </row>
    <row r="897" spans="1:5">
      <c r="A897" t="s">
        <v>2526</v>
      </c>
      <c r="B897" t="s">
        <v>954</v>
      </c>
      <c r="C897" t="s">
        <v>995</v>
      </c>
      <c r="D897" t="s">
        <v>7012</v>
      </c>
      <c r="E897">
        <v>172.7882775851053</v>
      </c>
    </row>
    <row r="898" spans="1:5">
      <c r="A898" t="s">
        <v>2527</v>
      </c>
      <c r="B898" t="s">
        <v>954</v>
      </c>
      <c r="C898" t="s">
        <v>995</v>
      </c>
      <c r="D898" t="s">
        <v>7013</v>
      </c>
      <c r="E898">
        <v>0.3265301484435869</v>
      </c>
    </row>
    <row r="899" spans="1:5">
      <c r="A899" t="s">
        <v>2528</v>
      </c>
      <c r="B899" t="s">
        <v>954</v>
      </c>
      <c r="C899" t="s">
        <v>995</v>
      </c>
      <c r="D899" t="s">
        <v>7014</v>
      </c>
      <c r="E899">
        <v>0.2219523834698223</v>
      </c>
    </row>
    <row r="900" spans="1:5">
      <c r="A900" t="s">
        <v>2529</v>
      </c>
      <c r="B900" t="s">
        <v>954</v>
      </c>
      <c r="C900" t="s">
        <v>995</v>
      </c>
      <c r="D900" t="s">
        <v>6981</v>
      </c>
      <c r="E900">
        <v>220.5175019187129</v>
      </c>
    </row>
    <row r="901" spans="1:5">
      <c r="A901" t="s">
        <v>2530</v>
      </c>
      <c r="B901" t="s">
        <v>954</v>
      </c>
      <c r="C901" t="s">
        <v>995</v>
      </c>
      <c r="D901" t="s">
        <v>7015</v>
      </c>
      <c r="E901">
        <v>172.7882775851053</v>
      </c>
    </row>
    <row r="902" spans="1:5">
      <c r="A902" t="s">
        <v>2531</v>
      </c>
      <c r="B902" t="s">
        <v>954</v>
      </c>
      <c r="C902" t="s">
        <v>995</v>
      </c>
      <c r="D902" t="s">
        <v>7016</v>
      </c>
      <c r="E902">
        <v>181.8740692013008</v>
      </c>
    </row>
    <row r="903" spans="1:5">
      <c r="A903" t="s">
        <v>2532</v>
      </c>
      <c r="B903" t="s">
        <v>954</v>
      </c>
      <c r="C903" t="s">
        <v>995</v>
      </c>
      <c r="D903" t="s">
        <v>7017</v>
      </c>
      <c r="E903">
        <v>183.4866215366366</v>
      </c>
    </row>
    <row r="904" spans="1:5">
      <c r="A904" t="s">
        <v>2533</v>
      </c>
      <c r="B904" t="s">
        <v>954</v>
      </c>
      <c r="C904" t="s">
        <v>995</v>
      </c>
      <c r="D904" t="s">
        <v>7018</v>
      </c>
      <c r="E904">
        <v>154.6455635382067</v>
      </c>
    </row>
    <row r="905" spans="1:5">
      <c r="A905" t="s">
        <v>2534</v>
      </c>
      <c r="B905" t="s">
        <v>954</v>
      </c>
      <c r="C905" t="s">
        <v>995</v>
      </c>
      <c r="D905" t="s">
        <v>7019</v>
      </c>
      <c r="E905">
        <v>2.515901014612948</v>
      </c>
    </row>
    <row r="906" spans="1:5">
      <c r="A906" t="s">
        <v>2535</v>
      </c>
      <c r="B906" t="s">
        <v>954</v>
      </c>
      <c r="C906" t="s">
        <v>995</v>
      </c>
      <c r="D906" t="s">
        <v>997</v>
      </c>
      <c r="E906">
        <v>183.4866215366366</v>
      </c>
    </row>
    <row r="907" spans="1:5">
      <c r="A907" t="s">
        <v>2536</v>
      </c>
      <c r="B907" t="s">
        <v>954</v>
      </c>
      <c r="C907" t="s">
        <v>995</v>
      </c>
      <c r="D907" t="s">
        <v>7020</v>
      </c>
      <c r="E907">
        <v>822.5819249961605</v>
      </c>
    </row>
    <row r="908" spans="1:5">
      <c r="A908" t="s">
        <v>2537</v>
      </c>
      <c r="B908" t="s">
        <v>954</v>
      </c>
      <c r="C908" t="s">
        <v>995</v>
      </c>
      <c r="D908" t="s">
        <v>7021</v>
      </c>
      <c r="E908">
        <v>0.1034272436458027</v>
      </c>
    </row>
    <row r="909" spans="1:5">
      <c r="A909" t="s">
        <v>2538</v>
      </c>
      <c r="B909" t="s">
        <v>954</v>
      </c>
      <c r="C909" t="s">
        <v>995</v>
      </c>
      <c r="D909" t="s">
        <v>7022</v>
      </c>
      <c r="E909">
        <v>309.2911270764134</v>
      </c>
    </row>
    <row r="910" spans="1:5">
      <c r="A910" t="s">
        <v>2539</v>
      </c>
      <c r="B910" t="s">
        <v>954</v>
      </c>
      <c r="C910" t="s">
        <v>995</v>
      </c>
      <c r="D910" t="s">
        <v>7023</v>
      </c>
      <c r="E910">
        <v>241.661569489665</v>
      </c>
    </row>
    <row r="911" spans="1:5">
      <c r="A911" t="s">
        <v>2540</v>
      </c>
      <c r="B911" t="s">
        <v>954</v>
      </c>
      <c r="C911" t="s">
        <v>995</v>
      </c>
      <c r="D911" t="s">
        <v>7024</v>
      </c>
      <c r="E911">
        <v>44.62922471055935</v>
      </c>
    </row>
    <row r="912" spans="1:5">
      <c r="A912" t="s">
        <v>2541</v>
      </c>
      <c r="B912" t="s">
        <v>954</v>
      </c>
      <c r="C912" t="s">
        <v>995</v>
      </c>
      <c r="D912" t="s">
        <v>6982</v>
      </c>
      <c r="E912">
        <v>61.7547591801335</v>
      </c>
    </row>
    <row r="913" spans="1:5">
      <c r="A913" t="s">
        <v>2542</v>
      </c>
      <c r="B913" t="s">
        <v>954</v>
      </c>
      <c r="C913" t="s">
        <v>995</v>
      </c>
      <c r="D913" t="s">
        <v>7025</v>
      </c>
      <c r="E913">
        <v>309.2911270764134</v>
      </c>
    </row>
    <row r="914" spans="1:5">
      <c r="A914" t="s">
        <v>2543</v>
      </c>
      <c r="B914" t="s">
        <v>954</v>
      </c>
      <c r="C914" t="s">
        <v>995</v>
      </c>
      <c r="D914" t="s">
        <v>7026</v>
      </c>
      <c r="E914">
        <v>3.225430214406494</v>
      </c>
    </row>
    <row r="915" spans="1:5">
      <c r="A915" t="s">
        <v>2544</v>
      </c>
      <c r="B915" t="s">
        <v>954</v>
      </c>
      <c r="C915" t="s">
        <v>995</v>
      </c>
      <c r="D915" t="s">
        <v>7027</v>
      </c>
      <c r="E915">
        <v>21.66024300944949</v>
      </c>
    </row>
    <row r="916" spans="1:5">
      <c r="A916" t="s">
        <v>2545</v>
      </c>
      <c r="B916" t="s">
        <v>954</v>
      </c>
      <c r="C916" t="s">
        <v>995</v>
      </c>
      <c r="D916" t="s">
        <v>7028</v>
      </c>
      <c r="E916">
        <v>112.8948011002936</v>
      </c>
    </row>
    <row r="917" spans="1:5">
      <c r="A917" t="s">
        <v>2546</v>
      </c>
      <c r="B917" t="s">
        <v>954</v>
      </c>
      <c r="C917" t="s">
        <v>995</v>
      </c>
      <c r="D917" t="s">
        <v>7029</v>
      </c>
      <c r="E917">
        <v>154.6455635382067</v>
      </c>
    </row>
    <row r="918" spans="1:5">
      <c r="A918" t="s">
        <v>2547</v>
      </c>
      <c r="B918" t="s">
        <v>954</v>
      </c>
      <c r="C918" t="s">
        <v>995</v>
      </c>
      <c r="D918" t="s">
        <v>6983</v>
      </c>
      <c r="E918">
        <v>224.0056121773825</v>
      </c>
    </row>
    <row r="919" spans="1:5">
      <c r="A919" t="s">
        <v>2548</v>
      </c>
      <c r="B919" t="s">
        <v>954</v>
      </c>
      <c r="C919" t="s">
        <v>995</v>
      </c>
      <c r="D919" t="s">
        <v>7030</v>
      </c>
      <c r="E919">
        <v>0.1348782090498674</v>
      </c>
    </row>
    <row r="920" spans="1:5">
      <c r="A920" t="s">
        <v>2549</v>
      </c>
      <c r="B920" t="s">
        <v>954</v>
      </c>
      <c r="C920" t="s">
        <v>995</v>
      </c>
      <c r="D920" t="s">
        <v>6984</v>
      </c>
      <c r="E920">
        <v>393.6434993786053</v>
      </c>
    </row>
    <row r="921" spans="1:5">
      <c r="A921" t="s">
        <v>2550</v>
      </c>
      <c r="B921" t="s">
        <v>954</v>
      </c>
      <c r="C921" t="s">
        <v>995</v>
      </c>
      <c r="D921" t="s">
        <v>7031</v>
      </c>
      <c r="E921">
        <v>13581.67653180941</v>
      </c>
    </row>
    <row r="922" spans="1:5">
      <c r="A922" t="s">
        <v>2551</v>
      </c>
      <c r="B922" t="s">
        <v>954</v>
      </c>
      <c r="C922" t="s">
        <v>995</v>
      </c>
      <c r="D922" t="s">
        <v>7032</v>
      </c>
      <c r="E922">
        <v>0.3436066576215376</v>
      </c>
    </row>
    <row r="923" spans="1:5">
      <c r="A923" t="s">
        <v>2552</v>
      </c>
      <c r="B923" t="s">
        <v>954</v>
      </c>
      <c r="C923" t="s">
        <v>995</v>
      </c>
      <c r="D923" t="s">
        <v>7033</v>
      </c>
      <c r="E923">
        <v>45.4999528985521</v>
      </c>
    </row>
    <row r="924" spans="1:5">
      <c r="A924" t="s">
        <v>2553</v>
      </c>
      <c r="B924" t="s">
        <v>954</v>
      </c>
      <c r="C924" t="s">
        <v>995</v>
      </c>
      <c r="D924" t="s">
        <v>6985</v>
      </c>
      <c r="E924">
        <v>45.46430651372061</v>
      </c>
    </row>
    <row r="925" spans="1:5">
      <c r="A925" t="s">
        <v>2554</v>
      </c>
      <c r="B925" t="s">
        <v>954</v>
      </c>
      <c r="C925" t="s">
        <v>995</v>
      </c>
      <c r="D925" t="s">
        <v>7034</v>
      </c>
      <c r="E925">
        <v>0.08326011931405254</v>
      </c>
    </row>
    <row r="926" spans="1:5">
      <c r="A926" t="s">
        <v>2555</v>
      </c>
      <c r="B926" t="s">
        <v>954</v>
      </c>
      <c r="C926" t="s">
        <v>995</v>
      </c>
      <c r="D926" t="s">
        <v>7035</v>
      </c>
      <c r="E926">
        <v>0.682612911835682</v>
      </c>
    </row>
    <row r="927" spans="1:5">
      <c r="A927" t="s">
        <v>2556</v>
      </c>
      <c r="B927" t="s">
        <v>954</v>
      </c>
      <c r="C927" t="s">
        <v>995</v>
      </c>
      <c r="D927" t="s">
        <v>7036</v>
      </c>
      <c r="E927">
        <v>12.88712798093845</v>
      </c>
    </row>
    <row r="928" spans="1:5">
      <c r="A928" t="s">
        <v>2557</v>
      </c>
      <c r="B928" t="s">
        <v>954</v>
      </c>
      <c r="C928" t="s">
        <v>995</v>
      </c>
      <c r="D928" t="s">
        <v>7037</v>
      </c>
      <c r="E928">
        <v>3.254601541740353</v>
      </c>
    </row>
    <row r="929" spans="1:5">
      <c r="A929" t="s">
        <v>2558</v>
      </c>
      <c r="B929" t="s">
        <v>954</v>
      </c>
      <c r="C929" t="s">
        <v>995</v>
      </c>
      <c r="D929" t="s">
        <v>6986</v>
      </c>
      <c r="E929">
        <v>14.77655533541821</v>
      </c>
    </row>
    <row r="930" spans="1:5">
      <c r="A930" t="s">
        <v>2559</v>
      </c>
      <c r="B930" t="s">
        <v>954</v>
      </c>
      <c r="C930" t="s">
        <v>995</v>
      </c>
      <c r="D930" t="s">
        <v>7038</v>
      </c>
      <c r="E930">
        <v>1.740318074631292</v>
      </c>
    </row>
    <row r="931" spans="1:5">
      <c r="A931" t="s">
        <v>2560</v>
      </c>
      <c r="B931" t="s">
        <v>954</v>
      </c>
      <c r="C931" t="s">
        <v>995</v>
      </c>
      <c r="D931" t="s">
        <v>6987</v>
      </c>
      <c r="E931">
        <v>48.08485098356115</v>
      </c>
    </row>
    <row r="932" spans="1:5">
      <c r="A932" t="s">
        <v>2561</v>
      </c>
      <c r="B932" t="s">
        <v>954</v>
      </c>
      <c r="C932" t="s">
        <v>995</v>
      </c>
      <c r="D932" t="s">
        <v>7039</v>
      </c>
      <c r="E932">
        <v>5.242292101763929</v>
      </c>
    </row>
    <row r="933" spans="1:5">
      <c r="A933" t="s">
        <v>2562</v>
      </c>
      <c r="B933" t="s">
        <v>954</v>
      </c>
      <c r="C933" t="s">
        <v>995</v>
      </c>
      <c r="D933" t="s">
        <v>7040</v>
      </c>
      <c r="E933">
        <v>2.32812572141956</v>
      </c>
    </row>
    <row r="934" spans="1:5">
      <c r="A934" t="s">
        <v>2563</v>
      </c>
      <c r="B934" t="s">
        <v>954</v>
      </c>
      <c r="C934" t="s">
        <v>995</v>
      </c>
      <c r="D934" t="s">
        <v>7041</v>
      </c>
      <c r="E934">
        <v>5.844009432003511</v>
      </c>
    </row>
    <row r="935" spans="1:5">
      <c r="A935" t="s">
        <v>2564</v>
      </c>
      <c r="B935" t="s">
        <v>954</v>
      </c>
      <c r="C935" t="s">
        <v>995</v>
      </c>
      <c r="D935" t="s">
        <v>7042</v>
      </c>
      <c r="E935">
        <v>20.61940491759187</v>
      </c>
    </row>
    <row r="936" spans="1:5">
      <c r="A936" t="s">
        <v>2565</v>
      </c>
      <c r="B936" t="s">
        <v>954</v>
      </c>
      <c r="C936" t="s">
        <v>995</v>
      </c>
      <c r="D936" t="s">
        <v>7043</v>
      </c>
      <c r="E936">
        <v>1.932705567231012</v>
      </c>
    </row>
    <row r="937" spans="1:5">
      <c r="A937" t="s">
        <v>2566</v>
      </c>
      <c r="B937" t="s">
        <v>954</v>
      </c>
      <c r="C937" t="s">
        <v>995</v>
      </c>
      <c r="D937" t="s">
        <v>7044</v>
      </c>
      <c r="E937">
        <v>140.2703475248465</v>
      </c>
    </row>
    <row r="938" spans="1:5">
      <c r="A938" t="s">
        <v>2567</v>
      </c>
      <c r="B938" t="s">
        <v>954</v>
      </c>
      <c r="C938" t="s">
        <v>995</v>
      </c>
      <c r="D938" t="s">
        <v>7045</v>
      </c>
      <c r="E938">
        <v>415.2130498669443</v>
      </c>
    </row>
    <row r="939" spans="1:5">
      <c r="A939" t="s">
        <v>2568</v>
      </c>
      <c r="B939" t="s">
        <v>954</v>
      </c>
      <c r="C939" t="s">
        <v>995</v>
      </c>
      <c r="D939" t="s">
        <v>7046</v>
      </c>
      <c r="E939">
        <v>48.08486386935424</v>
      </c>
    </row>
    <row r="940" spans="1:5">
      <c r="A940" t="s">
        <v>2569</v>
      </c>
      <c r="B940" t="s">
        <v>954</v>
      </c>
      <c r="C940" t="s">
        <v>995</v>
      </c>
      <c r="D940" t="s">
        <v>6988</v>
      </c>
      <c r="E940">
        <v>415.2120890614623</v>
      </c>
    </row>
    <row r="941" spans="1:5">
      <c r="A941" t="s">
        <v>2570</v>
      </c>
      <c r="B941" t="s">
        <v>954</v>
      </c>
      <c r="C941" t="s">
        <v>995</v>
      </c>
      <c r="D941" t="s">
        <v>7047</v>
      </c>
      <c r="E941">
        <v>115.7491790572762</v>
      </c>
    </row>
    <row r="942" spans="1:5">
      <c r="A942" t="s">
        <v>2571</v>
      </c>
      <c r="B942" t="s">
        <v>954</v>
      </c>
      <c r="C942" t="s">
        <v>995</v>
      </c>
      <c r="D942" t="s">
        <v>7048</v>
      </c>
      <c r="E942">
        <v>415.2130498669443</v>
      </c>
    </row>
    <row r="943" spans="1:5">
      <c r="A943" t="s">
        <v>2572</v>
      </c>
      <c r="B943" t="s">
        <v>954</v>
      </c>
      <c r="C943" t="s">
        <v>995</v>
      </c>
      <c r="D943" t="s">
        <v>7049</v>
      </c>
      <c r="E943">
        <v>26.58931054835076</v>
      </c>
    </row>
    <row r="944" spans="1:5">
      <c r="A944" t="s">
        <v>2573</v>
      </c>
      <c r="B944" t="s">
        <v>954</v>
      </c>
      <c r="C944" t="s">
        <v>995</v>
      </c>
      <c r="D944" t="s">
        <v>7050</v>
      </c>
      <c r="E944">
        <v>415.2130498669443</v>
      </c>
    </row>
    <row r="945" spans="1:5">
      <c r="A945" t="s">
        <v>2574</v>
      </c>
      <c r="B945" t="s">
        <v>954</v>
      </c>
      <c r="C945" t="s">
        <v>995</v>
      </c>
      <c r="D945" t="s">
        <v>7051</v>
      </c>
      <c r="E945">
        <v>4.16630378886406</v>
      </c>
    </row>
    <row r="946" spans="1:5">
      <c r="A946" t="s">
        <v>2575</v>
      </c>
      <c r="B946" t="s">
        <v>954</v>
      </c>
      <c r="C946" t="s">
        <v>995</v>
      </c>
      <c r="D946" t="s">
        <v>7052</v>
      </c>
      <c r="E946">
        <v>0.03526377051297033</v>
      </c>
    </row>
    <row r="947" spans="1:5">
      <c r="A947" t="s">
        <v>2576</v>
      </c>
      <c r="B947" t="s">
        <v>954</v>
      </c>
      <c r="C947" t="s">
        <v>995</v>
      </c>
      <c r="D947" t="s">
        <v>7053</v>
      </c>
      <c r="E947">
        <v>40.49981283140324</v>
      </c>
    </row>
    <row r="948" spans="1:5">
      <c r="A948" t="s">
        <v>2577</v>
      </c>
      <c r="B948" t="s">
        <v>954</v>
      </c>
      <c r="C948" t="s">
        <v>995</v>
      </c>
      <c r="D948" t="s">
        <v>7054</v>
      </c>
      <c r="E948">
        <v>1.475607867261943</v>
      </c>
    </row>
    <row r="949" spans="1:5">
      <c r="A949" t="s">
        <v>2578</v>
      </c>
      <c r="B949" t="s">
        <v>954</v>
      </c>
      <c r="C949" t="s">
        <v>995</v>
      </c>
      <c r="D949" t="s">
        <v>6989</v>
      </c>
      <c r="E949">
        <v>39.46176866191251</v>
      </c>
    </row>
    <row r="950" spans="1:5">
      <c r="A950" t="s">
        <v>2579</v>
      </c>
      <c r="B950" t="s">
        <v>954</v>
      </c>
      <c r="C950" t="s">
        <v>995</v>
      </c>
      <c r="D950" t="s">
        <v>7055</v>
      </c>
      <c r="E950">
        <v>11.60705069794097</v>
      </c>
    </row>
    <row r="951" spans="1:5">
      <c r="A951" t="s">
        <v>2580</v>
      </c>
      <c r="B951" t="s">
        <v>954</v>
      </c>
      <c r="C951" t="s">
        <v>995</v>
      </c>
      <c r="D951" t="s">
        <v>7056</v>
      </c>
      <c r="E951">
        <v>47.63005362001459</v>
      </c>
    </row>
    <row r="952" spans="1:5">
      <c r="A952" t="s">
        <v>2581</v>
      </c>
      <c r="B952" t="s">
        <v>954</v>
      </c>
      <c r="C952" t="s">
        <v>995</v>
      </c>
      <c r="D952" t="s">
        <v>7057</v>
      </c>
      <c r="E952">
        <v>2.359362097651861</v>
      </c>
    </row>
    <row r="953" spans="1:5">
      <c r="A953" t="s">
        <v>2582</v>
      </c>
      <c r="B953" t="s">
        <v>954</v>
      </c>
      <c r="C953" t="s">
        <v>995</v>
      </c>
      <c r="D953" t="s">
        <v>6990</v>
      </c>
      <c r="E953">
        <v>0.01747404993559592</v>
      </c>
    </row>
    <row r="954" spans="1:5">
      <c r="A954" t="s">
        <v>2583</v>
      </c>
      <c r="B954" t="s">
        <v>954</v>
      </c>
      <c r="C954" t="s">
        <v>995</v>
      </c>
      <c r="D954" t="s">
        <v>6991</v>
      </c>
      <c r="E954">
        <v>106.616960916374</v>
      </c>
    </row>
    <row r="955" spans="1:5">
      <c r="A955" t="s">
        <v>2584</v>
      </c>
      <c r="B955" t="s">
        <v>954</v>
      </c>
      <c r="C955" t="s">
        <v>995</v>
      </c>
      <c r="D955" t="s">
        <v>7058</v>
      </c>
      <c r="E955">
        <v>415.2130498669443</v>
      </c>
    </row>
    <row r="956" spans="1:5">
      <c r="A956" t="s">
        <v>2585</v>
      </c>
      <c r="B956" t="s">
        <v>954</v>
      </c>
      <c r="C956" t="s">
        <v>995</v>
      </c>
      <c r="D956" t="s">
        <v>6992</v>
      </c>
      <c r="E956">
        <v>3.229244075789936</v>
      </c>
    </row>
    <row r="957" spans="1:5">
      <c r="A957" t="s">
        <v>2586</v>
      </c>
      <c r="B957" t="s">
        <v>954</v>
      </c>
      <c r="C957" t="s">
        <v>995</v>
      </c>
      <c r="D957" t="s">
        <v>7059</v>
      </c>
      <c r="E957">
        <v>0.235533588867802</v>
      </c>
    </row>
    <row r="958" spans="1:5">
      <c r="A958" t="s">
        <v>2587</v>
      </c>
      <c r="B958" t="s">
        <v>954</v>
      </c>
      <c r="C958" t="s">
        <v>995</v>
      </c>
      <c r="D958" t="s">
        <v>7060</v>
      </c>
      <c r="E958">
        <v>0.0002338669474854103</v>
      </c>
    </row>
    <row r="959" spans="1:5">
      <c r="A959" t="s">
        <v>2588</v>
      </c>
      <c r="B959" t="s">
        <v>954</v>
      </c>
      <c r="C959" t="s">
        <v>995</v>
      </c>
      <c r="D959" t="s">
        <v>6993</v>
      </c>
      <c r="E959">
        <v>2.499213027306821</v>
      </c>
    </row>
    <row r="960" spans="1:5">
      <c r="A960" t="s">
        <v>2589</v>
      </c>
      <c r="B960" t="s">
        <v>954</v>
      </c>
      <c r="C960" t="s">
        <v>995</v>
      </c>
      <c r="D960" t="s">
        <v>7061</v>
      </c>
      <c r="E960">
        <v>415.2130498669443</v>
      </c>
    </row>
    <row r="961" spans="1:5">
      <c r="A961" t="s">
        <v>2590</v>
      </c>
      <c r="B961" t="s">
        <v>954</v>
      </c>
      <c r="C961" t="s">
        <v>995</v>
      </c>
      <c r="D961" t="s">
        <v>7062</v>
      </c>
      <c r="E961">
        <v>1.956455936004245</v>
      </c>
    </row>
    <row r="962" spans="1:5">
      <c r="A962" t="s">
        <v>2591</v>
      </c>
      <c r="B962" t="s">
        <v>954</v>
      </c>
      <c r="C962" t="s">
        <v>995</v>
      </c>
      <c r="D962" t="s">
        <v>7063</v>
      </c>
      <c r="E962">
        <v>436.235428475571</v>
      </c>
    </row>
    <row r="963" spans="1:5">
      <c r="A963" t="s">
        <v>2592</v>
      </c>
      <c r="B963" t="s">
        <v>954</v>
      </c>
      <c r="C963" t="s">
        <v>995</v>
      </c>
      <c r="D963" t="s">
        <v>6994</v>
      </c>
      <c r="E963">
        <v>1.943225874399457</v>
      </c>
    </row>
    <row r="964" spans="1:5">
      <c r="A964" t="s">
        <v>2593</v>
      </c>
      <c r="B964" t="s">
        <v>954</v>
      </c>
      <c r="C964" t="s">
        <v>995</v>
      </c>
      <c r="D964" t="s">
        <v>7064</v>
      </c>
      <c r="E964">
        <v>2.382029939668443</v>
      </c>
    </row>
    <row r="965" spans="1:5">
      <c r="A965" t="s">
        <v>2594</v>
      </c>
      <c r="B965" t="s">
        <v>954</v>
      </c>
      <c r="C965" t="s">
        <v>995</v>
      </c>
      <c r="D965" t="s">
        <v>7065</v>
      </c>
      <c r="E965">
        <v>3.535604102817771</v>
      </c>
    </row>
    <row r="966" spans="1:5">
      <c r="A966" t="s">
        <v>2595</v>
      </c>
      <c r="B966" t="s">
        <v>954</v>
      </c>
      <c r="C966" t="s">
        <v>995</v>
      </c>
      <c r="D966" t="s">
        <v>7066</v>
      </c>
      <c r="E966">
        <v>0.07649808871527929</v>
      </c>
    </row>
    <row r="967" spans="1:5">
      <c r="A967" t="s">
        <v>2596</v>
      </c>
      <c r="B967" t="s">
        <v>954</v>
      </c>
      <c r="C967" t="s">
        <v>995</v>
      </c>
      <c r="D967" t="s">
        <v>7067</v>
      </c>
      <c r="E967">
        <v>220.5175019187129</v>
      </c>
    </row>
    <row r="968" spans="1:5">
      <c r="A968" t="s">
        <v>2597</v>
      </c>
      <c r="B968" t="s">
        <v>954</v>
      </c>
      <c r="C968" t="s">
        <v>995</v>
      </c>
      <c r="D968" t="s">
        <v>7068</v>
      </c>
      <c r="E968">
        <v>0.7294556177716933</v>
      </c>
    </row>
    <row r="969" spans="1:5">
      <c r="A969" t="s">
        <v>2598</v>
      </c>
      <c r="B969" t="s">
        <v>954</v>
      </c>
      <c r="C969" t="s">
        <v>995</v>
      </c>
      <c r="D969" t="s">
        <v>6995</v>
      </c>
      <c r="E969">
        <v>0.2041125591840579</v>
      </c>
    </row>
    <row r="970" spans="1:5">
      <c r="A970" t="s">
        <v>2599</v>
      </c>
      <c r="B970" t="s">
        <v>954</v>
      </c>
      <c r="C970" t="s">
        <v>995</v>
      </c>
      <c r="D970" t="s">
        <v>7069</v>
      </c>
      <c r="E970">
        <v>1001.475244181504</v>
      </c>
    </row>
    <row r="971" spans="1:5">
      <c r="A971" t="s">
        <v>2600</v>
      </c>
      <c r="B971" t="s">
        <v>954</v>
      </c>
      <c r="C971" t="s">
        <v>995</v>
      </c>
      <c r="D971" t="s">
        <v>7070</v>
      </c>
      <c r="E971">
        <v>371.1496083920857</v>
      </c>
    </row>
    <row r="972" spans="1:5">
      <c r="A972" t="s">
        <v>2601</v>
      </c>
      <c r="B972" t="s">
        <v>954</v>
      </c>
      <c r="C972" t="s">
        <v>995</v>
      </c>
      <c r="D972" t="s">
        <v>7071</v>
      </c>
      <c r="E972">
        <v>0.6546516667031842</v>
      </c>
    </row>
    <row r="973" spans="1:5">
      <c r="A973" t="s">
        <v>2602</v>
      </c>
      <c r="B973" t="s">
        <v>954</v>
      </c>
      <c r="C973" t="s">
        <v>995</v>
      </c>
      <c r="D973" t="s">
        <v>7072</v>
      </c>
      <c r="E973">
        <v>0.01408562827761296</v>
      </c>
    </row>
    <row r="974" spans="1:5">
      <c r="A974" t="s">
        <v>2603</v>
      </c>
      <c r="B974" t="s">
        <v>954</v>
      </c>
      <c r="C974" t="s">
        <v>995</v>
      </c>
      <c r="D974" t="s">
        <v>7073</v>
      </c>
      <c r="E974">
        <v>0.003455766124244676</v>
      </c>
    </row>
    <row r="975" spans="1:5">
      <c r="A975" t="s">
        <v>2604</v>
      </c>
      <c r="B975" t="s">
        <v>954</v>
      </c>
      <c r="C975" t="s">
        <v>995</v>
      </c>
      <c r="D975" t="s">
        <v>7074</v>
      </c>
      <c r="E975">
        <v>0.9212101550421796</v>
      </c>
    </row>
    <row r="976" spans="1:5">
      <c r="A976" t="s">
        <v>2605</v>
      </c>
      <c r="B976" t="s">
        <v>954</v>
      </c>
      <c r="C976" t="s">
        <v>995</v>
      </c>
      <c r="D976" t="s">
        <v>7075</v>
      </c>
      <c r="E976">
        <v>1.686690351955477</v>
      </c>
    </row>
    <row r="977" spans="1:5">
      <c r="A977" t="s">
        <v>2606</v>
      </c>
      <c r="B977" t="s">
        <v>954</v>
      </c>
      <c r="C977" t="s">
        <v>995</v>
      </c>
      <c r="D977" t="s">
        <v>7076</v>
      </c>
      <c r="E977">
        <v>18.78141551293131</v>
      </c>
    </row>
    <row r="978" spans="1:5">
      <c r="A978" t="s">
        <v>2607</v>
      </c>
      <c r="B978" t="s">
        <v>954</v>
      </c>
      <c r="C978" t="s">
        <v>995</v>
      </c>
      <c r="D978" t="s">
        <v>7077</v>
      </c>
      <c r="E978">
        <v>48.54105608003143</v>
      </c>
    </row>
    <row r="979" spans="1:5">
      <c r="A979" t="s">
        <v>2608</v>
      </c>
      <c r="B979" t="s">
        <v>954</v>
      </c>
      <c r="C979" t="s">
        <v>995</v>
      </c>
      <c r="D979" t="s">
        <v>7078</v>
      </c>
      <c r="E979">
        <v>33.51928923930249</v>
      </c>
    </row>
    <row r="980" spans="1:5">
      <c r="A980" t="s">
        <v>2609</v>
      </c>
      <c r="B980" t="s">
        <v>954</v>
      </c>
      <c r="C980" t="s">
        <v>995</v>
      </c>
      <c r="D980" t="s">
        <v>7079</v>
      </c>
      <c r="E980">
        <v>17.81572615257939</v>
      </c>
    </row>
    <row r="981" spans="1:5">
      <c r="A981" t="s">
        <v>2610</v>
      </c>
      <c r="B981" t="s">
        <v>954</v>
      </c>
      <c r="C981" t="s">
        <v>995</v>
      </c>
      <c r="D981" t="s">
        <v>7080</v>
      </c>
      <c r="E981">
        <v>0.07390484228939379</v>
      </c>
    </row>
    <row r="982" spans="1:5">
      <c r="A982" t="s">
        <v>2611</v>
      </c>
      <c r="B982" t="s">
        <v>954</v>
      </c>
      <c r="C982" t="s">
        <v>995</v>
      </c>
      <c r="D982" t="s">
        <v>7081</v>
      </c>
      <c r="E982">
        <v>5.816668001154034</v>
      </c>
    </row>
    <row r="983" spans="1:5">
      <c r="A983" t="s">
        <v>2612</v>
      </c>
      <c r="B983" t="s">
        <v>954</v>
      </c>
      <c r="C983" t="s">
        <v>995</v>
      </c>
      <c r="D983" t="s">
        <v>7082</v>
      </c>
      <c r="E983">
        <v>0.1469861980562938</v>
      </c>
    </row>
    <row r="984" spans="1:5">
      <c r="A984" t="s">
        <v>2613</v>
      </c>
      <c r="B984" t="s">
        <v>954</v>
      </c>
      <c r="C984" t="s">
        <v>995</v>
      </c>
      <c r="D984" t="s">
        <v>7083</v>
      </c>
      <c r="E984">
        <v>0.08553531479440891</v>
      </c>
    </row>
    <row r="985" spans="1:5">
      <c r="A985" t="s">
        <v>2614</v>
      </c>
      <c r="B985" t="s">
        <v>954</v>
      </c>
      <c r="C985" t="s">
        <v>995</v>
      </c>
      <c r="D985" t="s">
        <v>7084</v>
      </c>
      <c r="E985">
        <v>38.31240706641169</v>
      </c>
    </row>
    <row r="986" spans="1:5">
      <c r="A986" t="s">
        <v>2615</v>
      </c>
      <c r="B986" t="s">
        <v>954</v>
      </c>
      <c r="C986" t="s">
        <v>995</v>
      </c>
      <c r="D986" t="s">
        <v>7085</v>
      </c>
      <c r="E986">
        <v>7.722280690119346</v>
      </c>
    </row>
    <row r="987" spans="1:5">
      <c r="A987" t="s">
        <v>2616</v>
      </c>
      <c r="B987" t="s">
        <v>954</v>
      </c>
      <c r="C987" t="s">
        <v>995</v>
      </c>
      <c r="D987" t="s">
        <v>7086</v>
      </c>
      <c r="E987">
        <v>6.534650677922276</v>
      </c>
    </row>
    <row r="988" spans="1:5">
      <c r="A988" t="s">
        <v>2617</v>
      </c>
      <c r="B988" t="s">
        <v>954</v>
      </c>
      <c r="C988" t="s">
        <v>995</v>
      </c>
      <c r="D988" t="s">
        <v>7087</v>
      </c>
      <c r="E988">
        <v>19.98152335431177</v>
      </c>
    </row>
    <row r="989" spans="1:5">
      <c r="A989" t="s">
        <v>2618</v>
      </c>
      <c r="B989" t="s">
        <v>954</v>
      </c>
      <c r="C989" t="s">
        <v>995</v>
      </c>
      <c r="D989" t="s">
        <v>7088</v>
      </c>
      <c r="E989">
        <v>0.1769709742362556</v>
      </c>
    </row>
    <row r="990" spans="1:5">
      <c r="A990" t="s">
        <v>2619</v>
      </c>
      <c r="B990" t="s">
        <v>954</v>
      </c>
      <c r="C990" t="s">
        <v>995</v>
      </c>
      <c r="D990" t="s">
        <v>6996</v>
      </c>
      <c r="E990">
        <v>17.85200025290471</v>
      </c>
    </row>
    <row r="991" spans="1:5">
      <c r="A991" t="s">
        <v>2620</v>
      </c>
      <c r="B991" t="s">
        <v>954</v>
      </c>
      <c r="C991" t="s">
        <v>995</v>
      </c>
      <c r="D991" t="s">
        <v>6997</v>
      </c>
      <c r="E991">
        <v>77.94788633948717</v>
      </c>
    </row>
    <row r="992" spans="1:5">
      <c r="A992" t="s">
        <v>2621</v>
      </c>
      <c r="B992" t="s">
        <v>954</v>
      </c>
      <c r="C992" t="s">
        <v>995</v>
      </c>
      <c r="D992" t="s">
        <v>7089</v>
      </c>
      <c r="E992">
        <v>4.840564380087623</v>
      </c>
    </row>
    <row r="993" spans="1:5">
      <c r="A993" t="s">
        <v>2622</v>
      </c>
      <c r="B993" t="s">
        <v>954</v>
      </c>
      <c r="C993" t="s">
        <v>995</v>
      </c>
      <c r="D993" t="s">
        <v>7090</v>
      </c>
      <c r="E993">
        <v>18.78141551293131</v>
      </c>
    </row>
    <row r="994" spans="1:5">
      <c r="A994" t="s">
        <v>2623</v>
      </c>
      <c r="B994" t="s">
        <v>954</v>
      </c>
      <c r="C994" t="s">
        <v>995</v>
      </c>
      <c r="D994" t="s">
        <v>7091</v>
      </c>
      <c r="E994">
        <v>0.2274588525140787</v>
      </c>
    </row>
    <row r="995" spans="1:5">
      <c r="A995" t="s">
        <v>2624</v>
      </c>
      <c r="B995" t="s">
        <v>954</v>
      </c>
      <c r="C995" t="s">
        <v>995</v>
      </c>
      <c r="D995" t="s">
        <v>7092</v>
      </c>
      <c r="E995">
        <v>8.389956986783224</v>
      </c>
    </row>
    <row r="996" spans="1:5">
      <c r="A996" t="s">
        <v>2625</v>
      </c>
      <c r="B996" t="s">
        <v>954</v>
      </c>
      <c r="C996" t="s">
        <v>995</v>
      </c>
      <c r="D996" t="s">
        <v>6998</v>
      </c>
      <c r="E996">
        <v>33.36778933814799</v>
      </c>
    </row>
    <row r="997" spans="1:5">
      <c r="A997" t="s">
        <v>2626</v>
      </c>
      <c r="B997" t="s">
        <v>954</v>
      </c>
      <c r="C997" t="s">
        <v>995</v>
      </c>
      <c r="D997" t="s">
        <v>7093</v>
      </c>
      <c r="E997">
        <v>2.015893884004059</v>
      </c>
    </row>
    <row r="998" spans="1:5">
      <c r="A998" t="s">
        <v>2627</v>
      </c>
      <c r="B998" t="s">
        <v>954</v>
      </c>
      <c r="C998" t="s">
        <v>995</v>
      </c>
      <c r="D998" t="s">
        <v>6999</v>
      </c>
      <c r="E998">
        <v>181.0224292720033</v>
      </c>
    </row>
    <row r="999" spans="1:5">
      <c r="A999" t="s">
        <v>2628</v>
      </c>
      <c r="B999" t="s">
        <v>954</v>
      </c>
      <c r="C999" t="s">
        <v>995</v>
      </c>
      <c r="D999" t="s">
        <v>7094</v>
      </c>
      <c r="E999">
        <v>804.403736579024</v>
      </c>
    </row>
    <row r="1000" spans="1:5">
      <c r="A1000" t="s">
        <v>2629</v>
      </c>
      <c r="B1000" t="s">
        <v>954</v>
      </c>
      <c r="C1000" t="s">
        <v>995</v>
      </c>
      <c r="D1000" t="s">
        <v>7095</v>
      </c>
      <c r="E1000">
        <v>309.2911270764134</v>
      </c>
    </row>
    <row r="1001" spans="1:5">
      <c r="A1001" t="s">
        <v>2630</v>
      </c>
      <c r="B1001" t="s">
        <v>954</v>
      </c>
      <c r="C1001" t="s">
        <v>995</v>
      </c>
      <c r="D1001" t="s">
        <v>7096</v>
      </c>
      <c r="E1001">
        <v>90.52151126875634</v>
      </c>
    </row>
    <row r="1002" spans="1:5">
      <c r="A1002" t="s">
        <v>2631</v>
      </c>
      <c r="B1002" t="s">
        <v>954</v>
      </c>
      <c r="C1002" t="s">
        <v>995</v>
      </c>
      <c r="D1002" t="s">
        <v>7097</v>
      </c>
      <c r="E1002">
        <v>70.86740456304322</v>
      </c>
    </row>
    <row r="1003" spans="1:5">
      <c r="A1003" t="s">
        <v>2632</v>
      </c>
      <c r="B1003" t="s">
        <v>954</v>
      </c>
      <c r="C1003" t="s">
        <v>995</v>
      </c>
      <c r="D1003" t="s">
        <v>7000</v>
      </c>
      <c r="E1003">
        <v>5.018026609191327</v>
      </c>
    </row>
    <row r="1004" spans="1:5">
      <c r="A1004" t="s">
        <v>2633</v>
      </c>
      <c r="B1004" t="s">
        <v>954</v>
      </c>
      <c r="C1004" t="s">
        <v>995</v>
      </c>
      <c r="D1004" t="s">
        <v>7098</v>
      </c>
      <c r="E1004">
        <v>1.109444316042205</v>
      </c>
    </row>
    <row r="1005" spans="1:5">
      <c r="A1005" t="s">
        <v>2634</v>
      </c>
      <c r="B1005" t="s">
        <v>954</v>
      </c>
      <c r="C1005" t="s">
        <v>995</v>
      </c>
      <c r="D1005" t="s">
        <v>7001</v>
      </c>
      <c r="E1005">
        <v>84.61781519825382</v>
      </c>
    </row>
    <row r="1006" spans="1:5">
      <c r="A1006" t="s">
        <v>2635</v>
      </c>
      <c r="B1006" t="s">
        <v>954</v>
      </c>
      <c r="C1006" t="s">
        <v>995</v>
      </c>
      <c r="D1006" t="s">
        <v>7099</v>
      </c>
      <c r="E1006">
        <v>0.05021229011816961</v>
      </c>
    </row>
    <row r="1007" spans="1:5">
      <c r="A1007" t="s">
        <v>2636</v>
      </c>
      <c r="B1007" t="s">
        <v>954</v>
      </c>
      <c r="C1007" t="s">
        <v>995</v>
      </c>
      <c r="D1007" t="s">
        <v>7100</v>
      </c>
      <c r="E1007">
        <v>84.97007295658003</v>
      </c>
    </row>
    <row r="1008" spans="1:5">
      <c r="A1008" t="s">
        <v>2637</v>
      </c>
      <c r="B1008" t="s">
        <v>954</v>
      </c>
      <c r="C1008" t="s">
        <v>995</v>
      </c>
      <c r="D1008" t="s">
        <v>7002</v>
      </c>
      <c r="E1008">
        <v>68.38411852047204</v>
      </c>
    </row>
    <row r="1009" spans="1:5">
      <c r="A1009" t="s">
        <v>2638</v>
      </c>
      <c r="B1009" t="s">
        <v>954</v>
      </c>
      <c r="C1009" t="s">
        <v>995</v>
      </c>
      <c r="D1009" t="s">
        <v>7101</v>
      </c>
      <c r="E1009">
        <v>3.056237183163824</v>
      </c>
    </row>
    <row r="1010" spans="1:5">
      <c r="A1010" t="s">
        <v>2639</v>
      </c>
      <c r="B1010" t="s">
        <v>954</v>
      </c>
      <c r="C1010" t="s">
        <v>995</v>
      </c>
      <c r="D1010" t="s">
        <v>7102</v>
      </c>
      <c r="E1010">
        <v>4.335961940435325</v>
      </c>
    </row>
    <row r="1011" spans="1:5">
      <c r="A1011" t="s">
        <v>2640</v>
      </c>
      <c r="B1011" t="s">
        <v>954</v>
      </c>
      <c r="C1011" t="s">
        <v>995</v>
      </c>
      <c r="D1011" t="s">
        <v>7103</v>
      </c>
      <c r="E1011">
        <v>0.210864178880627</v>
      </c>
    </row>
    <row r="1012" spans="1:5">
      <c r="A1012" t="s">
        <v>2641</v>
      </c>
      <c r="B1012" t="s">
        <v>954</v>
      </c>
      <c r="C1012" t="s">
        <v>995</v>
      </c>
      <c r="D1012" t="s">
        <v>7104</v>
      </c>
      <c r="E1012">
        <v>82.47762440925898</v>
      </c>
    </row>
    <row r="1013" spans="1:5">
      <c r="A1013" t="s">
        <v>2642</v>
      </c>
      <c r="B1013" t="s">
        <v>954</v>
      </c>
      <c r="C1013" t="s">
        <v>995</v>
      </c>
      <c r="D1013" t="s">
        <v>7105</v>
      </c>
      <c r="E1013">
        <v>38.97939559604041</v>
      </c>
    </row>
    <row r="1014" spans="1:5">
      <c r="A1014" t="s">
        <v>2643</v>
      </c>
      <c r="B1014" t="s">
        <v>954</v>
      </c>
      <c r="C1014" t="s">
        <v>995</v>
      </c>
      <c r="D1014" t="s">
        <v>7106</v>
      </c>
      <c r="E1014">
        <v>22.17981553112136</v>
      </c>
    </row>
    <row r="1015" spans="1:5">
      <c r="A1015" t="s">
        <v>2644</v>
      </c>
      <c r="B1015" t="s">
        <v>954</v>
      </c>
      <c r="C1015" t="s">
        <v>995</v>
      </c>
      <c r="D1015" t="s">
        <v>7107</v>
      </c>
      <c r="E1015">
        <v>0.6904959053535652</v>
      </c>
    </row>
    <row r="1016" spans="1:5">
      <c r="A1016" t="s">
        <v>2645</v>
      </c>
      <c r="B1016" t="s">
        <v>954</v>
      </c>
      <c r="C1016" t="s">
        <v>995</v>
      </c>
      <c r="D1016" t="s">
        <v>7003</v>
      </c>
      <c r="E1016">
        <v>33.02685394256286</v>
      </c>
    </row>
    <row r="1017" spans="1:5">
      <c r="A1017" t="s">
        <v>2646</v>
      </c>
      <c r="B1017" t="s">
        <v>954</v>
      </c>
      <c r="C1017" t="s">
        <v>995</v>
      </c>
      <c r="D1017" t="s">
        <v>7004</v>
      </c>
      <c r="E1017">
        <v>241.661569489665</v>
      </c>
    </row>
    <row r="1018" spans="1:5">
      <c r="A1018" t="s">
        <v>2647</v>
      </c>
      <c r="B1018" t="s">
        <v>954</v>
      </c>
      <c r="C1018" t="s">
        <v>995</v>
      </c>
      <c r="D1018" t="s">
        <v>7108</v>
      </c>
      <c r="E1018">
        <v>415.2130498669443</v>
      </c>
    </row>
    <row r="1019" spans="1:5">
      <c r="A1019" t="s">
        <v>2648</v>
      </c>
      <c r="B1019" t="s">
        <v>954</v>
      </c>
      <c r="C1019" t="s">
        <v>995</v>
      </c>
      <c r="D1019" t="s">
        <v>7109</v>
      </c>
      <c r="E1019">
        <v>12.71009127060948</v>
      </c>
    </row>
    <row r="1020" spans="1:5">
      <c r="A1020" t="s">
        <v>2649</v>
      </c>
      <c r="B1020" t="s">
        <v>954</v>
      </c>
      <c r="C1020" t="s">
        <v>995</v>
      </c>
      <c r="D1020" t="s">
        <v>7110</v>
      </c>
      <c r="E1020">
        <v>0.01271009623536809</v>
      </c>
    </row>
    <row r="1021" spans="1:5">
      <c r="A1021" t="s">
        <v>2650</v>
      </c>
      <c r="B1021" t="s">
        <v>954</v>
      </c>
      <c r="C1021" t="s">
        <v>995</v>
      </c>
      <c r="D1021" t="s">
        <v>7111</v>
      </c>
      <c r="E1021">
        <v>0.5405193898785814</v>
      </c>
    </row>
    <row r="1022" spans="1:5">
      <c r="A1022" t="s">
        <v>2651</v>
      </c>
      <c r="B1022" t="s">
        <v>954</v>
      </c>
      <c r="C1022" t="s">
        <v>995</v>
      </c>
      <c r="D1022" t="s">
        <v>7112</v>
      </c>
      <c r="E1022">
        <v>8.240655872079147</v>
      </c>
    </row>
    <row r="1023" spans="1:5">
      <c r="A1023" t="s">
        <v>2652</v>
      </c>
      <c r="B1023" t="s">
        <v>954</v>
      </c>
      <c r="C1023" t="s">
        <v>995</v>
      </c>
      <c r="D1023" t="s">
        <v>7113</v>
      </c>
      <c r="E1023">
        <v>0.0639400230025635</v>
      </c>
    </row>
    <row r="1024" spans="1:5">
      <c r="A1024" t="s">
        <v>2653</v>
      </c>
      <c r="B1024" t="s">
        <v>954</v>
      </c>
      <c r="C1024" t="s">
        <v>995</v>
      </c>
      <c r="D1024" t="s">
        <v>7114</v>
      </c>
      <c r="E1024">
        <v>14.64769955102041</v>
      </c>
    </row>
    <row r="1025" spans="1:5">
      <c r="A1025" t="s">
        <v>2654</v>
      </c>
      <c r="B1025" t="s">
        <v>954</v>
      </c>
      <c r="C1025" t="s">
        <v>995</v>
      </c>
      <c r="D1025" t="s">
        <v>7115</v>
      </c>
      <c r="E1025">
        <v>2.723300082163733</v>
      </c>
    </row>
    <row r="1026" spans="1:5">
      <c r="A1026" t="s">
        <v>2655</v>
      </c>
      <c r="B1026" t="s">
        <v>954</v>
      </c>
      <c r="C1026" t="s">
        <v>995</v>
      </c>
      <c r="D1026" t="s">
        <v>7116</v>
      </c>
      <c r="E1026">
        <v>18.78141551293131</v>
      </c>
    </row>
    <row r="1027" spans="1:5">
      <c r="A1027" t="s">
        <v>2656</v>
      </c>
      <c r="B1027" t="s">
        <v>954</v>
      </c>
      <c r="C1027" t="s">
        <v>995</v>
      </c>
      <c r="D1027" t="s">
        <v>7005</v>
      </c>
      <c r="E1027">
        <v>9.469118345667747</v>
      </c>
    </row>
    <row r="1028" spans="1:5">
      <c r="A1028" t="s">
        <v>2657</v>
      </c>
      <c r="B1028" t="s">
        <v>954</v>
      </c>
      <c r="C1028" t="s">
        <v>995</v>
      </c>
      <c r="D1028" t="s">
        <v>7117</v>
      </c>
      <c r="E1028">
        <v>33.35454978994277</v>
      </c>
    </row>
    <row r="1029" spans="1:5">
      <c r="A1029" t="s">
        <v>2658</v>
      </c>
      <c r="B1029" t="s">
        <v>954</v>
      </c>
      <c r="C1029" t="s">
        <v>995</v>
      </c>
      <c r="D1029" t="s">
        <v>7118</v>
      </c>
      <c r="E1029">
        <v>88.39880211495803</v>
      </c>
    </row>
    <row r="1030" spans="1:5">
      <c r="A1030" t="s">
        <v>2659</v>
      </c>
      <c r="B1030" t="s">
        <v>954</v>
      </c>
      <c r="C1030" t="s">
        <v>995</v>
      </c>
      <c r="D1030" t="s">
        <v>7119</v>
      </c>
      <c r="E1030">
        <v>106.2649818143377</v>
      </c>
    </row>
    <row r="1031" spans="1:5">
      <c r="A1031" t="s">
        <v>2660</v>
      </c>
      <c r="B1031" t="s">
        <v>954</v>
      </c>
      <c r="C1031" t="s">
        <v>995</v>
      </c>
      <c r="D1031" t="s">
        <v>7120</v>
      </c>
      <c r="E1031">
        <v>130.7222915737039</v>
      </c>
    </row>
    <row r="1032" spans="1:5">
      <c r="A1032" t="s">
        <v>2661</v>
      </c>
      <c r="B1032" t="s">
        <v>954</v>
      </c>
      <c r="C1032" t="s">
        <v>995</v>
      </c>
      <c r="D1032" t="s">
        <v>7006</v>
      </c>
      <c r="E1032">
        <v>6.764956030069643</v>
      </c>
    </row>
    <row r="1033" spans="1:5">
      <c r="A1033" t="s">
        <v>2662</v>
      </c>
      <c r="B1033" t="s">
        <v>954</v>
      </c>
      <c r="C1033" t="s">
        <v>995</v>
      </c>
      <c r="D1033" t="s">
        <v>7121</v>
      </c>
      <c r="E1033">
        <v>40.73939425931886</v>
      </c>
    </row>
    <row r="1034" spans="1:5">
      <c r="A1034" t="s">
        <v>2663</v>
      </c>
      <c r="B1034" t="s">
        <v>954</v>
      </c>
      <c r="C1034" t="s">
        <v>995</v>
      </c>
      <c r="D1034" t="s">
        <v>7122</v>
      </c>
      <c r="E1034">
        <v>220.5175019187129</v>
      </c>
    </row>
    <row r="1035" spans="1:5">
      <c r="A1035" t="s">
        <v>2664</v>
      </c>
      <c r="B1035" t="s">
        <v>954</v>
      </c>
      <c r="C1035" t="s">
        <v>995</v>
      </c>
      <c r="D1035" t="s">
        <v>7123</v>
      </c>
      <c r="E1035">
        <v>9.825199625859621</v>
      </c>
    </row>
    <row r="1036" spans="1:5">
      <c r="A1036" t="s">
        <v>2665</v>
      </c>
      <c r="B1036" t="s">
        <v>954</v>
      </c>
      <c r="C1036" t="s">
        <v>995</v>
      </c>
      <c r="D1036" t="s">
        <v>7124</v>
      </c>
      <c r="E1036">
        <v>0.1189123695778361</v>
      </c>
    </row>
    <row r="1037" spans="1:5">
      <c r="A1037" t="s">
        <v>2666</v>
      </c>
      <c r="B1037" t="s">
        <v>954</v>
      </c>
      <c r="C1037" t="s">
        <v>995</v>
      </c>
      <c r="D1037" t="s">
        <v>7125</v>
      </c>
      <c r="E1037">
        <v>6.984817700471422</v>
      </c>
    </row>
    <row r="1038" spans="1:5">
      <c r="A1038" t="s">
        <v>2667</v>
      </c>
      <c r="B1038" t="s">
        <v>954</v>
      </c>
      <c r="C1038" t="s">
        <v>995</v>
      </c>
      <c r="D1038" t="s">
        <v>7126</v>
      </c>
      <c r="E1038">
        <v>0.08241876442748532</v>
      </c>
    </row>
    <row r="1039" spans="1:5">
      <c r="A1039" t="s">
        <v>2668</v>
      </c>
      <c r="B1039" t="s">
        <v>954</v>
      </c>
      <c r="C1039" t="s">
        <v>995</v>
      </c>
      <c r="D1039" t="s">
        <v>998</v>
      </c>
      <c r="E1039">
        <v>309.290860513921</v>
      </c>
    </row>
    <row r="1040" spans="1:5">
      <c r="A1040" t="s">
        <v>2669</v>
      </c>
      <c r="B1040" t="s">
        <v>954</v>
      </c>
      <c r="C1040" t="s">
        <v>995</v>
      </c>
      <c r="D1040" t="s">
        <v>7127</v>
      </c>
      <c r="E1040">
        <v>7.657544466023105</v>
      </c>
    </row>
    <row r="1041" spans="1:5">
      <c r="A1041" t="s">
        <v>2670</v>
      </c>
      <c r="B1041" t="s">
        <v>954</v>
      </c>
      <c r="C1041" t="s">
        <v>995</v>
      </c>
      <c r="D1041" t="s">
        <v>7128</v>
      </c>
      <c r="E1041">
        <v>0.02559256289382455</v>
      </c>
    </row>
    <row r="1042" spans="1:5">
      <c r="A1042" t="s">
        <v>2671</v>
      </c>
      <c r="B1042" t="s">
        <v>954</v>
      </c>
      <c r="C1042" t="s">
        <v>995</v>
      </c>
      <c r="D1042" t="s">
        <v>7129</v>
      </c>
      <c r="E1042">
        <v>0.5830501671202087</v>
      </c>
    </row>
    <row r="1043" spans="1:5">
      <c r="A1043" t="s">
        <v>2672</v>
      </c>
      <c r="B1043" t="s">
        <v>954</v>
      </c>
      <c r="C1043" t="s">
        <v>995</v>
      </c>
      <c r="D1043" t="s">
        <v>7130</v>
      </c>
      <c r="E1043">
        <v>0.01183367151463606</v>
      </c>
    </row>
    <row r="1044" spans="1:5">
      <c r="A1044" t="s">
        <v>2673</v>
      </c>
      <c r="B1044" t="s">
        <v>954</v>
      </c>
      <c r="C1044" t="s">
        <v>995</v>
      </c>
      <c r="D1044" t="s">
        <v>7131</v>
      </c>
      <c r="E1044">
        <v>2.616807928916531</v>
      </c>
    </row>
    <row r="1045" spans="1:5">
      <c r="A1045" t="s">
        <v>2674</v>
      </c>
      <c r="B1045" t="s">
        <v>954</v>
      </c>
      <c r="C1045" t="s">
        <v>995</v>
      </c>
      <c r="D1045" t="s">
        <v>7132</v>
      </c>
      <c r="E1045">
        <v>115.1414958857943</v>
      </c>
    </row>
    <row r="1046" spans="1:5">
      <c r="A1046" t="s">
        <v>2675</v>
      </c>
      <c r="B1046" t="s">
        <v>954</v>
      </c>
      <c r="C1046" t="s">
        <v>995</v>
      </c>
      <c r="D1046" t="s">
        <v>7133</v>
      </c>
      <c r="E1046">
        <v>0.5470917133287699</v>
      </c>
    </row>
    <row r="1047" spans="1:5">
      <c r="A1047" t="s">
        <v>2676</v>
      </c>
      <c r="B1047" t="s">
        <v>954</v>
      </c>
      <c r="C1047" t="s">
        <v>995</v>
      </c>
      <c r="D1047" t="s">
        <v>7134</v>
      </c>
      <c r="E1047">
        <v>114.5522619744547</v>
      </c>
    </row>
    <row r="1048" spans="1:5">
      <c r="A1048" t="s">
        <v>2677</v>
      </c>
      <c r="B1048" t="s">
        <v>954</v>
      </c>
      <c r="C1048" t="s">
        <v>995</v>
      </c>
      <c r="D1048" t="s">
        <v>7135</v>
      </c>
      <c r="E1048">
        <v>172.7882775851053</v>
      </c>
    </row>
    <row r="1049" spans="1:5">
      <c r="A1049" t="s">
        <v>2678</v>
      </c>
      <c r="B1049" t="s">
        <v>954</v>
      </c>
      <c r="C1049" t="s">
        <v>995</v>
      </c>
      <c r="D1049" t="s">
        <v>7136</v>
      </c>
      <c r="E1049">
        <v>422.8949316521329</v>
      </c>
    </row>
    <row r="1050" spans="1:5">
      <c r="A1050" t="s">
        <v>2679</v>
      </c>
      <c r="B1050" t="s">
        <v>954</v>
      </c>
      <c r="C1050" t="s">
        <v>995</v>
      </c>
      <c r="D1050" t="s">
        <v>7137</v>
      </c>
      <c r="E1050">
        <v>0.5470917133287699</v>
      </c>
    </row>
    <row r="1051" spans="1:5">
      <c r="A1051" t="s">
        <v>2680</v>
      </c>
      <c r="B1051" t="s">
        <v>954</v>
      </c>
      <c r="C1051" t="s">
        <v>995</v>
      </c>
      <c r="D1051" t="s">
        <v>7138</v>
      </c>
      <c r="E1051">
        <v>3.00731269902457</v>
      </c>
    </row>
    <row r="1052" spans="1:5">
      <c r="A1052" t="s">
        <v>2681</v>
      </c>
      <c r="B1052" t="s">
        <v>954</v>
      </c>
      <c r="C1052" t="s">
        <v>995</v>
      </c>
      <c r="D1052" t="s">
        <v>7139</v>
      </c>
      <c r="E1052">
        <v>1.294065445717701</v>
      </c>
    </row>
    <row r="1053" spans="1:5">
      <c r="A1053" t="s">
        <v>2682</v>
      </c>
      <c r="B1053" t="s">
        <v>954</v>
      </c>
      <c r="C1053" t="s">
        <v>995</v>
      </c>
      <c r="D1053" t="s">
        <v>7007</v>
      </c>
      <c r="E1053">
        <v>18.78138012763662</v>
      </c>
    </row>
    <row r="1054" spans="1:5">
      <c r="A1054" t="s">
        <v>2683</v>
      </c>
      <c r="B1054" t="s">
        <v>954</v>
      </c>
      <c r="C1054" t="s">
        <v>995</v>
      </c>
      <c r="D1054" t="s">
        <v>7140</v>
      </c>
      <c r="E1054">
        <v>16.3779512153625</v>
      </c>
    </row>
    <row r="1055" spans="1:5">
      <c r="A1055" t="s">
        <v>2684</v>
      </c>
      <c r="B1055" t="s">
        <v>954</v>
      </c>
      <c r="C1055" t="s">
        <v>995</v>
      </c>
      <c r="D1055" t="s">
        <v>7141</v>
      </c>
      <c r="E1055">
        <v>11.7382440158835</v>
      </c>
    </row>
    <row r="1056" spans="1:5">
      <c r="A1056" t="s">
        <v>2685</v>
      </c>
      <c r="B1056" t="s">
        <v>954</v>
      </c>
      <c r="C1056" t="s">
        <v>995</v>
      </c>
      <c r="D1056" t="s">
        <v>7142</v>
      </c>
      <c r="E1056">
        <v>11.7382440158835</v>
      </c>
    </row>
    <row r="1057" spans="1:5">
      <c r="A1057" t="s">
        <v>2521</v>
      </c>
      <c r="B1057" t="s">
        <v>954</v>
      </c>
      <c r="C1057" t="s">
        <v>995</v>
      </c>
      <c r="D1057" t="s">
        <v>996</v>
      </c>
      <c r="E1057">
        <v>358.868639</v>
      </c>
    </row>
    <row r="1058" spans="1:5">
      <c r="A1058" t="s">
        <v>2686</v>
      </c>
      <c r="B1058" t="s">
        <v>955</v>
      </c>
      <c r="C1058" t="s">
        <v>995</v>
      </c>
      <c r="D1058" t="s">
        <v>996</v>
      </c>
      <c r="E1058">
        <v>355.926405</v>
      </c>
    </row>
    <row r="1059" spans="1:5">
      <c r="A1059" t="s">
        <v>2687</v>
      </c>
      <c r="B1059" t="s">
        <v>955</v>
      </c>
      <c r="C1059" t="s">
        <v>995</v>
      </c>
      <c r="D1059" t="s">
        <v>7008</v>
      </c>
      <c r="E1059">
        <v>83.31446783349764</v>
      </c>
    </row>
    <row r="1060" spans="1:5">
      <c r="A1060" t="s">
        <v>2688</v>
      </c>
      <c r="B1060" t="s">
        <v>955</v>
      </c>
      <c r="C1060" t="s">
        <v>995</v>
      </c>
      <c r="D1060" t="s">
        <v>7009</v>
      </c>
      <c r="E1060">
        <v>4.842140779771165</v>
      </c>
    </row>
    <row r="1061" spans="1:5">
      <c r="A1061" t="s">
        <v>2689</v>
      </c>
      <c r="B1061" t="s">
        <v>955</v>
      </c>
      <c r="C1061" t="s">
        <v>995</v>
      </c>
      <c r="D1061" t="s">
        <v>7010</v>
      </c>
      <c r="E1061">
        <v>3.727160010680312</v>
      </c>
    </row>
    <row r="1062" spans="1:5">
      <c r="A1062" t="s">
        <v>2690</v>
      </c>
      <c r="B1062" t="s">
        <v>955</v>
      </c>
      <c r="C1062" t="s">
        <v>995</v>
      </c>
      <c r="D1062" t="s">
        <v>7011</v>
      </c>
      <c r="E1062">
        <v>0.8315059042912062</v>
      </c>
    </row>
    <row r="1063" spans="1:5">
      <c r="A1063" t="s">
        <v>2691</v>
      </c>
      <c r="B1063" t="s">
        <v>955</v>
      </c>
      <c r="C1063" t="s">
        <v>995</v>
      </c>
      <c r="D1063" t="s">
        <v>7012</v>
      </c>
      <c r="E1063">
        <v>170.9342986714794</v>
      </c>
    </row>
    <row r="1064" spans="1:5">
      <c r="A1064" t="s">
        <v>2692</v>
      </c>
      <c r="B1064" t="s">
        <v>955</v>
      </c>
      <c r="C1064" t="s">
        <v>995</v>
      </c>
      <c r="D1064" t="s">
        <v>7013</v>
      </c>
      <c r="E1064">
        <v>0.3231395603887958</v>
      </c>
    </row>
    <row r="1065" spans="1:5">
      <c r="A1065" t="s">
        <v>2693</v>
      </c>
      <c r="B1065" t="s">
        <v>955</v>
      </c>
      <c r="C1065" t="s">
        <v>995</v>
      </c>
      <c r="D1065" t="s">
        <v>7014</v>
      </c>
      <c r="E1065">
        <v>0.2173270030838758</v>
      </c>
    </row>
    <row r="1066" spans="1:5">
      <c r="A1066" t="s">
        <v>2694</v>
      </c>
      <c r="B1066" t="s">
        <v>955</v>
      </c>
      <c r="C1066" t="s">
        <v>995</v>
      </c>
      <c r="D1066" t="s">
        <v>6981</v>
      </c>
      <c r="E1066">
        <v>219.2704699888494</v>
      </c>
    </row>
    <row r="1067" spans="1:5">
      <c r="A1067" t="s">
        <v>2695</v>
      </c>
      <c r="B1067" t="s">
        <v>955</v>
      </c>
      <c r="C1067" t="s">
        <v>995</v>
      </c>
      <c r="D1067" t="s">
        <v>7015</v>
      </c>
      <c r="E1067">
        <v>170.9342986714794</v>
      </c>
    </row>
    <row r="1068" spans="1:5">
      <c r="A1068" t="s">
        <v>2696</v>
      </c>
      <c r="B1068" t="s">
        <v>955</v>
      </c>
      <c r="C1068" t="s">
        <v>995</v>
      </c>
      <c r="D1068" t="s">
        <v>7016</v>
      </c>
      <c r="E1068">
        <v>179.8446472774935</v>
      </c>
    </row>
    <row r="1069" spans="1:5">
      <c r="A1069" t="s">
        <v>2697</v>
      </c>
      <c r="B1069" t="s">
        <v>955</v>
      </c>
      <c r="C1069" t="s">
        <v>995</v>
      </c>
      <c r="D1069" t="s">
        <v>7017</v>
      </c>
      <c r="E1069">
        <v>181.9822811798572</v>
      </c>
    </row>
    <row r="1070" spans="1:5">
      <c r="A1070" t="s">
        <v>2698</v>
      </c>
      <c r="B1070" t="s">
        <v>955</v>
      </c>
      <c r="C1070" t="s">
        <v>995</v>
      </c>
      <c r="D1070" t="s">
        <v>7018</v>
      </c>
      <c r="E1070">
        <v>152.9861484521778</v>
      </c>
    </row>
    <row r="1071" spans="1:5">
      <c r="A1071" t="s">
        <v>2699</v>
      </c>
      <c r="B1071" t="s">
        <v>955</v>
      </c>
      <c r="C1071" t="s">
        <v>995</v>
      </c>
      <c r="D1071" t="s">
        <v>7019</v>
      </c>
      <c r="E1071">
        <v>2.492094209352353</v>
      </c>
    </row>
    <row r="1072" spans="1:5">
      <c r="A1072" t="s">
        <v>2700</v>
      </c>
      <c r="B1072" t="s">
        <v>955</v>
      </c>
      <c r="C1072" t="s">
        <v>995</v>
      </c>
      <c r="D1072" t="s">
        <v>997</v>
      </c>
      <c r="E1072">
        <v>181.9822811798572</v>
      </c>
    </row>
    <row r="1073" spans="1:5">
      <c r="A1073" t="s">
        <v>2701</v>
      </c>
      <c r="B1073" t="s">
        <v>955</v>
      </c>
      <c r="C1073" t="s">
        <v>995</v>
      </c>
      <c r="D1073" t="s">
        <v>7020</v>
      </c>
      <c r="E1073">
        <v>813.7562501857622</v>
      </c>
    </row>
    <row r="1074" spans="1:5">
      <c r="A1074" t="s">
        <v>2702</v>
      </c>
      <c r="B1074" t="s">
        <v>955</v>
      </c>
      <c r="C1074" t="s">
        <v>995</v>
      </c>
      <c r="D1074" t="s">
        <v>7021</v>
      </c>
      <c r="E1074">
        <v>0.1024448202916617</v>
      </c>
    </row>
    <row r="1075" spans="1:5">
      <c r="A1075" t="s">
        <v>2703</v>
      </c>
      <c r="B1075" t="s">
        <v>955</v>
      </c>
      <c r="C1075" t="s">
        <v>995</v>
      </c>
      <c r="D1075" t="s">
        <v>7022</v>
      </c>
      <c r="E1075">
        <v>305.9724284190248</v>
      </c>
    </row>
    <row r="1076" spans="1:5">
      <c r="A1076" t="s">
        <v>2704</v>
      </c>
      <c r="B1076" t="s">
        <v>955</v>
      </c>
      <c r="C1076" t="s">
        <v>995</v>
      </c>
      <c r="D1076" t="s">
        <v>7023</v>
      </c>
      <c r="E1076">
        <v>239.516242020643</v>
      </c>
    </row>
    <row r="1077" spans="1:5">
      <c r="A1077" t="s">
        <v>2705</v>
      </c>
      <c r="B1077" t="s">
        <v>955</v>
      </c>
      <c r="C1077" t="s">
        <v>995</v>
      </c>
      <c r="D1077" t="s">
        <v>7024</v>
      </c>
      <c r="E1077">
        <v>44.27447003012406</v>
      </c>
    </row>
    <row r="1078" spans="1:5">
      <c r="A1078" t="s">
        <v>2706</v>
      </c>
      <c r="B1078" t="s">
        <v>955</v>
      </c>
      <c r="C1078" t="s">
        <v>995</v>
      </c>
      <c r="D1078" t="s">
        <v>6982</v>
      </c>
      <c r="E1078">
        <v>60.88237573150931</v>
      </c>
    </row>
    <row r="1079" spans="1:5">
      <c r="A1079" t="s">
        <v>2707</v>
      </c>
      <c r="B1079" t="s">
        <v>955</v>
      </c>
      <c r="C1079" t="s">
        <v>995</v>
      </c>
      <c r="D1079" t="s">
        <v>7025</v>
      </c>
      <c r="E1079">
        <v>305.9724284190248</v>
      </c>
    </row>
    <row r="1080" spans="1:5">
      <c r="A1080" t="s">
        <v>2708</v>
      </c>
      <c r="B1080" t="s">
        <v>955</v>
      </c>
      <c r="C1080" t="s">
        <v>995</v>
      </c>
      <c r="D1080" t="s">
        <v>7026</v>
      </c>
      <c r="E1080">
        <v>3.199445139254126</v>
      </c>
    </row>
    <row r="1081" spans="1:5">
      <c r="A1081" t="s">
        <v>2709</v>
      </c>
      <c r="B1081" t="s">
        <v>955</v>
      </c>
      <c r="C1081" t="s">
        <v>995</v>
      </c>
      <c r="D1081" t="s">
        <v>7027</v>
      </c>
      <c r="E1081">
        <v>21.79286066437394</v>
      </c>
    </row>
    <row r="1082" spans="1:5">
      <c r="A1082" t="s">
        <v>2710</v>
      </c>
      <c r="B1082" t="s">
        <v>955</v>
      </c>
      <c r="C1082" t="s">
        <v>995</v>
      </c>
      <c r="D1082" t="s">
        <v>7028</v>
      </c>
      <c r="E1082">
        <v>110.934930690292</v>
      </c>
    </row>
    <row r="1083" spans="1:5">
      <c r="A1083" t="s">
        <v>2711</v>
      </c>
      <c r="B1083" t="s">
        <v>955</v>
      </c>
      <c r="C1083" t="s">
        <v>995</v>
      </c>
      <c r="D1083" t="s">
        <v>7029</v>
      </c>
      <c r="E1083">
        <v>152.9861484521778</v>
      </c>
    </row>
    <row r="1084" spans="1:5">
      <c r="A1084" t="s">
        <v>2712</v>
      </c>
      <c r="B1084" t="s">
        <v>955</v>
      </c>
      <c r="C1084" t="s">
        <v>995</v>
      </c>
      <c r="D1084" t="s">
        <v>6983</v>
      </c>
      <c r="E1084">
        <v>221.6153276195398</v>
      </c>
    </row>
    <row r="1085" spans="1:5">
      <c r="A1085" t="s">
        <v>2713</v>
      </c>
      <c r="B1085" t="s">
        <v>955</v>
      </c>
      <c r="C1085" t="s">
        <v>995</v>
      </c>
      <c r="D1085" t="s">
        <v>7030</v>
      </c>
      <c r="E1085">
        <v>0.1326345851116635</v>
      </c>
    </row>
    <row r="1086" spans="1:5">
      <c r="A1086" t="s">
        <v>2714</v>
      </c>
      <c r="B1086" t="s">
        <v>955</v>
      </c>
      <c r="C1086" t="s">
        <v>995</v>
      </c>
      <c r="D1086" t="s">
        <v>6984</v>
      </c>
      <c r="E1086">
        <v>389.5832840780729</v>
      </c>
    </row>
    <row r="1087" spans="1:5">
      <c r="A1087" t="s">
        <v>2715</v>
      </c>
      <c r="B1087" t="s">
        <v>955</v>
      </c>
      <c r="C1087" t="s">
        <v>995</v>
      </c>
      <c r="D1087" t="s">
        <v>7031</v>
      </c>
      <c r="E1087">
        <v>13483.08224107887</v>
      </c>
    </row>
    <row r="1088" spans="1:5">
      <c r="A1088" t="s">
        <v>2716</v>
      </c>
      <c r="B1088" t="s">
        <v>955</v>
      </c>
      <c r="C1088" t="s">
        <v>995</v>
      </c>
      <c r="D1088" t="s">
        <v>7032</v>
      </c>
      <c r="E1088">
        <v>0.3411103113721409</v>
      </c>
    </row>
    <row r="1089" spans="1:5">
      <c r="A1089" t="s">
        <v>2717</v>
      </c>
      <c r="B1089" t="s">
        <v>955</v>
      </c>
      <c r="C1089" t="s">
        <v>995</v>
      </c>
      <c r="D1089" t="s">
        <v>7033</v>
      </c>
      <c r="E1089">
        <v>45.0886307805189</v>
      </c>
    </row>
    <row r="1090" spans="1:5">
      <c r="A1090" t="s">
        <v>2718</v>
      </c>
      <c r="B1090" t="s">
        <v>955</v>
      </c>
      <c r="C1090" t="s">
        <v>995</v>
      </c>
      <c r="D1090" t="s">
        <v>6985</v>
      </c>
      <c r="E1090">
        <v>45.02751737523344</v>
      </c>
    </row>
    <row r="1091" spans="1:5">
      <c r="A1091" t="s">
        <v>2719</v>
      </c>
      <c r="B1091" t="s">
        <v>955</v>
      </c>
      <c r="C1091" t="s">
        <v>995</v>
      </c>
      <c r="D1091" t="s">
        <v>7034</v>
      </c>
      <c r="E1091">
        <v>0.08387131691973707</v>
      </c>
    </row>
    <row r="1092" spans="1:5">
      <c r="A1092" t="s">
        <v>2720</v>
      </c>
      <c r="B1092" t="s">
        <v>955</v>
      </c>
      <c r="C1092" t="s">
        <v>995</v>
      </c>
      <c r="D1092" t="s">
        <v>7035</v>
      </c>
      <c r="E1092">
        <v>0.6731349493274218</v>
      </c>
    </row>
    <row r="1093" spans="1:5">
      <c r="A1093" t="s">
        <v>2721</v>
      </c>
      <c r="B1093" t="s">
        <v>955</v>
      </c>
      <c r="C1093" t="s">
        <v>995</v>
      </c>
      <c r="D1093" t="s">
        <v>7036</v>
      </c>
      <c r="E1093">
        <v>12.7488484442365</v>
      </c>
    </row>
    <row r="1094" spans="1:5">
      <c r="A1094" t="s">
        <v>2722</v>
      </c>
      <c r="B1094" t="s">
        <v>955</v>
      </c>
      <c r="C1094" t="s">
        <v>995</v>
      </c>
      <c r="D1094" t="s">
        <v>7037</v>
      </c>
      <c r="E1094">
        <v>3.227918242415998</v>
      </c>
    </row>
    <row r="1095" spans="1:5">
      <c r="A1095" t="s">
        <v>2723</v>
      </c>
      <c r="B1095" t="s">
        <v>955</v>
      </c>
      <c r="C1095" t="s">
        <v>995</v>
      </c>
      <c r="D1095" t="s">
        <v>6986</v>
      </c>
      <c r="E1095">
        <v>14.66703922880256</v>
      </c>
    </row>
    <row r="1096" spans="1:5">
      <c r="A1096" t="s">
        <v>2724</v>
      </c>
      <c r="B1096" t="s">
        <v>955</v>
      </c>
      <c r="C1096" t="s">
        <v>995</v>
      </c>
      <c r="D1096" t="s">
        <v>7038</v>
      </c>
      <c r="E1096">
        <v>1.721644390592483</v>
      </c>
    </row>
    <row r="1097" spans="1:5">
      <c r="A1097" t="s">
        <v>2725</v>
      </c>
      <c r="B1097" t="s">
        <v>955</v>
      </c>
      <c r="C1097" t="s">
        <v>995</v>
      </c>
      <c r="D1097" t="s">
        <v>6987</v>
      </c>
      <c r="E1097">
        <v>47.69205851471229</v>
      </c>
    </row>
    <row r="1098" spans="1:5">
      <c r="A1098" t="s">
        <v>2726</v>
      </c>
      <c r="B1098" t="s">
        <v>955</v>
      </c>
      <c r="C1098" t="s">
        <v>995</v>
      </c>
      <c r="D1098" t="s">
        <v>7039</v>
      </c>
      <c r="E1098">
        <v>5.19687997451367</v>
      </c>
    </row>
    <row r="1099" spans="1:5">
      <c r="A1099" t="s">
        <v>2727</v>
      </c>
      <c r="B1099" t="s">
        <v>955</v>
      </c>
      <c r="C1099" t="s">
        <v>995</v>
      </c>
      <c r="D1099" t="s">
        <v>7040</v>
      </c>
      <c r="E1099">
        <v>2.303736621778354</v>
      </c>
    </row>
    <row r="1100" spans="1:5">
      <c r="A1100" t="s">
        <v>2728</v>
      </c>
      <c r="B1100" t="s">
        <v>955</v>
      </c>
      <c r="C1100" t="s">
        <v>995</v>
      </c>
      <c r="D1100" t="s">
        <v>7041</v>
      </c>
      <c r="E1100">
        <v>5.85598326198196</v>
      </c>
    </row>
    <row r="1101" spans="1:5">
      <c r="A1101" t="s">
        <v>2729</v>
      </c>
      <c r="B1101" t="s">
        <v>955</v>
      </c>
      <c r="C1101" t="s">
        <v>995</v>
      </c>
      <c r="D1101" t="s">
        <v>7042</v>
      </c>
      <c r="E1101">
        <v>20.39815721852359</v>
      </c>
    </row>
    <row r="1102" spans="1:5">
      <c r="A1102" t="s">
        <v>2730</v>
      </c>
      <c r="B1102" t="s">
        <v>955</v>
      </c>
      <c r="C1102" t="s">
        <v>995</v>
      </c>
      <c r="D1102" t="s">
        <v>7043</v>
      </c>
      <c r="E1102">
        <v>1.911193512158195</v>
      </c>
    </row>
    <row r="1103" spans="1:5">
      <c r="A1103" t="s">
        <v>2731</v>
      </c>
      <c r="B1103" t="s">
        <v>955</v>
      </c>
      <c r="C1103" t="s">
        <v>995</v>
      </c>
      <c r="D1103" t="s">
        <v>7044</v>
      </c>
      <c r="E1103">
        <v>139.2622835363814</v>
      </c>
    </row>
    <row r="1104" spans="1:5">
      <c r="A1104" t="s">
        <v>2732</v>
      </c>
      <c r="B1104" t="s">
        <v>955</v>
      </c>
      <c r="C1104" t="s">
        <v>995</v>
      </c>
      <c r="D1104" t="s">
        <v>7045</v>
      </c>
      <c r="E1104">
        <v>411.7374110706229</v>
      </c>
    </row>
    <row r="1105" spans="1:5">
      <c r="A1105" t="s">
        <v>2733</v>
      </c>
      <c r="B1105" t="s">
        <v>955</v>
      </c>
      <c r="C1105" t="s">
        <v>995</v>
      </c>
      <c r="D1105" t="s">
        <v>7046</v>
      </c>
      <c r="E1105">
        <v>47.69206490517031</v>
      </c>
    </row>
    <row r="1106" spans="1:5">
      <c r="A1106" t="s">
        <v>2734</v>
      </c>
      <c r="B1106" t="s">
        <v>955</v>
      </c>
      <c r="C1106" t="s">
        <v>995</v>
      </c>
      <c r="D1106" t="s">
        <v>6988</v>
      </c>
      <c r="E1106">
        <v>411.7369347713173</v>
      </c>
    </row>
    <row r="1107" spans="1:5">
      <c r="A1107" t="s">
        <v>2735</v>
      </c>
      <c r="B1107" t="s">
        <v>955</v>
      </c>
      <c r="C1107" t="s">
        <v>995</v>
      </c>
      <c r="D1107" t="s">
        <v>7047</v>
      </c>
      <c r="E1107">
        <v>114.5184404768684</v>
      </c>
    </row>
    <row r="1108" spans="1:5">
      <c r="A1108" t="s">
        <v>2736</v>
      </c>
      <c r="B1108" t="s">
        <v>955</v>
      </c>
      <c r="C1108" t="s">
        <v>995</v>
      </c>
      <c r="D1108" t="s">
        <v>7048</v>
      </c>
      <c r="E1108">
        <v>411.7374110706229</v>
      </c>
    </row>
    <row r="1109" spans="1:5">
      <c r="A1109" t="s">
        <v>2737</v>
      </c>
      <c r="B1109" t="s">
        <v>955</v>
      </c>
      <c r="C1109" t="s">
        <v>995</v>
      </c>
      <c r="D1109" t="s">
        <v>7049</v>
      </c>
      <c r="E1109">
        <v>26.19496787766658</v>
      </c>
    </row>
    <row r="1110" spans="1:5">
      <c r="A1110" t="s">
        <v>2738</v>
      </c>
      <c r="B1110" t="s">
        <v>955</v>
      </c>
      <c r="C1110" t="s">
        <v>995</v>
      </c>
      <c r="D1110" t="s">
        <v>7050</v>
      </c>
      <c r="E1110">
        <v>411.7374110706229</v>
      </c>
    </row>
    <row r="1111" spans="1:5">
      <c r="A1111" t="s">
        <v>2739</v>
      </c>
      <c r="B1111" t="s">
        <v>955</v>
      </c>
      <c r="C1111" t="s">
        <v>995</v>
      </c>
      <c r="D1111" t="s">
        <v>7051</v>
      </c>
      <c r="E1111">
        <v>4.126197189492613</v>
      </c>
    </row>
    <row r="1112" spans="1:5">
      <c r="A1112" t="s">
        <v>2740</v>
      </c>
      <c r="B1112" t="s">
        <v>955</v>
      </c>
      <c r="C1112" t="s">
        <v>995</v>
      </c>
      <c r="D1112" t="s">
        <v>7052</v>
      </c>
      <c r="E1112">
        <v>0.03493514851562043</v>
      </c>
    </row>
    <row r="1113" spans="1:5">
      <c r="A1113" t="s">
        <v>2741</v>
      </c>
      <c r="B1113" t="s">
        <v>955</v>
      </c>
      <c r="C1113" t="s">
        <v>995</v>
      </c>
      <c r="D1113" t="s">
        <v>7053</v>
      </c>
      <c r="E1113">
        <v>40.10906116938708</v>
      </c>
    </row>
    <row r="1114" spans="1:5">
      <c r="A1114" t="s">
        <v>2742</v>
      </c>
      <c r="B1114" t="s">
        <v>955</v>
      </c>
      <c r="C1114" t="s">
        <v>995</v>
      </c>
      <c r="D1114" t="s">
        <v>7054</v>
      </c>
      <c r="E1114">
        <v>1.461972192435454</v>
      </c>
    </row>
    <row r="1115" spans="1:5">
      <c r="A1115" t="s">
        <v>2743</v>
      </c>
      <c r="B1115" t="s">
        <v>955</v>
      </c>
      <c r="C1115" t="s">
        <v>995</v>
      </c>
      <c r="D1115" t="s">
        <v>6989</v>
      </c>
      <c r="E1115">
        <v>39.04259660186779</v>
      </c>
    </row>
    <row r="1116" spans="1:5">
      <c r="A1116" t="s">
        <v>2744</v>
      </c>
      <c r="B1116" t="s">
        <v>955</v>
      </c>
      <c r="C1116" t="s">
        <v>995</v>
      </c>
      <c r="D1116" t="s">
        <v>7055</v>
      </c>
      <c r="E1116">
        <v>11.49694549240277</v>
      </c>
    </row>
    <row r="1117" spans="1:5">
      <c r="A1117" t="s">
        <v>2745</v>
      </c>
      <c r="B1117" t="s">
        <v>955</v>
      </c>
      <c r="C1117" t="s">
        <v>995</v>
      </c>
      <c r="D1117" t="s">
        <v>7056</v>
      </c>
      <c r="E1117">
        <v>47.2395520605216</v>
      </c>
    </row>
    <row r="1118" spans="1:5">
      <c r="A1118" t="s">
        <v>2746</v>
      </c>
      <c r="B1118" t="s">
        <v>955</v>
      </c>
      <c r="C1118" t="s">
        <v>995</v>
      </c>
      <c r="D1118" t="s">
        <v>7057</v>
      </c>
      <c r="E1118">
        <v>2.335565394693606</v>
      </c>
    </row>
    <row r="1119" spans="1:5">
      <c r="A1119" t="s">
        <v>2747</v>
      </c>
      <c r="B1119" t="s">
        <v>955</v>
      </c>
      <c r="C1119" t="s">
        <v>995</v>
      </c>
      <c r="D1119" t="s">
        <v>6990</v>
      </c>
      <c r="E1119">
        <v>0.01721710269297335</v>
      </c>
    </row>
    <row r="1120" spans="1:5">
      <c r="A1120" t="s">
        <v>2748</v>
      </c>
      <c r="B1120" t="s">
        <v>955</v>
      </c>
      <c r="C1120" t="s">
        <v>995</v>
      </c>
      <c r="D1120" t="s">
        <v>6991</v>
      </c>
      <c r="E1120">
        <v>107.3537455202214</v>
      </c>
    </row>
    <row r="1121" spans="1:5">
      <c r="A1121" t="s">
        <v>2749</v>
      </c>
      <c r="B1121" t="s">
        <v>955</v>
      </c>
      <c r="C1121" t="s">
        <v>995</v>
      </c>
      <c r="D1121" t="s">
        <v>7058</v>
      </c>
      <c r="E1121">
        <v>411.7374110706229</v>
      </c>
    </row>
    <row r="1122" spans="1:5">
      <c r="A1122" t="s">
        <v>2750</v>
      </c>
      <c r="B1122" t="s">
        <v>955</v>
      </c>
      <c r="C1122" t="s">
        <v>995</v>
      </c>
      <c r="D1122" t="s">
        <v>6992</v>
      </c>
      <c r="E1122">
        <v>3.200696746913425</v>
      </c>
    </row>
    <row r="1123" spans="1:5">
      <c r="A1123" t="s">
        <v>2751</v>
      </c>
      <c r="B1123" t="s">
        <v>955</v>
      </c>
      <c r="C1123" t="s">
        <v>995</v>
      </c>
      <c r="D1123" t="s">
        <v>7059</v>
      </c>
      <c r="E1123">
        <v>0.2333570895387274</v>
      </c>
    </row>
    <row r="1124" spans="1:5">
      <c r="A1124" t="s">
        <v>2752</v>
      </c>
      <c r="B1124" t="s">
        <v>955</v>
      </c>
      <c r="C1124" t="s">
        <v>995</v>
      </c>
      <c r="D1124" t="s">
        <v>7060</v>
      </c>
      <c r="E1124">
        <v>0.0002312511489830086</v>
      </c>
    </row>
    <row r="1125" spans="1:5">
      <c r="A1125" t="s">
        <v>2753</v>
      </c>
      <c r="B1125" t="s">
        <v>955</v>
      </c>
      <c r="C1125" t="s">
        <v>995</v>
      </c>
      <c r="D1125" t="s">
        <v>6993</v>
      </c>
      <c r="E1125">
        <v>2.47938197486911</v>
      </c>
    </row>
    <row r="1126" spans="1:5">
      <c r="A1126" t="s">
        <v>2754</v>
      </c>
      <c r="B1126" t="s">
        <v>955</v>
      </c>
      <c r="C1126" t="s">
        <v>995</v>
      </c>
      <c r="D1126" t="s">
        <v>7061</v>
      </c>
      <c r="E1126">
        <v>411.7374110706229</v>
      </c>
    </row>
    <row r="1127" spans="1:5">
      <c r="A1127" t="s">
        <v>2755</v>
      </c>
      <c r="B1127" t="s">
        <v>955</v>
      </c>
      <c r="C1127" t="s">
        <v>995</v>
      </c>
      <c r="D1127" t="s">
        <v>7062</v>
      </c>
      <c r="E1127">
        <v>1.95506806350961</v>
      </c>
    </row>
    <row r="1128" spans="1:5">
      <c r="A1128" t="s">
        <v>2756</v>
      </c>
      <c r="B1128" t="s">
        <v>955</v>
      </c>
      <c r="C1128" t="s">
        <v>995</v>
      </c>
      <c r="D1128" t="s">
        <v>7063</v>
      </c>
      <c r="E1128">
        <v>431.5546271979281</v>
      </c>
    </row>
    <row r="1129" spans="1:5">
      <c r="A1129" t="s">
        <v>2757</v>
      </c>
      <c r="B1129" t="s">
        <v>955</v>
      </c>
      <c r="C1129" t="s">
        <v>995</v>
      </c>
      <c r="D1129" t="s">
        <v>6994</v>
      </c>
      <c r="E1129">
        <v>1.921627198279792</v>
      </c>
    </row>
    <row r="1130" spans="1:5">
      <c r="A1130" t="s">
        <v>2758</v>
      </c>
      <c r="B1130" t="s">
        <v>955</v>
      </c>
      <c r="C1130" t="s">
        <v>995</v>
      </c>
      <c r="D1130" t="s">
        <v>7064</v>
      </c>
      <c r="E1130">
        <v>2.360830417104903</v>
      </c>
    </row>
    <row r="1131" spans="1:5">
      <c r="A1131" t="s">
        <v>2759</v>
      </c>
      <c r="B1131" t="s">
        <v>955</v>
      </c>
      <c r="C1131" t="s">
        <v>995</v>
      </c>
      <c r="D1131" t="s">
        <v>7065</v>
      </c>
      <c r="E1131">
        <v>3.494825410631159</v>
      </c>
    </row>
    <row r="1132" spans="1:5">
      <c r="A1132" t="s">
        <v>2760</v>
      </c>
      <c r="B1132" t="s">
        <v>955</v>
      </c>
      <c r="C1132" t="s">
        <v>995</v>
      </c>
      <c r="D1132" t="s">
        <v>7066</v>
      </c>
      <c r="E1132">
        <v>0.07579119148430966</v>
      </c>
    </row>
    <row r="1133" spans="1:5">
      <c r="A1133" t="s">
        <v>2761</v>
      </c>
      <c r="B1133" t="s">
        <v>955</v>
      </c>
      <c r="C1133" t="s">
        <v>995</v>
      </c>
      <c r="D1133" t="s">
        <v>7067</v>
      </c>
      <c r="E1133">
        <v>219.2706050717428</v>
      </c>
    </row>
    <row r="1134" spans="1:5">
      <c r="A1134" t="s">
        <v>2762</v>
      </c>
      <c r="B1134" t="s">
        <v>955</v>
      </c>
      <c r="C1134" t="s">
        <v>995</v>
      </c>
      <c r="D1134" t="s">
        <v>7068</v>
      </c>
      <c r="E1134">
        <v>0.7234750753479268</v>
      </c>
    </row>
    <row r="1135" spans="1:5">
      <c r="A1135" t="s">
        <v>2763</v>
      </c>
      <c r="B1135" t="s">
        <v>955</v>
      </c>
      <c r="C1135" t="s">
        <v>995</v>
      </c>
      <c r="D1135" t="s">
        <v>6995</v>
      </c>
      <c r="E1135">
        <v>0.2030362715689705</v>
      </c>
    </row>
    <row r="1136" spans="1:5">
      <c r="A1136" t="s">
        <v>2764</v>
      </c>
      <c r="B1136" t="s">
        <v>955</v>
      </c>
      <c r="C1136" t="s">
        <v>995</v>
      </c>
      <c r="D1136" t="s">
        <v>7069</v>
      </c>
      <c r="E1136">
        <v>991.7754919499106</v>
      </c>
    </row>
    <row r="1137" spans="1:5">
      <c r="A1137" t="s">
        <v>2765</v>
      </c>
      <c r="B1137" t="s">
        <v>955</v>
      </c>
      <c r="C1137" t="s">
        <v>995</v>
      </c>
      <c r="D1137" t="s">
        <v>7070</v>
      </c>
      <c r="E1137">
        <v>367.1668509757723</v>
      </c>
    </row>
    <row r="1138" spans="1:5">
      <c r="A1138" t="s">
        <v>2766</v>
      </c>
      <c r="B1138" t="s">
        <v>955</v>
      </c>
      <c r="C1138" t="s">
        <v>995</v>
      </c>
      <c r="D1138" t="s">
        <v>7071</v>
      </c>
      <c r="E1138">
        <v>0.6377679478928737</v>
      </c>
    </row>
    <row r="1139" spans="1:5">
      <c r="A1139" t="s">
        <v>2767</v>
      </c>
      <c r="B1139" t="s">
        <v>955</v>
      </c>
      <c r="C1139" t="s">
        <v>995</v>
      </c>
      <c r="D1139" t="s">
        <v>7072</v>
      </c>
      <c r="E1139">
        <v>0.01393290105141574</v>
      </c>
    </row>
    <row r="1140" spans="1:5">
      <c r="A1140" t="s">
        <v>2768</v>
      </c>
      <c r="B1140" t="s">
        <v>955</v>
      </c>
      <c r="C1140" t="s">
        <v>995</v>
      </c>
      <c r="D1140" t="s">
        <v>7073</v>
      </c>
      <c r="E1140">
        <v>0.003418685612062819</v>
      </c>
    </row>
    <row r="1141" spans="1:5">
      <c r="A1141" t="s">
        <v>2769</v>
      </c>
      <c r="B1141" t="s">
        <v>955</v>
      </c>
      <c r="C1141" t="s">
        <v>995</v>
      </c>
      <c r="D1141" t="s">
        <v>7074</v>
      </c>
      <c r="E1141">
        <v>0.9425409522066294</v>
      </c>
    </row>
    <row r="1142" spans="1:5">
      <c r="A1142" t="s">
        <v>2770</v>
      </c>
      <c r="B1142" t="s">
        <v>955</v>
      </c>
      <c r="C1142" t="s">
        <v>995</v>
      </c>
      <c r="D1142" t="s">
        <v>7075</v>
      </c>
      <c r="E1142">
        <v>1.672086655186515</v>
      </c>
    </row>
    <row r="1143" spans="1:5">
      <c r="A1143" t="s">
        <v>2771</v>
      </c>
      <c r="B1143" t="s">
        <v>955</v>
      </c>
      <c r="C1143" t="s">
        <v>995</v>
      </c>
      <c r="D1143" t="s">
        <v>7076</v>
      </c>
      <c r="E1143">
        <v>18.69038706395592</v>
      </c>
    </row>
    <row r="1144" spans="1:5">
      <c r="A1144" t="s">
        <v>2772</v>
      </c>
      <c r="B1144" t="s">
        <v>955</v>
      </c>
      <c r="C1144" t="s">
        <v>995</v>
      </c>
      <c r="D1144" t="s">
        <v>7077</v>
      </c>
      <c r="E1144">
        <v>47.9937763742239</v>
      </c>
    </row>
    <row r="1145" spans="1:5">
      <c r="A1145" t="s">
        <v>2773</v>
      </c>
      <c r="B1145" t="s">
        <v>955</v>
      </c>
      <c r="C1145" t="s">
        <v>995</v>
      </c>
      <c r="D1145" t="s">
        <v>7078</v>
      </c>
      <c r="E1145">
        <v>33.28384345915326</v>
      </c>
    </row>
    <row r="1146" spans="1:5">
      <c r="A1146" t="s">
        <v>2774</v>
      </c>
      <c r="B1146" t="s">
        <v>955</v>
      </c>
      <c r="C1146" t="s">
        <v>995</v>
      </c>
      <c r="D1146" t="s">
        <v>7079</v>
      </c>
      <c r="E1146">
        <v>17.6410350390686</v>
      </c>
    </row>
    <row r="1147" spans="1:5">
      <c r="A1147" t="s">
        <v>2775</v>
      </c>
      <c r="B1147" t="s">
        <v>955</v>
      </c>
      <c r="C1147" t="s">
        <v>995</v>
      </c>
      <c r="D1147" t="s">
        <v>7080</v>
      </c>
      <c r="E1147">
        <v>0.07327415467713999</v>
      </c>
    </row>
    <row r="1148" spans="1:5">
      <c r="A1148" t="s">
        <v>2776</v>
      </c>
      <c r="B1148" t="s">
        <v>955</v>
      </c>
      <c r="C1148" t="s">
        <v>995</v>
      </c>
      <c r="D1148" t="s">
        <v>7081</v>
      </c>
      <c r="E1148">
        <v>5.769175615330377</v>
      </c>
    </row>
    <row r="1149" spans="1:5">
      <c r="A1149" t="s">
        <v>2777</v>
      </c>
      <c r="B1149" t="s">
        <v>955</v>
      </c>
      <c r="C1149" t="s">
        <v>995</v>
      </c>
      <c r="D1149" t="s">
        <v>7082</v>
      </c>
      <c r="E1149">
        <v>0.1456206366618751</v>
      </c>
    </row>
    <row r="1150" spans="1:5">
      <c r="A1150" t="s">
        <v>2778</v>
      </c>
      <c r="B1150" t="s">
        <v>955</v>
      </c>
      <c r="C1150" t="s">
        <v>995</v>
      </c>
      <c r="D1150" t="s">
        <v>7083</v>
      </c>
      <c r="E1150">
        <v>0.08525297359491467</v>
      </c>
    </row>
    <row r="1151" spans="1:5">
      <c r="A1151" t="s">
        <v>2779</v>
      </c>
      <c r="B1151" t="s">
        <v>955</v>
      </c>
      <c r="C1151" t="s">
        <v>995</v>
      </c>
      <c r="D1151" t="s">
        <v>7084</v>
      </c>
      <c r="E1151">
        <v>37.90544501833842</v>
      </c>
    </row>
    <row r="1152" spans="1:5">
      <c r="A1152" t="s">
        <v>2780</v>
      </c>
      <c r="B1152" t="s">
        <v>955</v>
      </c>
      <c r="C1152" t="s">
        <v>995</v>
      </c>
      <c r="D1152" t="s">
        <v>7085</v>
      </c>
      <c r="E1152">
        <v>7.647929562100094</v>
      </c>
    </row>
    <row r="1153" spans="1:5">
      <c r="A1153" t="s">
        <v>2781</v>
      </c>
      <c r="B1153" t="s">
        <v>955</v>
      </c>
      <c r="C1153" t="s">
        <v>995</v>
      </c>
      <c r="D1153" t="s">
        <v>7086</v>
      </c>
      <c r="E1153">
        <v>6.47257260345637</v>
      </c>
    </row>
    <row r="1154" spans="1:5">
      <c r="A1154" t="s">
        <v>2782</v>
      </c>
      <c r="B1154" t="s">
        <v>955</v>
      </c>
      <c r="C1154" t="s">
        <v>995</v>
      </c>
      <c r="D1154" t="s">
        <v>7087</v>
      </c>
      <c r="E1154">
        <v>19.79703647167893</v>
      </c>
    </row>
    <row r="1155" spans="1:5">
      <c r="A1155" t="s">
        <v>2783</v>
      </c>
      <c r="B1155" t="s">
        <v>955</v>
      </c>
      <c r="C1155" t="s">
        <v>995</v>
      </c>
      <c r="D1155" t="s">
        <v>7088</v>
      </c>
      <c r="E1155">
        <v>0.1752826233082163</v>
      </c>
    </row>
    <row r="1156" spans="1:5">
      <c r="A1156" t="s">
        <v>2784</v>
      </c>
      <c r="B1156" t="s">
        <v>955</v>
      </c>
      <c r="C1156" t="s">
        <v>995</v>
      </c>
      <c r="D1156" t="s">
        <v>6996</v>
      </c>
      <c r="E1156">
        <v>17.68130161486514</v>
      </c>
    </row>
    <row r="1157" spans="1:5">
      <c r="A1157" t="s">
        <v>2785</v>
      </c>
      <c r="B1157" t="s">
        <v>955</v>
      </c>
      <c r="C1157" t="s">
        <v>995</v>
      </c>
      <c r="D1157" t="s">
        <v>6997</v>
      </c>
      <c r="E1157">
        <v>77.17419953698915</v>
      </c>
    </row>
    <row r="1158" spans="1:5">
      <c r="A1158" t="s">
        <v>2786</v>
      </c>
      <c r="B1158" t="s">
        <v>955</v>
      </c>
      <c r="C1158" t="s">
        <v>995</v>
      </c>
      <c r="D1158" t="s">
        <v>7089</v>
      </c>
      <c r="E1158">
        <v>4.793876321105546</v>
      </c>
    </row>
    <row r="1159" spans="1:5">
      <c r="A1159" t="s">
        <v>2787</v>
      </c>
      <c r="B1159" t="s">
        <v>955</v>
      </c>
      <c r="C1159" t="s">
        <v>995</v>
      </c>
      <c r="D1159" t="s">
        <v>7090</v>
      </c>
      <c r="E1159">
        <v>18.69038706395592</v>
      </c>
    </row>
    <row r="1160" spans="1:5">
      <c r="A1160" t="s">
        <v>2788</v>
      </c>
      <c r="B1160" t="s">
        <v>955</v>
      </c>
      <c r="C1160" t="s">
        <v>995</v>
      </c>
      <c r="D1160" t="s">
        <v>7091</v>
      </c>
      <c r="E1160">
        <v>0.2249849151030699</v>
      </c>
    </row>
    <row r="1161" spans="1:5">
      <c r="A1161" t="s">
        <v>2789</v>
      </c>
      <c r="B1161" t="s">
        <v>955</v>
      </c>
      <c r="C1161" t="s">
        <v>995</v>
      </c>
      <c r="D1161" t="s">
        <v>7092</v>
      </c>
      <c r="E1161">
        <v>8.312066546152588</v>
      </c>
    </row>
    <row r="1162" spans="1:5">
      <c r="A1162" t="s">
        <v>2790</v>
      </c>
      <c r="B1162" t="s">
        <v>955</v>
      </c>
      <c r="C1162" t="s">
        <v>995</v>
      </c>
      <c r="D1162" t="s">
        <v>6998</v>
      </c>
      <c r="E1162">
        <v>33.02682601879133</v>
      </c>
    </row>
    <row r="1163" spans="1:5">
      <c r="A1163" t="s">
        <v>2791</v>
      </c>
      <c r="B1163" t="s">
        <v>955</v>
      </c>
      <c r="C1163" t="s">
        <v>995</v>
      </c>
      <c r="D1163" t="s">
        <v>7093</v>
      </c>
      <c r="E1163">
        <v>1.999653207540076</v>
      </c>
    </row>
    <row r="1164" spans="1:5">
      <c r="A1164" t="s">
        <v>2792</v>
      </c>
      <c r="B1164" t="s">
        <v>955</v>
      </c>
      <c r="C1164" t="s">
        <v>995</v>
      </c>
      <c r="D1164" t="s">
        <v>6999</v>
      </c>
      <c r="E1164">
        <v>178.7094933442054</v>
      </c>
    </row>
    <row r="1165" spans="1:5">
      <c r="A1165" t="s">
        <v>2793</v>
      </c>
      <c r="B1165" t="s">
        <v>955</v>
      </c>
      <c r="C1165" t="s">
        <v>995</v>
      </c>
      <c r="D1165" t="s">
        <v>7094</v>
      </c>
      <c r="E1165">
        <v>795.773490791936</v>
      </c>
    </row>
    <row r="1166" spans="1:5">
      <c r="A1166" t="s">
        <v>2794</v>
      </c>
      <c r="B1166" t="s">
        <v>955</v>
      </c>
      <c r="C1166" t="s">
        <v>995</v>
      </c>
      <c r="D1166" t="s">
        <v>7095</v>
      </c>
      <c r="E1166">
        <v>305.9724284190248</v>
      </c>
    </row>
    <row r="1167" spans="1:5">
      <c r="A1167" t="s">
        <v>2795</v>
      </c>
      <c r="B1167" t="s">
        <v>955</v>
      </c>
      <c r="C1167" t="s">
        <v>995</v>
      </c>
      <c r="D1167" t="s">
        <v>7096</v>
      </c>
      <c r="E1167">
        <v>89.77231580763363</v>
      </c>
    </row>
    <row r="1168" spans="1:5">
      <c r="A1168" t="s">
        <v>2796</v>
      </c>
      <c r="B1168" t="s">
        <v>955</v>
      </c>
      <c r="C1168" t="s">
        <v>995</v>
      </c>
      <c r="D1168" t="s">
        <v>7097</v>
      </c>
      <c r="E1168">
        <v>70.13462227750954</v>
      </c>
    </row>
    <row r="1169" spans="1:5">
      <c r="A1169" t="s">
        <v>2797</v>
      </c>
      <c r="B1169" t="s">
        <v>955</v>
      </c>
      <c r="C1169" t="s">
        <v>995</v>
      </c>
      <c r="D1169" t="s">
        <v>7000</v>
      </c>
      <c r="E1169">
        <v>4.97165118901648</v>
      </c>
    </row>
    <row r="1170" spans="1:5">
      <c r="A1170" t="s">
        <v>2798</v>
      </c>
      <c r="B1170" t="s">
        <v>955</v>
      </c>
      <c r="C1170" t="s">
        <v>995</v>
      </c>
      <c r="D1170" t="s">
        <v>7098</v>
      </c>
      <c r="E1170">
        <v>1.097405693233473</v>
      </c>
    </row>
    <row r="1171" spans="1:5">
      <c r="A1171" t="s">
        <v>2799</v>
      </c>
      <c r="B1171" t="s">
        <v>955</v>
      </c>
      <c r="C1171" t="s">
        <v>995</v>
      </c>
      <c r="D1171" t="s">
        <v>7001</v>
      </c>
      <c r="E1171">
        <v>84.03341939882904</v>
      </c>
    </row>
    <row r="1172" spans="1:5">
      <c r="A1172" t="s">
        <v>2800</v>
      </c>
      <c r="B1172" t="s">
        <v>955</v>
      </c>
      <c r="C1172" t="s">
        <v>995</v>
      </c>
      <c r="D1172" t="s">
        <v>7099</v>
      </c>
      <c r="E1172">
        <v>0.05001535928839045</v>
      </c>
    </row>
    <row r="1173" spans="1:5">
      <c r="A1173" t="s">
        <v>2801</v>
      </c>
      <c r="B1173" t="s">
        <v>955</v>
      </c>
      <c r="C1173" t="s">
        <v>995</v>
      </c>
      <c r="D1173" t="s">
        <v>7100</v>
      </c>
      <c r="E1173">
        <v>84.05834595650073</v>
      </c>
    </row>
    <row r="1174" spans="1:5">
      <c r="A1174" t="s">
        <v>2802</v>
      </c>
      <c r="B1174" t="s">
        <v>955</v>
      </c>
      <c r="C1174" t="s">
        <v>995</v>
      </c>
      <c r="D1174" t="s">
        <v>7002</v>
      </c>
      <c r="E1174">
        <v>67.92196995358024</v>
      </c>
    </row>
    <row r="1175" spans="1:5">
      <c r="A1175" t="s">
        <v>2803</v>
      </c>
      <c r="B1175" t="s">
        <v>955</v>
      </c>
      <c r="C1175" t="s">
        <v>995</v>
      </c>
      <c r="D1175" t="s">
        <v>7101</v>
      </c>
      <c r="E1175">
        <v>3.03081125417587</v>
      </c>
    </row>
    <row r="1176" spans="1:5">
      <c r="A1176" t="s">
        <v>2804</v>
      </c>
      <c r="B1176" t="s">
        <v>955</v>
      </c>
      <c r="C1176" t="s">
        <v>995</v>
      </c>
      <c r="D1176" t="s">
        <v>7102</v>
      </c>
      <c r="E1176">
        <v>4.252117717698488</v>
      </c>
    </row>
    <row r="1177" spans="1:5">
      <c r="A1177" t="s">
        <v>2805</v>
      </c>
      <c r="B1177" t="s">
        <v>955</v>
      </c>
      <c r="C1177" t="s">
        <v>995</v>
      </c>
      <c r="D1177" t="s">
        <v>7103</v>
      </c>
      <c r="E1177">
        <v>0.2094202951974004</v>
      </c>
    </row>
    <row r="1178" spans="1:5">
      <c r="A1178" t="s">
        <v>2806</v>
      </c>
      <c r="B1178" t="s">
        <v>955</v>
      </c>
      <c r="C1178" t="s">
        <v>995</v>
      </c>
      <c r="D1178" t="s">
        <v>7104</v>
      </c>
      <c r="E1178">
        <v>81.59263355017161</v>
      </c>
    </row>
    <row r="1179" spans="1:5">
      <c r="A1179" t="s">
        <v>2807</v>
      </c>
      <c r="B1179" t="s">
        <v>955</v>
      </c>
      <c r="C1179" t="s">
        <v>995</v>
      </c>
      <c r="D1179" t="s">
        <v>7105</v>
      </c>
      <c r="E1179">
        <v>38.63559125817092</v>
      </c>
    </row>
    <row r="1180" spans="1:5">
      <c r="A1180" t="s">
        <v>2808</v>
      </c>
      <c r="B1180" t="s">
        <v>955</v>
      </c>
      <c r="C1180" t="s">
        <v>995</v>
      </c>
      <c r="D1180" t="s">
        <v>7106</v>
      </c>
      <c r="E1180">
        <v>21.4342789691786</v>
      </c>
    </row>
    <row r="1181" spans="1:5">
      <c r="A1181" t="s">
        <v>2809</v>
      </c>
      <c r="B1181" t="s">
        <v>955</v>
      </c>
      <c r="C1181" t="s">
        <v>995</v>
      </c>
      <c r="D1181" t="s">
        <v>7107</v>
      </c>
      <c r="E1181">
        <v>0.684115228094995</v>
      </c>
    </row>
    <row r="1182" spans="1:5">
      <c r="A1182" t="s">
        <v>2810</v>
      </c>
      <c r="B1182" t="s">
        <v>955</v>
      </c>
      <c r="C1182" t="s">
        <v>995</v>
      </c>
      <c r="D1182" t="s">
        <v>7003</v>
      </c>
      <c r="E1182">
        <v>32.88831341946925</v>
      </c>
    </row>
    <row r="1183" spans="1:5">
      <c r="A1183" t="s">
        <v>2811</v>
      </c>
      <c r="B1183" t="s">
        <v>955</v>
      </c>
      <c r="C1183" t="s">
        <v>995</v>
      </c>
      <c r="D1183" t="s">
        <v>7004</v>
      </c>
      <c r="E1183">
        <v>239.5384868536171</v>
      </c>
    </row>
    <row r="1184" spans="1:5">
      <c r="A1184" t="s">
        <v>2812</v>
      </c>
      <c r="B1184" t="s">
        <v>955</v>
      </c>
      <c r="C1184" t="s">
        <v>995</v>
      </c>
      <c r="D1184" t="s">
        <v>7108</v>
      </c>
      <c r="E1184">
        <v>411.7374110706229</v>
      </c>
    </row>
    <row r="1185" spans="1:5">
      <c r="A1185" t="s">
        <v>2813</v>
      </c>
      <c r="B1185" t="s">
        <v>955</v>
      </c>
      <c r="C1185" t="s">
        <v>995</v>
      </c>
      <c r="D1185" t="s">
        <v>7109</v>
      </c>
      <c r="E1185">
        <v>12.5737013644227</v>
      </c>
    </row>
    <row r="1186" spans="1:5">
      <c r="A1186" t="s">
        <v>2814</v>
      </c>
      <c r="B1186" t="s">
        <v>955</v>
      </c>
      <c r="C1186" t="s">
        <v>995</v>
      </c>
      <c r="D1186" t="s">
        <v>7110</v>
      </c>
      <c r="E1186">
        <v>0.01257394116836145</v>
      </c>
    </row>
    <row r="1187" spans="1:5">
      <c r="A1187" t="s">
        <v>2815</v>
      </c>
      <c r="B1187" t="s">
        <v>955</v>
      </c>
      <c r="C1187" t="s">
        <v>995</v>
      </c>
      <c r="D1187" t="s">
        <v>7111</v>
      </c>
      <c r="E1187">
        <v>0.5355246029383043</v>
      </c>
    </row>
    <row r="1188" spans="1:5">
      <c r="A1188" t="s">
        <v>2816</v>
      </c>
      <c r="B1188" t="s">
        <v>955</v>
      </c>
      <c r="C1188" t="s">
        <v>995</v>
      </c>
      <c r="D1188" t="s">
        <v>7112</v>
      </c>
      <c r="E1188">
        <v>8.182456978044412</v>
      </c>
    </row>
    <row r="1189" spans="1:5">
      <c r="A1189" t="s">
        <v>2817</v>
      </c>
      <c r="B1189" t="s">
        <v>955</v>
      </c>
      <c r="C1189" t="s">
        <v>995</v>
      </c>
      <c r="D1189" t="s">
        <v>7113</v>
      </c>
      <c r="E1189">
        <v>0.06267256711200887</v>
      </c>
    </row>
    <row r="1190" spans="1:5">
      <c r="A1190" t="s">
        <v>2818</v>
      </c>
      <c r="B1190" t="s">
        <v>955</v>
      </c>
      <c r="C1190" t="s">
        <v>995</v>
      </c>
      <c r="D1190" t="s">
        <v>7114</v>
      </c>
      <c r="E1190">
        <v>14.52760836734694</v>
      </c>
    </row>
    <row r="1191" spans="1:5">
      <c r="A1191" t="s">
        <v>2819</v>
      </c>
      <c r="B1191" t="s">
        <v>955</v>
      </c>
      <c r="C1191" t="s">
        <v>995</v>
      </c>
      <c r="D1191" t="s">
        <v>7115</v>
      </c>
      <c r="E1191">
        <v>2.74251620424434</v>
      </c>
    </row>
    <row r="1192" spans="1:5">
      <c r="A1192" t="s">
        <v>2820</v>
      </c>
      <c r="B1192" t="s">
        <v>955</v>
      </c>
      <c r="C1192" t="s">
        <v>995</v>
      </c>
      <c r="D1192" t="s">
        <v>7116</v>
      </c>
      <c r="E1192">
        <v>18.69038706395592</v>
      </c>
    </row>
    <row r="1193" spans="1:5">
      <c r="A1193" t="s">
        <v>2821</v>
      </c>
      <c r="B1193" t="s">
        <v>955</v>
      </c>
      <c r="C1193" t="s">
        <v>995</v>
      </c>
      <c r="D1193" t="s">
        <v>7005</v>
      </c>
      <c r="E1193">
        <v>9.371690069315344</v>
      </c>
    </row>
    <row r="1194" spans="1:5">
      <c r="A1194" t="s">
        <v>2822</v>
      </c>
      <c r="B1194" t="s">
        <v>955</v>
      </c>
      <c r="C1194" t="s">
        <v>995</v>
      </c>
      <c r="D1194" t="s">
        <v>7117</v>
      </c>
      <c r="E1194">
        <v>32.9978236402271</v>
      </c>
    </row>
    <row r="1195" spans="1:5">
      <c r="A1195" t="s">
        <v>2823</v>
      </c>
      <c r="B1195" t="s">
        <v>955</v>
      </c>
      <c r="C1195" t="s">
        <v>995</v>
      </c>
      <c r="D1195" t="s">
        <v>7118</v>
      </c>
      <c r="E1195">
        <v>87.35773024196469</v>
      </c>
    </row>
    <row r="1196" spans="1:5">
      <c r="A1196" t="s">
        <v>2824</v>
      </c>
      <c r="B1196" t="s">
        <v>955</v>
      </c>
      <c r="C1196" t="s">
        <v>995</v>
      </c>
      <c r="D1196" t="s">
        <v>7119</v>
      </c>
      <c r="E1196">
        <v>105.3998708880739</v>
      </c>
    </row>
    <row r="1197" spans="1:5">
      <c r="A1197" t="s">
        <v>2825</v>
      </c>
      <c r="B1197" t="s">
        <v>955</v>
      </c>
      <c r="C1197" t="s">
        <v>995</v>
      </c>
      <c r="D1197" t="s">
        <v>7120</v>
      </c>
      <c r="E1197">
        <v>129.3506436161707</v>
      </c>
    </row>
    <row r="1198" spans="1:5">
      <c r="A1198" t="s">
        <v>2826</v>
      </c>
      <c r="B1198" t="s">
        <v>955</v>
      </c>
      <c r="C1198" t="s">
        <v>995</v>
      </c>
      <c r="D1198" t="s">
        <v>7006</v>
      </c>
      <c r="E1198">
        <v>6.666139976419085</v>
      </c>
    </row>
    <row r="1199" spans="1:5">
      <c r="A1199" t="s">
        <v>2827</v>
      </c>
      <c r="B1199" t="s">
        <v>955</v>
      </c>
      <c r="C1199" t="s">
        <v>995</v>
      </c>
      <c r="D1199" t="s">
        <v>7121</v>
      </c>
      <c r="E1199">
        <v>41.53280322939973</v>
      </c>
    </row>
    <row r="1200" spans="1:5">
      <c r="A1200" t="s">
        <v>2828</v>
      </c>
      <c r="B1200" t="s">
        <v>955</v>
      </c>
      <c r="C1200" t="s">
        <v>995</v>
      </c>
      <c r="D1200" t="s">
        <v>7122</v>
      </c>
      <c r="E1200">
        <v>219.2706050717428</v>
      </c>
    </row>
    <row r="1201" spans="1:5">
      <c r="A1201" t="s">
        <v>2829</v>
      </c>
      <c r="B1201" t="s">
        <v>955</v>
      </c>
      <c r="C1201" t="s">
        <v>995</v>
      </c>
      <c r="D1201" t="s">
        <v>7123</v>
      </c>
      <c r="E1201">
        <v>9.733856745706337</v>
      </c>
    </row>
    <row r="1202" spans="1:5">
      <c r="A1202" t="s">
        <v>2830</v>
      </c>
      <c r="B1202" t="s">
        <v>955</v>
      </c>
      <c r="C1202" t="s">
        <v>995</v>
      </c>
      <c r="D1202" t="s">
        <v>7124</v>
      </c>
      <c r="E1202">
        <v>0.1181159356330827</v>
      </c>
    </row>
    <row r="1203" spans="1:5">
      <c r="A1203" t="s">
        <v>2831</v>
      </c>
      <c r="B1203" t="s">
        <v>955</v>
      </c>
      <c r="C1203" t="s">
        <v>995</v>
      </c>
      <c r="D1203" t="s">
        <v>7125</v>
      </c>
      <c r="E1203">
        <v>6.907572761969815</v>
      </c>
    </row>
    <row r="1204" spans="1:5">
      <c r="A1204" t="s">
        <v>2832</v>
      </c>
      <c r="B1204" t="s">
        <v>955</v>
      </c>
      <c r="C1204" t="s">
        <v>995</v>
      </c>
      <c r="D1204" t="s">
        <v>7126</v>
      </c>
      <c r="E1204">
        <v>0.08214869986498083</v>
      </c>
    </row>
    <row r="1205" spans="1:5">
      <c r="A1205" t="s">
        <v>2833</v>
      </c>
      <c r="B1205" t="s">
        <v>955</v>
      </c>
      <c r="C1205" t="s">
        <v>995</v>
      </c>
      <c r="D1205" t="s">
        <v>998</v>
      </c>
      <c r="E1205">
        <v>305.9719023610269</v>
      </c>
    </row>
    <row r="1206" spans="1:5">
      <c r="A1206" t="s">
        <v>2834</v>
      </c>
      <c r="B1206" t="s">
        <v>955</v>
      </c>
      <c r="C1206" t="s">
        <v>995</v>
      </c>
      <c r="D1206" t="s">
        <v>7127</v>
      </c>
      <c r="E1206">
        <v>7.655356449561536</v>
      </c>
    </row>
    <row r="1207" spans="1:5">
      <c r="A1207" t="s">
        <v>2835</v>
      </c>
      <c r="B1207" t="s">
        <v>955</v>
      </c>
      <c r="C1207" t="s">
        <v>995</v>
      </c>
      <c r="D1207" t="s">
        <v>7128</v>
      </c>
      <c r="E1207">
        <v>0.0255251340726695</v>
      </c>
    </row>
    <row r="1208" spans="1:5">
      <c r="A1208" t="s">
        <v>2836</v>
      </c>
      <c r="B1208" t="s">
        <v>955</v>
      </c>
      <c r="C1208" t="s">
        <v>995</v>
      </c>
      <c r="D1208" t="s">
        <v>7129</v>
      </c>
      <c r="E1208">
        <v>0.5670300507901432</v>
      </c>
    </row>
    <row r="1209" spans="1:5">
      <c r="A1209" t="s">
        <v>2837</v>
      </c>
      <c r="B1209" t="s">
        <v>955</v>
      </c>
      <c r="C1209" t="s">
        <v>995</v>
      </c>
      <c r="D1209" t="s">
        <v>7130</v>
      </c>
      <c r="E1209">
        <v>0.01170202552594386</v>
      </c>
    </row>
    <row r="1210" spans="1:5">
      <c r="A1210" t="s">
        <v>2838</v>
      </c>
      <c r="B1210" t="s">
        <v>955</v>
      </c>
      <c r="C1210" t="s">
        <v>995</v>
      </c>
      <c r="D1210" t="s">
        <v>7131</v>
      </c>
      <c r="E1210">
        <v>2.592910480021617</v>
      </c>
    </row>
    <row r="1211" spans="1:5">
      <c r="A1211" t="s">
        <v>2839</v>
      </c>
      <c r="B1211" t="s">
        <v>955</v>
      </c>
      <c r="C1211" t="s">
        <v>995</v>
      </c>
      <c r="D1211" t="s">
        <v>7132</v>
      </c>
      <c r="E1211">
        <v>113.8611435366122</v>
      </c>
    </row>
    <row r="1212" spans="1:5">
      <c r="A1212" t="s">
        <v>2840</v>
      </c>
      <c r="B1212" t="s">
        <v>955</v>
      </c>
      <c r="C1212" t="s">
        <v>995</v>
      </c>
      <c r="D1212" t="s">
        <v>7133</v>
      </c>
      <c r="E1212">
        <v>0.5426063065109451</v>
      </c>
    </row>
    <row r="1213" spans="1:5">
      <c r="A1213" t="s">
        <v>2841</v>
      </c>
      <c r="B1213" t="s">
        <v>955</v>
      </c>
      <c r="C1213" t="s">
        <v>995</v>
      </c>
      <c r="D1213" t="s">
        <v>7134</v>
      </c>
      <c r="E1213">
        <v>113.3230891639134</v>
      </c>
    </row>
    <row r="1214" spans="1:5">
      <c r="A1214" t="s">
        <v>2842</v>
      </c>
      <c r="B1214" t="s">
        <v>955</v>
      </c>
      <c r="C1214" t="s">
        <v>995</v>
      </c>
      <c r="D1214" t="s">
        <v>7135</v>
      </c>
      <c r="E1214">
        <v>170.9342986714794</v>
      </c>
    </row>
    <row r="1215" spans="1:5">
      <c r="A1215" t="s">
        <v>2843</v>
      </c>
      <c r="B1215" t="s">
        <v>955</v>
      </c>
      <c r="C1215" t="s">
        <v>995</v>
      </c>
      <c r="D1215" t="s">
        <v>7136</v>
      </c>
      <c r="E1215">
        <v>418.8000134137847</v>
      </c>
    </row>
    <row r="1216" spans="1:5">
      <c r="A1216" t="s">
        <v>2844</v>
      </c>
      <c r="B1216" t="s">
        <v>955</v>
      </c>
      <c r="C1216" t="s">
        <v>995</v>
      </c>
      <c r="D1216" t="s">
        <v>7137</v>
      </c>
      <c r="E1216">
        <v>0.5426063065109451</v>
      </c>
    </row>
    <row r="1217" spans="1:5">
      <c r="A1217" t="s">
        <v>2845</v>
      </c>
      <c r="B1217" t="s">
        <v>955</v>
      </c>
      <c r="C1217" t="s">
        <v>995</v>
      </c>
      <c r="D1217" t="s">
        <v>7138</v>
      </c>
      <c r="E1217">
        <v>2.982656831361244</v>
      </c>
    </row>
    <row r="1218" spans="1:5">
      <c r="A1218" t="s">
        <v>2846</v>
      </c>
      <c r="B1218" t="s">
        <v>955</v>
      </c>
      <c r="C1218" t="s">
        <v>995</v>
      </c>
      <c r="D1218" t="s">
        <v>7139</v>
      </c>
      <c r="E1218">
        <v>1.281489784563992</v>
      </c>
    </row>
    <row r="1219" spans="1:5">
      <c r="A1219" t="s">
        <v>2847</v>
      </c>
      <c r="B1219" t="s">
        <v>955</v>
      </c>
      <c r="C1219" t="s">
        <v>995</v>
      </c>
      <c r="D1219" t="s">
        <v>7007</v>
      </c>
      <c r="E1219">
        <v>18.69038019367868</v>
      </c>
    </row>
    <row r="1220" spans="1:5">
      <c r="A1220" t="s">
        <v>2848</v>
      </c>
      <c r="B1220" t="s">
        <v>955</v>
      </c>
      <c r="C1220" t="s">
        <v>995</v>
      </c>
      <c r="D1220" t="s">
        <v>7140</v>
      </c>
      <c r="E1220">
        <v>16.28862254331885</v>
      </c>
    </row>
    <row r="1221" spans="1:5">
      <c r="A1221" t="s">
        <v>2849</v>
      </c>
      <c r="B1221" t="s">
        <v>955</v>
      </c>
      <c r="C1221" t="s">
        <v>995</v>
      </c>
      <c r="D1221" t="s">
        <v>7141</v>
      </c>
      <c r="E1221">
        <v>11.58693807193851</v>
      </c>
    </row>
    <row r="1222" spans="1:5">
      <c r="A1222" t="s">
        <v>2850</v>
      </c>
      <c r="B1222" t="s">
        <v>955</v>
      </c>
      <c r="C1222" t="s">
        <v>995</v>
      </c>
      <c r="D1222" t="s">
        <v>7142</v>
      </c>
      <c r="E1222">
        <v>11.58693807193851</v>
      </c>
    </row>
    <row r="1223" spans="1:5">
      <c r="A1223" t="s">
        <v>2686</v>
      </c>
      <c r="B1223" t="s">
        <v>955</v>
      </c>
      <c r="C1223" t="s">
        <v>995</v>
      </c>
      <c r="D1223" t="s">
        <v>996</v>
      </c>
      <c r="E1223">
        <v>355.926405</v>
      </c>
    </row>
    <row r="1224" spans="1:5">
      <c r="A1224" t="s">
        <v>2851</v>
      </c>
      <c r="B1224" t="s">
        <v>956</v>
      </c>
      <c r="C1224" t="s">
        <v>995</v>
      </c>
      <c r="D1224" t="s">
        <v>996</v>
      </c>
      <c r="E1224">
        <v>353.932586</v>
      </c>
    </row>
    <row r="1225" spans="1:5">
      <c r="A1225" t="s">
        <v>2852</v>
      </c>
      <c r="B1225" t="s">
        <v>956</v>
      </c>
      <c r="C1225" t="s">
        <v>995</v>
      </c>
      <c r="D1225" t="s">
        <v>7008</v>
      </c>
      <c r="E1225">
        <v>82.65370468885229</v>
      </c>
    </row>
    <row r="1226" spans="1:5">
      <c r="A1226" t="s">
        <v>2853</v>
      </c>
      <c r="B1226" t="s">
        <v>956</v>
      </c>
      <c r="C1226" t="s">
        <v>995</v>
      </c>
      <c r="D1226" t="s">
        <v>7009</v>
      </c>
      <c r="E1226">
        <v>4.86700595334452</v>
      </c>
    </row>
    <row r="1227" spans="1:5">
      <c r="A1227" t="s">
        <v>2854</v>
      </c>
      <c r="B1227" t="s">
        <v>956</v>
      </c>
      <c r="C1227" t="s">
        <v>995</v>
      </c>
      <c r="D1227" t="s">
        <v>7010</v>
      </c>
      <c r="E1227">
        <v>3.706442184673512</v>
      </c>
    </row>
    <row r="1228" spans="1:5">
      <c r="A1228" t="s">
        <v>2855</v>
      </c>
      <c r="B1228" t="s">
        <v>956</v>
      </c>
      <c r="C1228" t="s">
        <v>995</v>
      </c>
      <c r="D1228" t="s">
        <v>7011</v>
      </c>
      <c r="E1228">
        <v>0.8255545436050699</v>
      </c>
    </row>
    <row r="1229" spans="1:5">
      <c r="A1229" t="s">
        <v>2856</v>
      </c>
      <c r="B1229" t="s">
        <v>956</v>
      </c>
      <c r="C1229" t="s">
        <v>995</v>
      </c>
      <c r="D1229" t="s">
        <v>7012</v>
      </c>
      <c r="E1229">
        <v>169.5786012371055</v>
      </c>
    </row>
    <row r="1230" spans="1:5">
      <c r="A1230" t="s">
        <v>2857</v>
      </c>
      <c r="B1230" t="s">
        <v>956</v>
      </c>
      <c r="C1230" t="s">
        <v>995</v>
      </c>
      <c r="D1230" t="s">
        <v>7013</v>
      </c>
      <c r="E1230">
        <v>0.3193469570359276</v>
      </c>
    </row>
    <row r="1231" spans="1:5">
      <c r="A1231" t="s">
        <v>2858</v>
      </c>
      <c r="B1231" t="s">
        <v>956</v>
      </c>
      <c r="C1231" t="s">
        <v>995</v>
      </c>
      <c r="D1231" t="s">
        <v>7014</v>
      </c>
      <c r="E1231">
        <v>0.2152363187479144</v>
      </c>
    </row>
    <row r="1232" spans="1:5">
      <c r="A1232" t="s">
        <v>2859</v>
      </c>
      <c r="B1232" t="s">
        <v>956</v>
      </c>
      <c r="C1232" t="s">
        <v>995</v>
      </c>
      <c r="D1232" t="s">
        <v>6981</v>
      </c>
      <c r="E1232">
        <v>217.906581539674</v>
      </c>
    </row>
    <row r="1233" spans="1:5">
      <c r="A1233" t="s">
        <v>2860</v>
      </c>
      <c r="B1233" t="s">
        <v>956</v>
      </c>
      <c r="C1233" t="s">
        <v>995</v>
      </c>
      <c r="D1233" t="s">
        <v>7015</v>
      </c>
      <c r="E1233">
        <v>169.5786012371055</v>
      </c>
    </row>
    <row r="1234" spans="1:5">
      <c r="A1234" t="s">
        <v>2861</v>
      </c>
      <c r="B1234" t="s">
        <v>956</v>
      </c>
      <c r="C1234" t="s">
        <v>995</v>
      </c>
      <c r="D1234" t="s">
        <v>7016</v>
      </c>
      <c r="E1234">
        <v>178.9097900493056</v>
      </c>
    </row>
    <row r="1235" spans="1:5">
      <c r="A1235" t="s">
        <v>2862</v>
      </c>
      <c r="B1235" t="s">
        <v>956</v>
      </c>
      <c r="C1235" t="s">
        <v>995</v>
      </c>
      <c r="D1235" t="s">
        <v>7017</v>
      </c>
      <c r="E1235">
        <v>180.9628577125824</v>
      </c>
    </row>
    <row r="1236" spans="1:5">
      <c r="A1236" t="s">
        <v>2863</v>
      </c>
      <c r="B1236" t="s">
        <v>956</v>
      </c>
      <c r="C1236" t="s">
        <v>995</v>
      </c>
      <c r="D1236" t="s">
        <v>7018</v>
      </c>
      <c r="E1236">
        <v>151.7728368358513</v>
      </c>
    </row>
    <row r="1237" spans="1:5">
      <c r="A1237" t="s">
        <v>2864</v>
      </c>
      <c r="B1237" t="s">
        <v>956</v>
      </c>
      <c r="C1237" t="s">
        <v>995</v>
      </c>
      <c r="D1237" t="s">
        <v>7019</v>
      </c>
      <c r="E1237">
        <v>2.47368536042422</v>
      </c>
    </row>
    <row r="1238" spans="1:5">
      <c r="A1238" t="s">
        <v>2865</v>
      </c>
      <c r="B1238" t="s">
        <v>956</v>
      </c>
      <c r="C1238" t="s">
        <v>995</v>
      </c>
      <c r="D1238" t="s">
        <v>997</v>
      </c>
      <c r="E1238">
        <v>180.9628577125824</v>
      </c>
    </row>
    <row r="1239" spans="1:5">
      <c r="A1239" t="s">
        <v>2866</v>
      </c>
      <c r="B1239" t="s">
        <v>956</v>
      </c>
      <c r="C1239" t="s">
        <v>995</v>
      </c>
      <c r="D1239" t="s">
        <v>7020</v>
      </c>
      <c r="E1239">
        <v>807.3021983787014</v>
      </c>
    </row>
    <row r="1240" spans="1:5">
      <c r="A1240" t="s">
        <v>2867</v>
      </c>
      <c r="B1240" t="s">
        <v>956</v>
      </c>
      <c r="C1240" t="s">
        <v>995</v>
      </c>
      <c r="D1240" t="s">
        <v>7021</v>
      </c>
      <c r="E1240">
        <v>0.101663477661525</v>
      </c>
    </row>
    <row r="1241" spans="1:5">
      <c r="A1241" t="s">
        <v>2868</v>
      </c>
      <c r="B1241" t="s">
        <v>956</v>
      </c>
      <c r="C1241" t="s">
        <v>995</v>
      </c>
      <c r="D1241" t="s">
        <v>7022</v>
      </c>
      <c r="E1241">
        <v>303.5458038377556</v>
      </c>
    </row>
    <row r="1242" spans="1:5">
      <c r="A1242" t="s">
        <v>2869</v>
      </c>
      <c r="B1242" t="s">
        <v>956</v>
      </c>
      <c r="C1242" t="s">
        <v>995</v>
      </c>
      <c r="D1242" t="s">
        <v>7023</v>
      </c>
      <c r="E1242">
        <v>237.8013469913744</v>
      </c>
    </row>
    <row r="1243" spans="1:5">
      <c r="A1243" t="s">
        <v>2870</v>
      </c>
      <c r="B1243" t="s">
        <v>956</v>
      </c>
      <c r="C1243" t="s">
        <v>995</v>
      </c>
      <c r="D1243" t="s">
        <v>7024</v>
      </c>
      <c r="E1243">
        <v>44.06464269342523</v>
      </c>
    </row>
    <row r="1244" spans="1:5">
      <c r="A1244" t="s">
        <v>2871</v>
      </c>
      <c r="B1244" t="s">
        <v>956</v>
      </c>
      <c r="C1244" t="s">
        <v>995</v>
      </c>
      <c r="D1244" t="s">
        <v>6982</v>
      </c>
      <c r="E1244">
        <v>60.18088753450433</v>
      </c>
    </row>
    <row r="1245" spans="1:5">
      <c r="A1245" t="s">
        <v>2872</v>
      </c>
      <c r="B1245" t="s">
        <v>956</v>
      </c>
      <c r="C1245" t="s">
        <v>995</v>
      </c>
      <c r="D1245" t="s">
        <v>7025</v>
      </c>
      <c r="E1245">
        <v>303.5458038377556</v>
      </c>
    </row>
    <row r="1246" spans="1:5">
      <c r="A1246" t="s">
        <v>2873</v>
      </c>
      <c r="B1246" t="s">
        <v>956</v>
      </c>
      <c r="C1246" t="s">
        <v>995</v>
      </c>
      <c r="D1246" t="s">
        <v>7026</v>
      </c>
      <c r="E1246">
        <v>3.193277239201072</v>
      </c>
    </row>
    <row r="1247" spans="1:5">
      <c r="A1247" t="s">
        <v>2874</v>
      </c>
      <c r="B1247" t="s">
        <v>956</v>
      </c>
      <c r="C1247" t="s">
        <v>995</v>
      </c>
      <c r="D1247" t="s">
        <v>7027</v>
      </c>
      <c r="E1247">
        <v>21.28908718645473</v>
      </c>
    </row>
    <row r="1248" spans="1:5">
      <c r="A1248" t="s">
        <v>2875</v>
      </c>
      <c r="B1248" t="s">
        <v>956</v>
      </c>
      <c r="C1248" t="s">
        <v>995</v>
      </c>
      <c r="D1248" t="s">
        <v>7028</v>
      </c>
      <c r="E1248">
        <v>111.0777840092218</v>
      </c>
    </row>
    <row r="1249" spans="1:5">
      <c r="A1249" t="s">
        <v>2876</v>
      </c>
      <c r="B1249" t="s">
        <v>956</v>
      </c>
      <c r="C1249" t="s">
        <v>995</v>
      </c>
      <c r="D1249" t="s">
        <v>7029</v>
      </c>
      <c r="E1249">
        <v>151.7728368358513</v>
      </c>
    </row>
    <row r="1250" spans="1:5">
      <c r="A1250" t="s">
        <v>2877</v>
      </c>
      <c r="B1250" t="s">
        <v>956</v>
      </c>
      <c r="C1250" t="s">
        <v>995</v>
      </c>
      <c r="D1250" t="s">
        <v>6983</v>
      </c>
      <c r="E1250">
        <v>220.0946002501099</v>
      </c>
    </row>
    <row r="1251" spans="1:5">
      <c r="A1251" t="s">
        <v>2878</v>
      </c>
      <c r="B1251" t="s">
        <v>956</v>
      </c>
      <c r="C1251" t="s">
        <v>995</v>
      </c>
      <c r="D1251" t="s">
        <v>7030</v>
      </c>
      <c r="E1251">
        <v>0.1318915962461627</v>
      </c>
    </row>
    <row r="1252" spans="1:5">
      <c r="A1252" t="s">
        <v>2879</v>
      </c>
      <c r="B1252" t="s">
        <v>956</v>
      </c>
      <c r="C1252" t="s">
        <v>995</v>
      </c>
      <c r="D1252" t="s">
        <v>6984</v>
      </c>
      <c r="E1252">
        <v>388.4033865569273</v>
      </c>
    </row>
    <row r="1253" spans="1:5">
      <c r="A1253" t="s">
        <v>2880</v>
      </c>
      <c r="B1253" t="s">
        <v>956</v>
      </c>
      <c r="C1253" t="s">
        <v>995</v>
      </c>
      <c r="D1253" t="s">
        <v>7031</v>
      </c>
      <c r="E1253">
        <v>13491.88373422788</v>
      </c>
    </row>
    <row r="1254" spans="1:5">
      <c r="A1254" t="s">
        <v>2881</v>
      </c>
      <c r="B1254" t="s">
        <v>956</v>
      </c>
      <c r="C1254" t="s">
        <v>995</v>
      </c>
      <c r="D1254" t="s">
        <v>7032</v>
      </c>
      <c r="E1254">
        <v>0.3413364263763833</v>
      </c>
    </row>
    <row r="1255" spans="1:5">
      <c r="A1255" t="s">
        <v>2882</v>
      </c>
      <c r="B1255" t="s">
        <v>956</v>
      </c>
      <c r="C1255" t="s">
        <v>995</v>
      </c>
      <c r="D1255" t="s">
        <v>7033</v>
      </c>
      <c r="E1255">
        <v>44.8821025665152</v>
      </c>
    </row>
    <row r="1256" spans="1:5">
      <c r="A1256" t="s">
        <v>2883</v>
      </c>
      <c r="B1256" t="s">
        <v>956</v>
      </c>
      <c r="C1256" t="s">
        <v>995</v>
      </c>
      <c r="D1256" t="s">
        <v>6985</v>
      </c>
      <c r="E1256">
        <v>44.828944495249</v>
      </c>
    </row>
    <row r="1257" spans="1:5">
      <c r="A1257" t="s">
        <v>2884</v>
      </c>
      <c r="B1257" t="s">
        <v>956</v>
      </c>
      <c r="C1257" t="s">
        <v>995</v>
      </c>
      <c r="D1257" t="s">
        <v>7034</v>
      </c>
      <c r="E1257">
        <v>0.0837021812974113</v>
      </c>
    </row>
    <row r="1258" spans="1:5">
      <c r="A1258" t="s">
        <v>2885</v>
      </c>
      <c r="B1258" t="s">
        <v>956</v>
      </c>
      <c r="C1258" t="s">
        <v>995</v>
      </c>
      <c r="D1258" t="s">
        <v>7035</v>
      </c>
      <c r="E1258">
        <v>0.6716299605664647</v>
      </c>
    </row>
    <row r="1259" spans="1:5">
      <c r="A1259" t="s">
        <v>2886</v>
      </c>
      <c r="B1259" t="s">
        <v>956</v>
      </c>
      <c r="C1259" t="s">
        <v>995</v>
      </c>
      <c r="D1259" t="s">
        <v>7036</v>
      </c>
      <c r="E1259">
        <v>12.64773821084894</v>
      </c>
    </row>
    <row r="1260" spans="1:5">
      <c r="A1260" t="s">
        <v>2887</v>
      </c>
      <c r="B1260" t="s">
        <v>956</v>
      </c>
      <c r="C1260" t="s">
        <v>995</v>
      </c>
      <c r="D1260" t="s">
        <v>7037</v>
      </c>
      <c r="E1260">
        <v>3.209836176483925</v>
      </c>
    </row>
    <row r="1261" spans="1:5">
      <c r="A1261" t="s">
        <v>2888</v>
      </c>
      <c r="B1261" t="s">
        <v>956</v>
      </c>
      <c r="C1261" t="s">
        <v>995</v>
      </c>
      <c r="D1261" t="s">
        <v>6986</v>
      </c>
      <c r="E1261">
        <v>14.57335884458851</v>
      </c>
    </row>
    <row r="1262" spans="1:5">
      <c r="A1262" t="s">
        <v>2889</v>
      </c>
      <c r="B1262" t="s">
        <v>956</v>
      </c>
      <c r="C1262" t="s">
        <v>995</v>
      </c>
      <c r="D1262" t="s">
        <v>7038</v>
      </c>
      <c r="E1262">
        <v>1.707990130627306</v>
      </c>
    </row>
    <row r="1263" spans="1:5">
      <c r="A1263" t="s">
        <v>2890</v>
      </c>
      <c r="B1263" t="s">
        <v>956</v>
      </c>
      <c r="C1263" t="s">
        <v>995</v>
      </c>
      <c r="D1263" t="s">
        <v>6987</v>
      </c>
      <c r="E1263">
        <v>47.4234686637983</v>
      </c>
    </row>
    <row r="1264" spans="1:5">
      <c r="A1264" t="s">
        <v>2891</v>
      </c>
      <c r="B1264" t="s">
        <v>956</v>
      </c>
      <c r="C1264" t="s">
        <v>995</v>
      </c>
      <c r="D1264" t="s">
        <v>7039</v>
      </c>
      <c r="E1264">
        <v>5.150723912781053</v>
      </c>
    </row>
    <row r="1265" spans="1:5">
      <c r="A1265" t="s">
        <v>2892</v>
      </c>
      <c r="B1265" t="s">
        <v>956</v>
      </c>
      <c r="C1265" t="s">
        <v>995</v>
      </c>
      <c r="D1265" t="s">
        <v>7040</v>
      </c>
      <c r="E1265">
        <v>2.294696469593815</v>
      </c>
    </row>
    <row r="1266" spans="1:5">
      <c r="A1266" t="s">
        <v>2893</v>
      </c>
      <c r="B1266" t="s">
        <v>956</v>
      </c>
      <c r="C1266" t="s">
        <v>995</v>
      </c>
      <c r="D1266" t="s">
        <v>7041</v>
      </c>
      <c r="E1266">
        <v>5.817222791710069</v>
      </c>
    </row>
    <row r="1267" spans="1:5">
      <c r="A1267" t="s">
        <v>2894</v>
      </c>
      <c r="B1267" t="s">
        <v>956</v>
      </c>
      <c r="C1267" t="s">
        <v>995</v>
      </c>
      <c r="D1267" t="s">
        <v>7042</v>
      </c>
      <c r="E1267">
        <v>20.2363811373583</v>
      </c>
    </row>
    <row r="1268" spans="1:5">
      <c r="A1268" t="s">
        <v>2895</v>
      </c>
      <c r="B1268" t="s">
        <v>956</v>
      </c>
      <c r="C1268" t="s">
        <v>995</v>
      </c>
      <c r="D1268" t="s">
        <v>7043</v>
      </c>
      <c r="E1268">
        <v>1.879480266567862</v>
      </c>
    </row>
    <row r="1269" spans="1:5">
      <c r="A1269" t="s">
        <v>2896</v>
      </c>
      <c r="B1269" t="s">
        <v>956</v>
      </c>
      <c r="C1269" t="s">
        <v>995</v>
      </c>
      <c r="D1269" t="s">
        <v>7044</v>
      </c>
      <c r="E1269">
        <v>137.1060639926925</v>
      </c>
    </row>
    <row r="1270" spans="1:5">
      <c r="A1270" t="s">
        <v>2897</v>
      </c>
      <c r="B1270" t="s">
        <v>956</v>
      </c>
      <c r="C1270" t="s">
        <v>995</v>
      </c>
      <c r="D1270" t="s">
        <v>7045</v>
      </c>
      <c r="E1270">
        <v>408.2507575416778</v>
      </c>
    </row>
    <row r="1271" spans="1:5">
      <c r="A1271" t="s">
        <v>2898</v>
      </c>
      <c r="B1271" t="s">
        <v>956</v>
      </c>
      <c r="C1271" t="s">
        <v>995</v>
      </c>
      <c r="D1271" t="s">
        <v>7046</v>
      </c>
      <c r="E1271">
        <v>47.42348137235395</v>
      </c>
    </row>
    <row r="1272" spans="1:5">
      <c r="A1272" t="s">
        <v>2899</v>
      </c>
      <c r="B1272" t="s">
        <v>956</v>
      </c>
      <c r="C1272" t="s">
        <v>995</v>
      </c>
      <c r="D1272" t="s">
        <v>6988</v>
      </c>
      <c r="E1272">
        <v>408.2498157335305</v>
      </c>
    </row>
    <row r="1273" spans="1:5">
      <c r="A1273" t="s">
        <v>2900</v>
      </c>
      <c r="B1273" t="s">
        <v>956</v>
      </c>
      <c r="C1273" t="s">
        <v>995</v>
      </c>
      <c r="D1273" t="s">
        <v>7047</v>
      </c>
      <c r="E1273">
        <v>113.9683500486551</v>
      </c>
    </row>
    <row r="1274" spans="1:5">
      <c r="A1274" t="s">
        <v>2901</v>
      </c>
      <c r="B1274" t="s">
        <v>956</v>
      </c>
      <c r="C1274" t="s">
        <v>995</v>
      </c>
      <c r="D1274" t="s">
        <v>7048</v>
      </c>
      <c r="E1274">
        <v>408.2507575416778</v>
      </c>
    </row>
    <row r="1275" spans="1:5">
      <c r="A1275" t="s">
        <v>2902</v>
      </c>
      <c r="B1275" t="s">
        <v>956</v>
      </c>
      <c r="C1275" t="s">
        <v>995</v>
      </c>
      <c r="D1275" t="s">
        <v>7049</v>
      </c>
      <c r="E1275">
        <v>25.86140251324261</v>
      </c>
    </row>
    <row r="1276" spans="1:5">
      <c r="A1276" t="s">
        <v>2903</v>
      </c>
      <c r="B1276" t="s">
        <v>956</v>
      </c>
      <c r="C1276" t="s">
        <v>995</v>
      </c>
      <c r="D1276" t="s">
        <v>7050</v>
      </c>
      <c r="E1276">
        <v>408.2507575416778</v>
      </c>
    </row>
    <row r="1277" spans="1:5">
      <c r="A1277" t="s">
        <v>2904</v>
      </c>
      <c r="B1277" t="s">
        <v>956</v>
      </c>
      <c r="C1277" t="s">
        <v>995</v>
      </c>
      <c r="D1277" t="s">
        <v>7051</v>
      </c>
      <c r="E1277">
        <v>4.094649184213083</v>
      </c>
    </row>
    <row r="1278" spans="1:5">
      <c r="A1278" t="s">
        <v>2905</v>
      </c>
      <c r="B1278" t="s">
        <v>956</v>
      </c>
      <c r="C1278" t="s">
        <v>995</v>
      </c>
      <c r="D1278" t="s">
        <v>7052</v>
      </c>
      <c r="E1278">
        <v>0.0346602159602785</v>
      </c>
    </row>
    <row r="1279" spans="1:5">
      <c r="A1279" t="s">
        <v>2906</v>
      </c>
      <c r="B1279" t="s">
        <v>956</v>
      </c>
      <c r="C1279" t="s">
        <v>995</v>
      </c>
      <c r="D1279" t="s">
        <v>7053</v>
      </c>
      <c r="E1279">
        <v>39.96180391682207</v>
      </c>
    </row>
    <row r="1280" spans="1:5">
      <c r="A1280" t="s">
        <v>2907</v>
      </c>
      <c r="B1280" t="s">
        <v>956</v>
      </c>
      <c r="C1280" t="s">
        <v>995</v>
      </c>
      <c r="D1280" t="s">
        <v>7054</v>
      </c>
      <c r="E1280">
        <v>1.453782555775174</v>
      </c>
    </row>
    <row r="1281" spans="1:5">
      <c r="A1281" t="s">
        <v>2908</v>
      </c>
      <c r="B1281" t="s">
        <v>956</v>
      </c>
      <c r="C1281" t="s">
        <v>995</v>
      </c>
      <c r="D1281" t="s">
        <v>6989</v>
      </c>
      <c r="E1281">
        <v>38.75304701858946</v>
      </c>
    </row>
    <row r="1282" spans="1:5">
      <c r="A1282" t="s">
        <v>2909</v>
      </c>
      <c r="B1282" t="s">
        <v>956</v>
      </c>
      <c r="C1282" t="s">
        <v>995</v>
      </c>
      <c r="D1282" t="s">
        <v>7055</v>
      </c>
      <c r="E1282">
        <v>11.45787932011144</v>
      </c>
    </row>
    <row r="1283" spans="1:5">
      <c r="A1283" t="s">
        <v>2910</v>
      </c>
      <c r="B1283" t="s">
        <v>956</v>
      </c>
      <c r="C1283" t="s">
        <v>995</v>
      </c>
      <c r="D1283" t="s">
        <v>7056</v>
      </c>
      <c r="E1283">
        <v>46.97492680337116</v>
      </c>
    </row>
    <row r="1284" spans="1:5">
      <c r="A1284" t="s">
        <v>2911</v>
      </c>
      <c r="B1284" t="s">
        <v>956</v>
      </c>
      <c r="C1284" t="s">
        <v>995</v>
      </c>
      <c r="D1284" t="s">
        <v>7057</v>
      </c>
      <c r="E1284">
        <v>2.322482087037118</v>
      </c>
    </row>
    <row r="1285" spans="1:5">
      <c r="A1285" t="s">
        <v>2912</v>
      </c>
      <c r="B1285" t="s">
        <v>956</v>
      </c>
      <c r="C1285" t="s">
        <v>995</v>
      </c>
      <c r="D1285" t="s">
        <v>6990</v>
      </c>
      <c r="E1285">
        <v>0.0169884145556269</v>
      </c>
    </row>
    <row r="1286" spans="1:5">
      <c r="A1286" t="s">
        <v>2913</v>
      </c>
      <c r="B1286" t="s">
        <v>956</v>
      </c>
      <c r="C1286" t="s">
        <v>995</v>
      </c>
      <c r="D1286" t="s">
        <v>6991</v>
      </c>
      <c r="E1286">
        <v>107.9075592667108</v>
      </c>
    </row>
    <row r="1287" spans="1:5">
      <c r="A1287" t="s">
        <v>2914</v>
      </c>
      <c r="B1287" t="s">
        <v>956</v>
      </c>
      <c r="C1287" t="s">
        <v>995</v>
      </c>
      <c r="D1287" t="s">
        <v>7058</v>
      </c>
      <c r="E1287">
        <v>408.2507575416778</v>
      </c>
    </row>
    <row r="1288" spans="1:5">
      <c r="A1288" t="s">
        <v>2915</v>
      </c>
      <c r="B1288" t="s">
        <v>956</v>
      </c>
      <c r="C1288" t="s">
        <v>995</v>
      </c>
      <c r="D1288" t="s">
        <v>6992</v>
      </c>
      <c r="E1288">
        <v>3.193264389713377</v>
      </c>
    </row>
    <row r="1289" spans="1:5">
      <c r="A1289" t="s">
        <v>2916</v>
      </c>
      <c r="B1289" t="s">
        <v>956</v>
      </c>
      <c r="C1289" t="s">
        <v>995</v>
      </c>
      <c r="D1289" t="s">
        <v>7059</v>
      </c>
      <c r="E1289">
        <v>0.2320498760463566</v>
      </c>
    </row>
    <row r="1290" spans="1:5">
      <c r="A1290" t="s">
        <v>2917</v>
      </c>
      <c r="B1290" t="s">
        <v>956</v>
      </c>
      <c r="C1290" t="s">
        <v>995</v>
      </c>
      <c r="D1290" t="s">
        <v>7060</v>
      </c>
      <c r="E1290">
        <v>0.0002265812996338751</v>
      </c>
    </row>
    <row r="1291" spans="1:5">
      <c r="A1291" t="s">
        <v>2918</v>
      </c>
      <c r="B1291" t="s">
        <v>956</v>
      </c>
      <c r="C1291" t="s">
        <v>995</v>
      </c>
      <c r="D1291" t="s">
        <v>6993</v>
      </c>
      <c r="E1291">
        <v>2.469456621296876</v>
      </c>
    </row>
    <row r="1292" spans="1:5">
      <c r="A1292" t="s">
        <v>2919</v>
      </c>
      <c r="B1292" t="s">
        <v>956</v>
      </c>
      <c r="C1292" t="s">
        <v>995</v>
      </c>
      <c r="D1292" t="s">
        <v>7061</v>
      </c>
      <c r="E1292">
        <v>408.2507575416778</v>
      </c>
    </row>
    <row r="1293" spans="1:5">
      <c r="A1293" t="s">
        <v>2920</v>
      </c>
      <c r="B1293" t="s">
        <v>956</v>
      </c>
      <c r="C1293" t="s">
        <v>995</v>
      </c>
      <c r="D1293" t="s">
        <v>7062</v>
      </c>
      <c r="E1293">
        <v>1.920390772168984</v>
      </c>
    </row>
    <row r="1294" spans="1:5">
      <c r="A1294" t="s">
        <v>2921</v>
      </c>
      <c r="B1294" t="s">
        <v>956</v>
      </c>
      <c r="C1294" t="s">
        <v>995</v>
      </c>
      <c r="D1294" t="s">
        <v>7063</v>
      </c>
      <c r="E1294">
        <v>428.132172882217</v>
      </c>
    </row>
    <row r="1295" spans="1:5">
      <c r="A1295" t="s">
        <v>2922</v>
      </c>
      <c r="B1295" t="s">
        <v>956</v>
      </c>
      <c r="C1295" t="s">
        <v>995</v>
      </c>
      <c r="D1295" t="s">
        <v>6994</v>
      </c>
      <c r="E1295">
        <v>1.906171803458659</v>
      </c>
    </row>
    <row r="1296" spans="1:5">
      <c r="A1296" t="s">
        <v>2923</v>
      </c>
      <c r="B1296" t="s">
        <v>956</v>
      </c>
      <c r="C1296" t="s">
        <v>995</v>
      </c>
      <c r="D1296" t="s">
        <v>7064</v>
      </c>
      <c r="E1296">
        <v>2.348335673623523</v>
      </c>
    </row>
    <row r="1297" spans="1:5">
      <c r="A1297" t="s">
        <v>2924</v>
      </c>
      <c r="B1297" t="s">
        <v>956</v>
      </c>
      <c r="C1297" t="s">
        <v>995</v>
      </c>
      <c r="D1297" t="s">
        <v>7065</v>
      </c>
      <c r="E1297">
        <v>3.474109392115886</v>
      </c>
    </row>
    <row r="1298" spans="1:5">
      <c r="A1298" t="s">
        <v>2925</v>
      </c>
      <c r="B1298" t="s">
        <v>956</v>
      </c>
      <c r="C1298" t="s">
        <v>995</v>
      </c>
      <c r="D1298" t="s">
        <v>7066</v>
      </c>
      <c r="E1298">
        <v>0.07536662641835437</v>
      </c>
    </row>
    <row r="1299" spans="1:5">
      <c r="A1299" t="s">
        <v>2926</v>
      </c>
      <c r="B1299" t="s">
        <v>956</v>
      </c>
      <c r="C1299" t="s">
        <v>995</v>
      </c>
      <c r="D1299" t="s">
        <v>7067</v>
      </c>
      <c r="E1299">
        <v>217.9068498582104</v>
      </c>
    </row>
    <row r="1300" spans="1:5">
      <c r="A1300" t="s">
        <v>2927</v>
      </c>
      <c r="B1300" t="s">
        <v>956</v>
      </c>
      <c r="C1300" t="s">
        <v>995</v>
      </c>
      <c r="D1300" t="s">
        <v>7068</v>
      </c>
      <c r="E1300">
        <v>0.7194223320532698</v>
      </c>
    </row>
    <row r="1301" spans="1:5">
      <c r="A1301" t="s">
        <v>2928</v>
      </c>
      <c r="B1301" t="s">
        <v>956</v>
      </c>
      <c r="C1301" t="s">
        <v>995</v>
      </c>
      <c r="D1301" t="s">
        <v>6995</v>
      </c>
      <c r="E1301">
        <v>0.2015783519182692</v>
      </c>
    </row>
    <row r="1302" spans="1:5">
      <c r="A1302" t="s">
        <v>2929</v>
      </c>
      <c r="B1302" t="s">
        <v>956</v>
      </c>
      <c r="C1302" t="s">
        <v>995</v>
      </c>
      <c r="D1302" t="s">
        <v>7069</v>
      </c>
      <c r="E1302">
        <v>983.2826392554522</v>
      </c>
    </row>
    <row r="1303" spans="1:5">
      <c r="A1303" t="s">
        <v>2930</v>
      </c>
      <c r="B1303" t="s">
        <v>956</v>
      </c>
      <c r="C1303" t="s">
        <v>995</v>
      </c>
      <c r="D1303" t="s">
        <v>7070</v>
      </c>
      <c r="E1303">
        <v>364.2548396458851</v>
      </c>
    </row>
    <row r="1304" spans="1:5">
      <c r="A1304" t="s">
        <v>2931</v>
      </c>
      <c r="B1304" t="s">
        <v>956</v>
      </c>
      <c r="C1304" t="s">
        <v>995</v>
      </c>
      <c r="D1304" t="s">
        <v>7071</v>
      </c>
      <c r="E1304">
        <v>0.6238699178203119</v>
      </c>
    </row>
    <row r="1305" spans="1:5">
      <c r="A1305" t="s">
        <v>2932</v>
      </c>
      <c r="B1305" t="s">
        <v>956</v>
      </c>
      <c r="C1305" t="s">
        <v>995</v>
      </c>
      <c r="D1305" t="s">
        <v>7072</v>
      </c>
      <c r="E1305">
        <v>0.01388632868263392</v>
      </c>
    </row>
    <row r="1306" spans="1:5">
      <c r="A1306" t="s">
        <v>2933</v>
      </c>
      <c r="B1306" t="s">
        <v>956</v>
      </c>
      <c r="C1306" t="s">
        <v>995</v>
      </c>
      <c r="D1306" t="s">
        <v>7073</v>
      </c>
      <c r="E1306">
        <v>0.003391572224616284</v>
      </c>
    </row>
    <row r="1307" spans="1:5">
      <c r="A1307" t="s">
        <v>2934</v>
      </c>
      <c r="B1307" t="s">
        <v>956</v>
      </c>
      <c r="C1307" t="s">
        <v>995</v>
      </c>
      <c r="D1307" t="s">
        <v>7074</v>
      </c>
      <c r="E1307">
        <v>0.9222954953867166</v>
      </c>
    </row>
    <row r="1308" spans="1:5">
      <c r="A1308" t="s">
        <v>2935</v>
      </c>
      <c r="B1308" t="s">
        <v>956</v>
      </c>
      <c r="C1308" t="s">
        <v>995</v>
      </c>
      <c r="D1308" t="s">
        <v>7075</v>
      </c>
      <c r="E1308">
        <v>1.67049431875136</v>
      </c>
    </row>
    <row r="1309" spans="1:5">
      <c r="A1309" t="s">
        <v>2936</v>
      </c>
      <c r="B1309" t="s">
        <v>956</v>
      </c>
      <c r="C1309" t="s">
        <v>995</v>
      </c>
      <c r="D1309" t="s">
        <v>7076</v>
      </c>
      <c r="E1309">
        <v>18.70537164690575</v>
      </c>
    </row>
    <row r="1310" spans="1:5">
      <c r="A1310" t="s">
        <v>2937</v>
      </c>
      <c r="B1310" t="s">
        <v>956</v>
      </c>
      <c r="C1310" t="s">
        <v>995</v>
      </c>
      <c r="D1310" t="s">
        <v>7077</v>
      </c>
      <c r="E1310">
        <v>47.72492612351918</v>
      </c>
    </row>
    <row r="1311" spans="1:5">
      <c r="A1311" t="s">
        <v>2938</v>
      </c>
      <c r="B1311" t="s">
        <v>956</v>
      </c>
      <c r="C1311" t="s">
        <v>995</v>
      </c>
      <c r="D1311" t="s">
        <v>7078</v>
      </c>
      <c r="E1311">
        <v>33.04971642797861</v>
      </c>
    </row>
    <row r="1312" spans="1:5">
      <c r="A1312" t="s">
        <v>2939</v>
      </c>
      <c r="B1312" t="s">
        <v>956</v>
      </c>
      <c r="C1312" t="s">
        <v>995</v>
      </c>
      <c r="D1312" t="s">
        <v>7079</v>
      </c>
      <c r="E1312">
        <v>17.57052563749966</v>
      </c>
    </row>
    <row r="1313" spans="1:5">
      <c r="A1313" t="s">
        <v>2940</v>
      </c>
      <c r="B1313" t="s">
        <v>956</v>
      </c>
      <c r="C1313" t="s">
        <v>995</v>
      </c>
      <c r="D1313" t="s">
        <v>7080</v>
      </c>
      <c r="E1313">
        <v>0.07287211821435567</v>
      </c>
    </row>
    <row r="1314" spans="1:5">
      <c r="A1314" t="s">
        <v>2941</v>
      </c>
      <c r="B1314" t="s">
        <v>956</v>
      </c>
      <c r="C1314" t="s">
        <v>995</v>
      </c>
      <c r="D1314" t="s">
        <v>7081</v>
      </c>
      <c r="E1314">
        <v>5.736811508225951</v>
      </c>
    </row>
    <row r="1315" spans="1:5">
      <c r="A1315" t="s">
        <v>2942</v>
      </c>
      <c r="B1315" t="s">
        <v>956</v>
      </c>
      <c r="C1315" t="s">
        <v>995</v>
      </c>
      <c r="D1315" t="s">
        <v>7082</v>
      </c>
      <c r="E1315">
        <v>0.1450985165034035</v>
      </c>
    </row>
    <row r="1316" spans="1:5">
      <c r="A1316" t="s">
        <v>2943</v>
      </c>
      <c r="B1316" t="s">
        <v>956</v>
      </c>
      <c r="C1316" t="s">
        <v>995</v>
      </c>
      <c r="D1316" t="s">
        <v>7083</v>
      </c>
      <c r="E1316">
        <v>0.08450959835708217</v>
      </c>
    </row>
    <row r="1317" spans="1:5">
      <c r="A1317" t="s">
        <v>2944</v>
      </c>
      <c r="B1317" t="s">
        <v>956</v>
      </c>
      <c r="C1317" t="s">
        <v>995</v>
      </c>
      <c r="D1317" t="s">
        <v>7084</v>
      </c>
      <c r="E1317">
        <v>37.62435660991854</v>
      </c>
    </row>
    <row r="1318" spans="1:5">
      <c r="A1318" t="s">
        <v>2945</v>
      </c>
      <c r="B1318" t="s">
        <v>956</v>
      </c>
      <c r="C1318" t="s">
        <v>995</v>
      </c>
      <c r="D1318" t="s">
        <v>7085</v>
      </c>
      <c r="E1318">
        <v>7.605087595172756</v>
      </c>
    </row>
    <row r="1319" spans="1:5">
      <c r="A1319" t="s">
        <v>2946</v>
      </c>
      <c r="B1319" t="s">
        <v>956</v>
      </c>
      <c r="C1319" t="s">
        <v>995</v>
      </c>
      <c r="D1319" t="s">
        <v>7086</v>
      </c>
      <c r="E1319">
        <v>6.424053048536032</v>
      </c>
    </row>
    <row r="1320" spans="1:5">
      <c r="A1320" t="s">
        <v>2947</v>
      </c>
      <c r="B1320" t="s">
        <v>956</v>
      </c>
      <c r="C1320" t="s">
        <v>995</v>
      </c>
      <c r="D1320" t="s">
        <v>7087</v>
      </c>
      <c r="E1320">
        <v>19.73370844928631</v>
      </c>
    </row>
    <row r="1321" spans="1:5">
      <c r="A1321" t="s">
        <v>2948</v>
      </c>
      <c r="B1321" t="s">
        <v>956</v>
      </c>
      <c r="C1321" t="s">
        <v>995</v>
      </c>
      <c r="D1321" t="s">
        <v>7088</v>
      </c>
      <c r="E1321">
        <v>0.1736078752159523</v>
      </c>
    </row>
    <row r="1322" spans="1:5">
      <c r="A1322" t="s">
        <v>2949</v>
      </c>
      <c r="B1322" t="s">
        <v>956</v>
      </c>
      <c r="C1322" t="s">
        <v>995</v>
      </c>
      <c r="D1322" t="s">
        <v>6996</v>
      </c>
      <c r="E1322">
        <v>17.49618426496839</v>
      </c>
    </row>
    <row r="1323" spans="1:5">
      <c r="A1323" t="s">
        <v>2950</v>
      </c>
      <c r="B1323" t="s">
        <v>956</v>
      </c>
      <c r="C1323" t="s">
        <v>995</v>
      </c>
      <c r="D1323" t="s">
        <v>6997</v>
      </c>
      <c r="E1323">
        <v>76.57111252407637</v>
      </c>
    </row>
    <row r="1324" spans="1:5">
      <c r="A1324" t="s">
        <v>2951</v>
      </c>
      <c r="B1324" t="s">
        <v>956</v>
      </c>
      <c r="C1324" t="s">
        <v>995</v>
      </c>
      <c r="D1324" t="s">
        <v>7089</v>
      </c>
      <c r="E1324">
        <v>4.753089539344613</v>
      </c>
    </row>
    <row r="1325" spans="1:5">
      <c r="A1325" t="s">
        <v>2952</v>
      </c>
      <c r="B1325" t="s">
        <v>956</v>
      </c>
      <c r="C1325" t="s">
        <v>995</v>
      </c>
      <c r="D1325" t="s">
        <v>7090</v>
      </c>
      <c r="E1325">
        <v>18.70537164690575</v>
      </c>
    </row>
    <row r="1326" spans="1:5">
      <c r="A1326" t="s">
        <v>2953</v>
      </c>
      <c r="B1326" t="s">
        <v>956</v>
      </c>
      <c r="C1326" t="s">
        <v>995</v>
      </c>
      <c r="D1326" t="s">
        <v>7091</v>
      </c>
      <c r="E1326">
        <v>0.2243027251571163</v>
      </c>
    </row>
    <row r="1327" spans="1:5">
      <c r="A1327" t="s">
        <v>2954</v>
      </c>
      <c r="B1327" t="s">
        <v>956</v>
      </c>
      <c r="C1327" t="s">
        <v>995</v>
      </c>
      <c r="D1327" t="s">
        <v>7092</v>
      </c>
      <c r="E1327">
        <v>8.302789419405777</v>
      </c>
    </row>
    <row r="1328" spans="1:5">
      <c r="A1328" t="s">
        <v>2955</v>
      </c>
      <c r="B1328" t="s">
        <v>956</v>
      </c>
      <c r="C1328" t="s">
        <v>995</v>
      </c>
      <c r="D1328" t="s">
        <v>6998</v>
      </c>
      <c r="E1328">
        <v>32.82022515253648</v>
      </c>
    </row>
    <row r="1329" spans="1:5">
      <c r="A1329" t="s">
        <v>2956</v>
      </c>
      <c r="B1329" t="s">
        <v>956</v>
      </c>
      <c r="C1329" t="s">
        <v>995</v>
      </c>
      <c r="D1329" t="s">
        <v>7093</v>
      </c>
      <c r="E1329">
        <v>1.99579826999901</v>
      </c>
    </row>
    <row r="1330" spans="1:5">
      <c r="A1330" t="s">
        <v>2957</v>
      </c>
      <c r="B1330" t="s">
        <v>956</v>
      </c>
      <c r="C1330" t="s">
        <v>995</v>
      </c>
      <c r="D1330" t="s">
        <v>6999</v>
      </c>
      <c r="E1330">
        <v>181.5304216257248</v>
      </c>
    </row>
    <row r="1331" spans="1:5">
      <c r="A1331" t="s">
        <v>2958</v>
      </c>
      <c r="B1331" t="s">
        <v>956</v>
      </c>
      <c r="C1331" t="s">
        <v>995</v>
      </c>
      <c r="D1331" t="s">
        <v>7094</v>
      </c>
      <c r="E1331">
        <v>789.4624298214895</v>
      </c>
    </row>
    <row r="1332" spans="1:5">
      <c r="A1332" t="s">
        <v>2959</v>
      </c>
      <c r="B1332" t="s">
        <v>956</v>
      </c>
      <c r="C1332" t="s">
        <v>995</v>
      </c>
      <c r="D1332" t="s">
        <v>7095</v>
      </c>
      <c r="E1332">
        <v>303.5458038377556</v>
      </c>
    </row>
    <row r="1333" spans="1:5">
      <c r="A1333" t="s">
        <v>2960</v>
      </c>
      <c r="B1333" t="s">
        <v>956</v>
      </c>
      <c r="C1333" t="s">
        <v>995</v>
      </c>
      <c r="D1333" t="s">
        <v>7096</v>
      </c>
      <c r="E1333">
        <v>89.14417282755956</v>
      </c>
    </row>
    <row r="1334" spans="1:5">
      <c r="A1334" t="s">
        <v>2961</v>
      </c>
      <c r="B1334" t="s">
        <v>956</v>
      </c>
      <c r="C1334" t="s">
        <v>995</v>
      </c>
      <c r="D1334" t="s">
        <v>7097</v>
      </c>
      <c r="E1334">
        <v>69.90622998948048</v>
      </c>
    </row>
    <row r="1335" spans="1:5">
      <c r="A1335" t="s">
        <v>2962</v>
      </c>
      <c r="B1335" t="s">
        <v>956</v>
      </c>
      <c r="C1335" t="s">
        <v>995</v>
      </c>
      <c r="D1335" t="s">
        <v>7000</v>
      </c>
      <c r="E1335">
        <v>4.938691228339801</v>
      </c>
    </row>
    <row r="1336" spans="1:5">
      <c r="A1336" t="s">
        <v>2963</v>
      </c>
      <c r="B1336" t="s">
        <v>956</v>
      </c>
      <c r="C1336" t="s">
        <v>995</v>
      </c>
      <c r="D1336" t="s">
        <v>7098</v>
      </c>
      <c r="E1336">
        <v>1.088774745788351</v>
      </c>
    </row>
    <row r="1337" spans="1:5">
      <c r="A1337" t="s">
        <v>2964</v>
      </c>
      <c r="B1337" t="s">
        <v>956</v>
      </c>
      <c r="C1337" t="s">
        <v>995</v>
      </c>
      <c r="D1337" t="s">
        <v>7001</v>
      </c>
      <c r="E1337">
        <v>83.68627040211818</v>
      </c>
    </row>
    <row r="1338" spans="1:5">
      <c r="A1338" t="s">
        <v>2965</v>
      </c>
      <c r="B1338" t="s">
        <v>956</v>
      </c>
      <c r="C1338" t="s">
        <v>995</v>
      </c>
      <c r="D1338" t="s">
        <v>7099</v>
      </c>
      <c r="E1338">
        <v>0.04967777171927892</v>
      </c>
    </row>
    <row r="1339" spans="1:5">
      <c r="A1339" t="s">
        <v>2966</v>
      </c>
      <c r="B1339" t="s">
        <v>956</v>
      </c>
      <c r="C1339" t="s">
        <v>995</v>
      </c>
      <c r="D1339" t="s">
        <v>7100</v>
      </c>
      <c r="E1339">
        <v>83.39168784645656</v>
      </c>
    </row>
    <row r="1340" spans="1:5">
      <c r="A1340" t="s">
        <v>2967</v>
      </c>
      <c r="B1340" t="s">
        <v>956</v>
      </c>
      <c r="C1340" t="s">
        <v>995</v>
      </c>
      <c r="D1340" t="s">
        <v>7002</v>
      </c>
      <c r="E1340">
        <v>67.41176300290137</v>
      </c>
    </row>
    <row r="1341" spans="1:5">
      <c r="A1341" t="s">
        <v>2968</v>
      </c>
      <c r="B1341" t="s">
        <v>956</v>
      </c>
      <c r="C1341" t="s">
        <v>995</v>
      </c>
      <c r="D1341" t="s">
        <v>7101</v>
      </c>
      <c r="E1341">
        <v>3.012958204999998</v>
      </c>
    </row>
    <row r="1342" spans="1:5">
      <c r="A1342" t="s">
        <v>2969</v>
      </c>
      <c r="B1342" t="s">
        <v>956</v>
      </c>
      <c r="C1342" t="s">
        <v>995</v>
      </c>
      <c r="D1342" t="s">
        <v>7102</v>
      </c>
      <c r="E1342">
        <v>4.268128112513272</v>
      </c>
    </row>
    <row r="1343" spans="1:5">
      <c r="A1343" t="s">
        <v>2970</v>
      </c>
      <c r="B1343" t="s">
        <v>956</v>
      </c>
      <c r="C1343" t="s">
        <v>995</v>
      </c>
      <c r="D1343" t="s">
        <v>7103</v>
      </c>
      <c r="E1343">
        <v>0.207641383754288</v>
      </c>
    </row>
    <row r="1344" spans="1:5">
      <c r="A1344" t="s">
        <v>2971</v>
      </c>
      <c r="B1344" t="s">
        <v>956</v>
      </c>
      <c r="C1344" t="s">
        <v>995</v>
      </c>
      <c r="D1344" t="s">
        <v>7104</v>
      </c>
      <c r="E1344">
        <v>80.94551992130779</v>
      </c>
    </row>
    <row r="1345" spans="1:5">
      <c r="A1345" t="s">
        <v>2972</v>
      </c>
      <c r="B1345" t="s">
        <v>956</v>
      </c>
      <c r="C1345" t="s">
        <v>995</v>
      </c>
      <c r="D1345" t="s">
        <v>7105</v>
      </c>
      <c r="E1345">
        <v>38.14021202022678</v>
      </c>
    </row>
    <row r="1346" spans="1:5">
      <c r="A1346" t="s">
        <v>2973</v>
      </c>
      <c r="B1346" t="s">
        <v>956</v>
      </c>
      <c r="C1346" t="s">
        <v>995</v>
      </c>
      <c r="D1346" t="s">
        <v>7106</v>
      </c>
      <c r="E1346">
        <v>20.51139703366092</v>
      </c>
    </row>
    <row r="1347" spans="1:5">
      <c r="A1347" t="s">
        <v>2974</v>
      </c>
      <c r="B1347" t="s">
        <v>956</v>
      </c>
      <c r="C1347" t="s">
        <v>995</v>
      </c>
      <c r="D1347" t="s">
        <v>7107</v>
      </c>
      <c r="E1347">
        <v>0.6802829697382005</v>
      </c>
    </row>
    <row r="1348" spans="1:5">
      <c r="A1348" t="s">
        <v>2975</v>
      </c>
      <c r="B1348" t="s">
        <v>956</v>
      </c>
      <c r="C1348" t="s">
        <v>995</v>
      </c>
      <c r="D1348" t="s">
        <v>7003</v>
      </c>
      <c r="E1348">
        <v>32.84520022591408</v>
      </c>
    </row>
    <row r="1349" spans="1:5">
      <c r="A1349" t="s">
        <v>2976</v>
      </c>
      <c r="B1349" t="s">
        <v>956</v>
      </c>
      <c r="C1349" t="s">
        <v>995</v>
      </c>
      <c r="D1349" t="s">
        <v>7004</v>
      </c>
      <c r="E1349">
        <v>237.8011872167594</v>
      </c>
    </row>
    <row r="1350" spans="1:5">
      <c r="A1350" t="s">
        <v>2977</v>
      </c>
      <c r="B1350" t="s">
        <v>956</v>
      </c>
      <c r="C1350" t="s">
        <v>995</v>
      </c>
      <c r="D1350" t="s">
        <v>7108</v>
      </c>
      <c r="E1350">
        <v>408.2507575416778</v>
      </c>
    </row>
    <row r="1351" spans="1:5">
      <c r="A1351" t="s">
        <v>2978</v>
      </c>
      <c r="B1351" t="s">
        <v>956</v>
      </c>
      <c r="C1351" t="s">
        <v>995</v>
      </c>
      <c r="D1351" t="s">
        <v>7109</v>
      </c>
      <c r="E1351">
        <v>12.34872498505659</v>
      </c>
    </row>
    <row r="1352" spans="1:5">
      <c r="A1352" t="s">
        <v>2979</v>
      </c>
      <c r="B1352" t="s">
        <v>956</v>
      </c>
      <c r="C1352" t="s">
        <v>995</v>
      </c>
      <c r="D1352" t="s">
        <v>7110</v>
      </c>
      <c r="E1352">
        <v>0.01234875170714488</v>
      </c>
    </row>
    <row r="1353" spans="1:5">
      <c r="A1353" t="s">
        <v>2980</v>
      </c>
      <c r="B1353" t="s">
        <v>956</v>
      </c>
      <c r="C1353" t="s">
        <v>995</v>
      </c>
      <c r="D1353" t="s">
        <v>7111</v>
      </c>
      <c r="E1353">
        <v>0.5325247155646607</v>
      </c>
    </row>
    <row r="1354" spans="1:5">
      <c r="A1354" t="s">
        <v>2981</v>
      </c>
      <c r="B1354" t="s">
        <v>956</v>
      </c>
      <c r="C1354" t="s">
        <v>995</v>
      </c>
      <c r="D1354" t="s">
        <v>7112</v>
      </c>
      <c r="E1354">
        <v>8.136620709758816</v>
      </c>
    </row>
    <row r="1355" spans="1:5">
      <c r="A1355" t="s">
        <v>2982</v>
      </c>
      <c r="B1355" t="s">
        <v>956</v>
      </c>
      <c r="C1355" t="s">
        <v>995</v>
      </c>
      <c r="D1355" t="s">
        <v>7113</v>
      </c>
      <c r="E1355">
        <v>0.06463575256300846</v>
      </c>
    </row>
    <row r="1356" spans="1:5">
      <c r="A1356" t="s">
        <v>2983</v>
      </c>
      <c r="B1356" t="s">
        <v>956</v>
      </c>
      <c r="C1356" t="s">
        <v>995</v>
      </c>
      <c r="D1356" t="s">
        <v>7114</v>
      </c>
      <c r="E1356">
        <v>14.446228</v>
      </c>
    </row>
    <row r="1357" spans="1:5">
      <c r="A1357" t="s">
        <v>2984</v>
      </c>
      <c r="B1357" t="s">
        <v>956</v>
      </c>
      <c r="C1357" t="s">
        <v>995</v>
      </c>
      <c r="D1357" t="s">
        <v>7115</v>
      </c>
      <c r="E1357">
        <v>2.741561827073508</v>
      </c>
    </row>
    <row r="1358" spans="1:5">
      <c r="A1358" t="s">
        <v>2985</v>
      </c>
      <c r="B1358" t="s">
        <v>956</v>
      </c>
      <c r="C1358" t="s">
        <v>995</v>
      </c>
      <c r="D1358" t="s">
        <v>7116</v>
      </c>
      <c r="E1358">
        <v>18.70537164690575</v>
      </c>
    </row>
    <row r="1359" spans="1:5">
      <c r="A1359" t="s">
        <v>2986</v>
      </c>
      <c r="B1359" t="s">
        <v>956</v>
      </c>
      <c r="C1359" t="s">
        <v>995</v>
      </c>
      <c r="D1359" t="s">
        <v>7005</v>
      </c>
      <c r="E1359">
        <v>9.337142786592169</v>
      </c>
    </row>
    <row r="1360" spans="1:5">
      <c r="A1360" t="s">
        <v>2987</v>
      </c>
      <c r="B1360" t="s">
        <v>956</v>
      </c>
      <c r="C1360" t="s">
        <v>995</v>
      </c>
      <c r="D1360" t="s">
        <v>7117</v>
      </c>
      <c r="E1360">
        <v>32.91397401086294</v>
      </c>
    </row>
    <row r="1361" spans="1:5">
      <c r="A1361" t="s">
        <v>2988</v>
      </c>
      <c r="B1361" t="s">
        <v>956</v>
      </c>
      <c r="C1361" t="s">
        <v>995</v>
      </c>
      <c r="D1361" t="s">
        <v>7118</v>
      </c>
      <c r="E1361">
        <v>86.85372715176923</v>
      </c>
    </row>
    <row r="1362" spans="1:5">
      <c r="A1362" t="s">
        <v>2989</v>
      </c>
      <c r="B1362" t="s">
        <v>956</v>
      </c>
      <c r="C1362" t="s">
        <v>995</v>
      </c>
      <c r="D1362" t="s">
        <v>7119</v>
      </c>
      <c r="E1362">
        <v>104.5285076067834</v>
      </c>
    </row>
    <row r="1363" spans="1:5">
      <c r="A1363" t="s">
        <v>2990</v>
      </c>
      <c r="B1363" t="s">
        <v>956</v>
      </c>
      <c r="C1363" t="s">
        <v>995</v>
      </c>
      <c r="D1363" t="s">
        <v>7120</v>
      </c>
      <c r="E1363">
        <v>128.8121786361069</v>
      </c>
    </row>
    <row r="1364" spans="1:5">
      <c r="A1364" t="s">
        <v>2991</v>
      </c>
      <c r="B1364" t="s">
        <v>956</v>
      </c>
      <c r="C1364" t="s">
        <v>995</v>
      </c>
      <c r="D1364" t="s">
        <v>7006</v>
      </c>
      <c r="E1364">
        <v>6.616180813462582</v>
      </c>
    </row>
    <row r="1365" spans="1:5">
      <c r="A1365" t="s">
        <v>2992</v>
      </c>
      <c r="B1365" t="s">
        <v>956</v>
      </c>
      <c r="C1365" t="s">
        <v>995</v>
      </c>
      <c r="D1365" t="s">
        <v>7121</v>
      </c>
      <c r="E1365">
        <v>37.41408697260799</v>
      </c>
    </row>
    <row r="1366" spans="1:5">
      <c r="A1366" t="s">
        <v>2993</v>
      </c>
      <c r="B1366" t="s">
        <v>956</v>
      </c>
      <c r="C1366" t="s">
        <v>995</v>
      </c>
      <c r="D1366" t="s">
        <v>7122</v>
      </c>
      <c r="E1366">
        <v>217.9068498582104</v>
      </c>
    </row>
    <row r="1367" spans="1:5">
      <c r="A1367" t="s">
        <v>2994</v>
      </c>
      <c r="B1367" t="s">
        <v>956</v>
      </c>
      <c r="C1367" t="s">
        <v>995</v>
      </c>
      <c r="D1367" t="s">
        <v>7123</v>
      </c>
      <c r="E1367">
        <v>9.678925163391687</v>
      </c>
    </row>
    <row r="1368" spans="1:5">
      <c r="A1368" t="s">
        <v>2995</v>
      </c>
      <c r="B1368" t="s">
        <v>956</v>
      </c>
      <c r="C1368" t="s">
        <v>995</v>
      </c>
      <c r="D1368" t="s">
        <v>7124</v>
      </c>
      <c r="E1368">
        <v>0.1172188215994736</v>
      </c>
    </row>
    <row r="1369" spans="1:5">
      <c r="A1369" t="s">
        <v>2996</v>
      </c>
      <c r="B1369" t="s">
        <v>956</v>
      </c>
      <c r="C1369" t="s">
        <v>995</v>
      </c>
      <c r="D1369" t="s">
        <v>7125</v>
      </c>
      <c r="E1369">
        <v>6.871179879139327</v>
      </c>
    </row>
    <row r="1370" spans="1:5">
      <c r="A1370" t="s">
        <v>2997</v>
      </c>
      <c r="B1370" t="s">
        <v>956</v>
      </c>
      <c r="C1370" t="s">
        <v>995</v>
      </c>
      <c r="D1370" t="s">
        <v>7126</v>
      </c>
      <c r="E1370">
        <v>0.08148621633504671</v>
      </c>
    </row>
    <row r="1371" spans="1:5">
      <c r="A1371" t="s">
        <v>2998</v>
      </c>
      <c r="B1371" t="s">
        <v>956</v>
      </c>
      <c r="C1371" t="s">
        <v>995</v>
      </c>
      <c r="D1371" t="s">
        <v>998</v>
      </c>
      <c r="E1371">
        <v>303.545022843112</v>
      </c>
    </row>
    <row r="1372" spans="1:5">
      <c r="A1372" t="s">
        <v>2999</v>
      </c>
      <c r="B1372" t="s">
        <v>956</v>
      </c>
      <c r="C1372" t="s">
        <v>995</v>
      </c>
      <c r="D1372" t="s">
        <v>7127</v>
      </c>
      <c r="E1372">
        <v>7.61394215713648</v>
      </c>
    </row>
    <row r="1373" spans="1:5">
      <c r="A1373" t="s">
        <v>3000</v>
      </c>
      <c r="B1373" t="s">
        <v>956</v>
      </c>
      <c r="C1373" t="s">
        <v>995</v>
      </c>
      <c r="D1373" t="s">
        <v>7128</v>
      </c>
      <c r="E1373">
        <v>0.02533191530249335</v>
      </c>
    </row>
    <row r="1374" spans="1:5">
      <c r="A1374" t="s">
        <v>3001</v>
      </c>
      <c r="B1374" t="s">
        <v>956</v>
      </c>
      <c r="C1374" t="s">
        <v>995</v>
      </c>
      <c r="D1374" t="s">
        <v>7129</v>
      </c>
      <c r="E1374">
        <v>0.5481558598378015</v>
      </c>
    </row>
    <row r="1375" spans="1:5">
      <c r="A1375" t="s">
        <v>3002</v>
      </c>
      <c r="B1375" t="s">
        <v>956</v>
      </c>
      <c r="C1375" t="s">
        <v>995</v>
      </c>
      <c r="D1375" t="s">
        <v>7130</v>
      </c>
      <c r="E1375">
        <v>0.0116321203172501</v>
      </c>
    </row>
    <row r="1376" spans="1:5">
      <c r="A1376" t="s">
        <v>3003</v>
      </c>
      <c r="B1376" t="s">
        <v>956</v>
      </c>
      <c r="C1376" t="s">
        <v>995</v>
      </c>
      <c r="D1376" t="s">
        <v>7131</v>
      </c>
      <c r="E1376">
        <v>2.580405708874621</v>
      </c>
    </row>
    <row r="1377" spans="1:5">
      <c r="A1377" t="s">
        <v>3004</v>
      </c>
      <c r="B1377" t="s">
        <v>956</v>
      </c>
      <c r="C1377" t="s">
        <v>995</v>
      </c>
      <c r="D1377" t="s">
        <v>7132</v>
      </c>
      <c r="E1377">
        <v>113.3699472697303</v>
      </c>
    </row>
    <row r="1378" spans="1:5">
      <c r="A1378" t="s">
        <v>3005</v>
      </c>
      <c r="B1378" t="s">
        <v>956</v>
      </c>
      <c r="C1378" t="s">
        <v>995</v>
      </c>
      <c r="D1378" t="s">
        <v>7133</v>
      </c>
      <c r="E1378">
        <v>0.5395667490399524</v>
      </c>
    </row>
    <row r="1379" spans="1:5">
      <c r="A1379" t="s">
        <v>3006</v>
      </c>
      <c r="B1379" t="s">
        <v>956</v>
      </c>
      <c r="C1379" t="s">
        <v>995</v>
      </c>
      <c r="D1379" t="s">
        <v>7134</v>
      </c>
      <c r="E1379">
        <v>112.4243289387377</v>
      </c>
    </row>
    <row r="1380" spans="1:5">
      <c r="A1380" t="s">
        <v>3007</v>
      </c>
      <c r="B1380" t="s">
        <v>956</v>
      </c>
      <c r="C1380" t="s">
        <v>995</v>
      </c>
      <c r="D1380" t="s">
        <v>7135</v>
      </c>
      <c r="E1380">
        <v>169.5786012371055</v>
      </c>
    </row>
    <row r="1381" spans="1:5">
      <c r="A1381" t="s">
        <v>3008</v>
      </c>
      <c r="B1381" t="s">
        <v>956</v>
      </c>
      <c r="C1381" t="s">
        <v>995</v>
      </c>
      <c r="D1381" t="s">
        <v>7136</v>
      </c>
      <c r="E1381">
        <v>416.0124615937958</v>
      </c>
    </row>
    <row r="1382" spans="1:5">
      <c r="A1382" t="s">
        <v>3009</v>
      </c>
      <c r="B1382" t="s">
        <v>956</v>
      </c>
      <c r="C1382" t="s">
        <v>995</v>
      </c>
      <c r="D1382" t="s">
        <v>7137</v>
      </c>
      <c r="E1382">
        <v>0.5395667490399524</v>
      </c>
    </row>
    <row r="1383" spans="1:5">
      <c r="A1383" t="s">
        <v>3010</v>
      </c>
      <c r="B1383" t="s">
        <v>956</v>
      </c>
      <c r="C1383" t="s">
        <v>995</v>
      </c>
      <c r="D1383" t="s">
        <v>7138</v>
      </c>
      <c r="E1383">
        <v>2.965948664230885</v>
      </c>
    </row>
    <row r="1384" spans="1:5">
      <c r="A1384" t="s">
        <v>3011</v>
      </c>
      <c r="B1384" t="s">
        <v>956</v>
      </c>
      <c r="C1384" t="s">
        <v>995</v>
      </c>
      <c r="D1384" t="s">
        <v>7139</v>
      </c>
      <c r="E1384">
        <v>1.276931183122918</v>
      </c>
    </row>
    <row r="1385" spans="1:5">
      <c r="A1385" t="s">
        <v>3012</v>
      </c>
      <c r="B1385" t="s">
        <v>956</v>
      </c>
      <c r="C1385" t="s">
        <v>995</v>
      </c>
      <c r="D1385" t="s">
        <v>7007</v>
      </c>
      <c r="E1385">
        <v>18.71345777685661</v>
      </c>
    </row>
    <row r="1386" spans="1:5">
      <c r="A1386" t="s">
        <v>3013</v>
      </c>
      <c r="B1386" t="s">
        <v>956</v>
      </c>
      <c r="C1386" t="s">
        <v>995</v>
      </c>
      <c r="D1386" t="s">
        <v>7140</v>
      </c>
      <c r="E1386">
        <v>16.53536623772266</v>
      </c>
    </row>
    <row r="1387" spans="1:5">
      <c r="A1387" t="s">
        <v>3014</v>
      </c>
      <c r="B1387" t="s">
        <v>956</v>
      </c>
      <c r="C1387" t="s">
        <v>995</v>
      </c>
      <c r="D1387" t="s">
        <v>7141</v>
      </c>
      <c r="E1387">
        <v>11.29400269958932</v>
      </c>
    </row>
    <row r="1388" spans="1:5">
      <c r="A1388" t="s">
        <v>3015</v>
      </c>
      <c r="B1388" t="s">
        <v>956</v>
      </c>
      <c r="C1388" t="s">
        <v>995</v>
      </c>
      <c r="D1388" t="s">
        <v>7142</v>
      </c>
      <c r="E1388">
        <v>11.29400269958932</v>
      </c>
    </row>
    <row r="1389" spans="1:5">
      <c r="A1389" t="s">
        <v>2851</v>
      </c>
      <c r="B1389" t="s">
        <v>956</v>
      </c>
      <c r="C1389" t="s">
        <v>995</v>
      </c>
      <c r="D1389" t="s">
        <v>996</v>
      </c>
      <c r="E1389">
        <v>353.932586</v>
      </c>
    </row>
    <row r="1390" spans="1:5">
      <c r="A1390" t="s">
        <v>3016</v>
      </c>
      <c r="B1390" t="s">
        <v>6978</v>
      </c>
      <c r="C1390" t="s">
        <v>995</v>
      </c>
      <c r="D1390" t="s">
        <v>996</v>
      </c>
      <c r="E1390">
        <v>354.030486</v>
      </c>
    </row>
    <row r="1391" spans="1:5">
      <c r="A1391" t="s">
        <v>3017</v>
      </c>
      <c r="B1391" t="s">
        <v>6978</v>
      </c>
      <c r="C1391" t="s">
        <v>995</v>
      </c>
      <c r="D1391" t="s">
        <v>7008</v>
      </c>
      <c r="E1391">
        <v>82.72412943856183</v>
      </c>
    </row>
    <row r="1392" spans="1:5">
      <c r="A1392" t="s">
        <v>3018</v>
      </c>
      <c r="B1392" t="s">
        <v>6978</v>
      </c>
      <c r="C1392" t="s">
        <v>995</v>
      </c>
      <c r="D1392" t="s">
        <v>7009</v>
      </c>
      <c r="E1392">
        <v>4.828088101420068</v>
      </c>
    </row>
    <row r="1393" spans="1:5">
      <c r="A1393" t="s">
        <v>3019</v>
      </c>
      <c r="B1393" t="s">
        <v>6978</v>
      </c>
      <c r="C1393" t="s">
        <v>995</v>
      </c>
      <c r="D1393" t="s">
        <v>7010</v>
      </c>
      <c r="E1393">
        <v>3.706290176023574</v>
      </c>
    </row>
    <row r="1394" spans="1:5">
      <c r="A1394" t="s">
        <v>3020</v>
      </c>
      <c r="B1394" t="s">
        <v>6978</v>
      </c>
      <c r="C1394" t="s">
        <v>995</v>
      </c>
      <c r="D1394" t="s">
        <v>7011</v>
      </c>
      <c r="E1394">
        <v>0.8257779759370593</v>
      </c>
    </row>
    <row r="1395" spans="1:5">
      <c r="A1395" t="s">
        <v>3021</v>
      </c>
      <c r="B1395" t="s">
        <v>6978</v>
      </c>
      <c r="C1395" t="s">
        <v>995</v>
      </c>
      <c r="D1395" t="s">
        <v>7012</v>
      </c>
      <c r="E1395">
        <v>169.7230904201004</v>
      </c>
    </row>
    <row r="1396" spans="1:5">
      <c r="A1396" t="s">
        <v>3022</v>
      </c>
      <c r="B1396" t="s">
        <v>6978</v>
      </c>
      <c r="C1396" t="s">
        <v>995</v>
      </c>
      <c r="D1396" t="s">
        <v>7013</v>
      </c>
      <c r="E1396">
        <v>0.3191966575435916</v>
      </c>
    </row>
    <row r="1397" spans="1:5">
      <c r="A1397" t="s">
        <v>3023</v>
      </c>
      <c r="B1397" t="s">
        <v>6978</v>
      </c>
      <c r="C1397" t="s">
        <v>995</v>
      </c>
      <c r="D1397" t="s">
        <v>7014</v>
      </c>
      <c r="E1397">
        <v>0.2154197295213474</v>
      </c>
    </row>
    <row r="1398" spans="1:5">
      <c r="A1398" t="s">
        <v>3024</v>
      </c>
      <c r="B1398" t="s">
        <v>6978</v>
      </c>
      <c r="C1398" t="s">
        <v>995</v>
      </c>
      <c r="D1398" t="s">
        <v>6981</v>
      </c>
      <c r="E1398">
        <v>218.0926703147841</v>
      </c>
    </row>
    <row r="1399" spans="1:5">
      <c r="A1399" t="s">
        <v>3025</v>
      </c>
      <c r="B1399" t="s">
        <v>6978</v>
      </c>
      <c r="C1399" t="s">
        <v>995</v>
      </c>
      <c r="D1399" t="s">
        <v>7015</v>
      </c>
      <c r="E1399">
        <v>169.7230904201004</v>
      </c>
    </row>
    <row r="1400" spans="1:5">
      <c r="A1400" t="s">
        <v>3026</v>
      </c>
      <c r="B1400" t="s">
        <v>6978</v>
      </c>
      <c r="C1400" t="s">
        <v>995</v>
      </c>
      <c r="D1400" t="s">
        <v>7016</v>
      </c>
      <c r="E1400">
        <v>178.787202968622</v>
      </c>
    </row>
    <row r="1401" spans="1:5">
      <c r="A1401" t="s">
        <v>3027</v>
      </c>
      <c r="B1401" t="s">
        <v>6978</v>
      </c>
      <c r="C1401" t="s">
        <v>995</v>
      </c>
      <c r="D1401" t="s">
        <v>7017</v>
      </c>
      <c r="E1401">
        <v>181.0129131877515</v>
      </c>
    </row>
    <row r="1402" spans="1:5">
      <c r="A1402" t="s">
        <v>3028</v>
      </c>
      <c r="B1402" t="s">
        <v>6978</v>
      </c>
      <c r="C1402" t="s">
        <v>995</v>
      </c>
      <c r="D1402" t="s">
        <v>7018</v>
      </c>
      <c r="E1402">
        <v>151.9021688388809</v>
      </c>
    </row>
    <row r="1403" spans="1:5">
      <c r="A1403" t="s">
        <v>3029</v>
      </c>
      <c r="B1403" t="s">
        <v>6978</v>
      </c>
      <c r="C1403" t="s">
        <v>995</v>
      </c>
      <c r="D1403" t="s">
        <v>7019</v>
      </c>
      <c r="E1403">
        <v>2.476329940116166</v>
      </c>
    </row>
    <row r="1404" spans="1:5">
      <c r="A1404" t="s">
        <v>3030</v>
      </c>
      <c r="B1404" t="s">
        <v>6978</v>
      </c>
      <c r="C1404" t="s">
        <v>995</v>
      </c>
      <c r="D1404" t="s">
        <v>997</v>
      </c>
      <c r="E1404">
        <v>181.0129131877515</v>
      </c>
    </row>
    <row r="1405" spans="1:5">
      <c r="A1405" t="s">
        <v>3031</v>
      </c>
      <c r="B1405" t="s">
        <v>6978</v>
      </c>
      <c r="C1405" t="s">
        <v>995</v>
      </c>
      <c r="D1405" t="s">
        <v>7020</v>
      </c>
      <c r="E1405">
        <v>807.9899352294357</v>
      </c>
    </row>
    <row r="1406" spans="1:5">
      <c r="A1406" t="s">
        <v>3032</v>
      </c>
      <c r="B1406" t="s">
        <v>6978</v>
      </c>
      <c r="C1406" t="s">
        <v>995</v>
      </c>
      <c r="D1406" t="s">
        <v>7021</v>
      </c>
      <c r="E1406">
        <v>0.1016845174253043</v>
      </c>
    </row>
    <row r="1407" spans="1:5">
      <c r="A1407" t="s">
        <v>3033</v>
      </c>
      <c r="B1407" t="s">
        <v>6978</v>
      </c>
      <c r="C1407" t="s">
        <v>995</v>
      </c>
      <c r="D1407" t="s">
        <v>7022</v>
      </c>
      <c r="E1407">
        <v>303.8043376777617</v>
      </c>
    </row>
    <row r="1408" spans="1:5">
      <c r="A1408" t="s">
        <v>3034</v>
      </c>
      <c r="B1408" t="s">
        <v>6978</v>
      </c>
      <c r="C1408" t="s">
        <v>995</v>
      </c>
      <c r="D1408" t="s">
        <v>7023</v>
      </c>
      <c r="E1408">
        <v>237.8808695745659</v>
      </c>
    </row>
    <row r="1409" spans="1:5">
      <c r="A1409" t="s">
        <v>3035</v>
      </c>
      <c r="B1409" t="s">
        <v>6978</v>
      </c>
      <c r="C1409" t="s">
        <v>995</v>
      </c>
      <c r="D1409" t="s">
        <v>7024</v>
      </c>
      <c r="E1409">
        <v>44.0861511173009</v>
      </c>
    </row>
    <row r="1410" spans="1:5">
      <c r="A1410" t="s">
        <v>3036</v>
      </c>
      <c r="B1410" t="s">
        <v>6978</v>
      </c>
      <c r="C1410" t="s">
        <v>995</v>
      </c>
      <c r="D1410" t="s">
        <v>6982</v>
      </c>
      <c r="E1410">
        <v>60.29211671821142</v>
      </c>
    </row>
    <row r="1411" spans="1:5">
      <c r="A1411" t="s">
        <v>3037</v>
      </c>
      <c r="B1411" t="s">
        <v>6978</v>
      </c>
      <c r="C1411" t="s">
        <v>995</v>
      </c>
      <c r="D1411" t="s">
        <v>7025</v>
      </c>
      <c r="E1411">
        <v>303.8043376777617</v>
      </c>
    </row>
    <row r="1412" spans="1:5">
      <c r="A1412" t="s">
        <v>3038</v>
      </c>
      <c r="B1412" t="s">
        <v>6978</v>
      </c>
      <c r="C1412" t="s">
        <v>995</v>
      </c>
      <c r="D1412" t="s">
        <v>7026</v>
      </c>
      <c r="E1412">
        <v>3.19985873749816</v>
      </c>
    </row>
    <row r="1413" spans="1:5">
      <c r="A1413" t="s">
        <v>3039</v>
      </c>
      <c r="B1413" t="s">
        <v>6978</v>
      </c>
      <c r="C1413" t="s">
        <v>995</v>
      </c>
      <c r="D1413" t="s">
        <v>7027</v>
      </c>
      <c r="E1413">
        <v>22.20470371785746</v>
      </c>
    </row>
    <row r="1414" spans="1:5">
      <c r="A1414" t="s">
        <v>3040</v>
      </c>
      <c r="B1414" t="s">
        <v>6978</v>
      </c>
      <c r="C1414" t="s">
        <v>995</v>
      </c>
      <c r="D1414" t="s">
        <v>7028</v>
      </c>
      <c r="E1414">
        <v>110.7689380582751</v>
      </c>
    </row>
    <row r="1415" spans="1:5">
      <c r="A1415" t="s">
        <v>3041</v>
      </c>
      <c r="B1415" t="s">
        <v>6978</v>
      </c>
      <c r="C1415" t="s">
        <v>995</v>
      </c>
      <c r="D1415" t="s">
        <v>7029</v>
      </c>
      <c r="E1415">
        <v>151.9021688388809</v>
      </c>
    </row>
    <row r="1416" spans="1:5">
      <c r="A1416" t="s">
        <v>3042</v>
      </c>
      <c r="B1416" t="s">
        <v>6978</v>
      </c>
      <c r="C1416" t="s">
        <v>995</v>
      </c>
      <c r="D1416" t="s">
        <v>6983</v>
      </c>
      <c r="E1416">
        <v>220.2353241970501</v>
      </c>
    </row>
    <row r="1417" spans="1:5">
      <c r="A1417" t="s">
        <v>3043</v>
      </c>
      <c r="B1417" t="s">
        <v>6978</v>
      </c>
      <c r="C1417" t="s">
        <v>995</v>
      </c>
      <c r="D1417" t="s">
        <v>7030</v>
      </c>
      <c r="E1417">
        <v>0.131928078298913</v>
      </c>
    </row>
    <row r="1418" spans="1:5">
      <c r="A1418" t="s">
        <v>3044</v>
      </c>
      <c r="B1418" t="s">
        <v>6978</v>
      </c>
      <c r="C1418" t="s">
        <v>995</v>
      </c>
      <c r="D1418" t="s">
        <v>6984</v>
      </c>
      <c r="E1418">
        <v>388.6089065004061</v>
      </c>
    </row>
    <row r="1419" spans="1:5">
      <c r="A1419" t="s">
        <v>3045</v>
      </c>
      <c r="B1419" t="s">
        <v>6978</v>
      </c>
      <c r="C1419" t="s">
        <v>995</v>
      </c>
      <c r="D1419" t="s">
        <v>7031</v>
      </c>
      <c r="E1419">
        <v>13476.60776551199</v>
      </c>
    </row>
    <row r="1420" spans="1:5">
      <c r="A1420" t="s">
        <v>3046</v>
      </c>
      <c r="B1420" t="s">
        <v>6978</v>
      </c>
      <c r="C1420" t="s">
        <v>995</v>
      </c>
      <c r="D1420" t="s">
        <v>7032</v>
      </c>
      <c r="E1420">
        <v>0.340957522670047</v>
      </c>
    </row>
    <row r="1421" spans="1:5">
      <c r="A1421" t="s">
        <v>3047</v>
      </c>
      <c r="B1421" t="s">
        <v>6978</v>
      </c>
      <c r="C1421" t="s">
        <v>995</v>
      </c>
      <c r="D1421" t="s">
        <v>7033</v>
      </c>
      <c r="E1421">
        <v>44.91616130821137</v>
      </c>
    </row>
    <row r="1422" spans="1:5">
      <c r="A1422" t="s">
        <v>3048</v>
      </c>
      <c r="B1422" t="s">
        <v>6978</v>
      </c>
      <c r="C1422" t="s">
        <v>995</v>
      </c>
      <c r="D1422" t="s">
        <v>6985</v>
      </c>
      <c r="E1422">
        <v>44.87100013916417</v>
      </c>
    </row>
    <row r="1423" spans="1:5">
      <c r="A1423" t="s">
        <v>3049</v>
      </c>
      <c r="B1423" t="s">
        <v>6978</v>
      </c>
      <c r="C1423" t="s">
        <v>995</v>
      </c>
      <c r="D1423" t="s">
        <v>7034</v>
      </c>
      <c r="E1423">
        <v>0.08333599016507201</v>
      </c>
    </row>
    <row r="1424" spans="1:5">
      <c r="A1424" t="s">
        <v>3050</v>
      </c>
      <c r="B1424" t="s">
        <v>6978</v>
      </c>
      <c r="C1424" t="s">
        <v>995</v>
      </c>
      <c r="D1424" t="s">
        <v>7035</v>
      </c>
      <c r="E1424">
        <v>0.6719308777951123</v>
      </c>
    </row>
    <row r="1425" spans="1:5">
      <c r="A1425" t="s">
        <v>3051</v>
      </c>
      <c r="B1425" t="s">
        <v>6978</v>
      </c>
      <c r="C1425" t="s">
        <v>995</v>
      </c>
      <c r="D1425" t="s">
        <v>7036</v>
      </c>
      <c r="E1425">
        <v>12.65851588034971</v>
      </c>
    </row>
    <row r="1426" spans="1:5">
      <c r="A1426" t="s">
        <v>3052</v>
      </c>
      <c r="B1426" t="s">
        <v>6978</v>
      </c>
      <c r="C1426" t="s">
        <v>995</v>
      </c>
      <c r="D1426" t="s">
        <v>7037</v>
      </c>
      <c r="E1426">
        <v>3.210724037545912</v>
      </c>
    </row>
    <row r="1427" spans="1:5">
      <c r="A1427" t="s">
        <v>3053</v>
      </c>
      <c r="B1427" t="s">
        <v>6978</v>
      </c>
      <c r="C1427" t="s">
        <v>995</v>
      </c>
      <c r="D1427" t="s">
        <v>6986</v>
      </c>
      <c r="E1427">
        <v>14.58021876846308</v>
      </c>
    </row>
    <row r="1428" spans="1:5">
      <c r="A1428" t="s">
        <v>3054</v>
      </c>
      <c r="B1428" t="s">
        <v>6978</v>
      </c>
      <c r="C1428" t="s">
        <v>995</v>
      </c>
      <c r="D1428" t="s">
        <v>7038</v>
      </c>
      <c r="E1428">
        <v>1.709445573139332</v>
      </c>
    </row>
    <row r="1429" spans="1:5">
      <c r="A1429" t="s">
        <v>3055</v>
      </c>
      <c r="B1429" t="s">
        <v>6978</v>
      </c>
      <c r="C1429" t="s">
        <v>995</v>
      </c>
      <c r="D1429" t="s">
        <v>6987</v>
      </c>
      <c r="E1429">
        <v>47.45161036093091</v>
      </c>
    </row>
    <row r="1430" spans="1:5">
      <c r="A1430" t="s">
        <v>3056</v>
      </c>
      <c r="B1430" t="s">
        <v>6978</v>
      </c>
      <c r="C1430" t="s">
        <v>995</v>
      </c>
      <c r="D1430" t="s">
        <v>7039</v>
      </c>
      <c r="E1430">
        <v>5.156633920394197</v>
      </c>
    </row>
    <row r="1431" spans="1:5">
      <c r="A1431" t="s">
        <v>3057</v>
      </c>
      <c r="B1431" t="s">
        <v>6978</v>
      </c>
      <c r="C1431" t="s">
        <v>995</v>
      </c>
      <c r="D1431" t="s">
        <v>7040</v>
      </c>
      <c r="E1431">
        <v>2.284905592829762</v>
      </c>
    </row>
    <row r="1432" spans="1:5">
      <c r="A1432" t="s">
        <v>3058</v>
      </c>
      <c r="B1432" t="s">
        <v>6978</v>
      </c>
      <c r="C1432" t="s">
        <v>995</v>
      </c>
      <c r="D1432" t="s">
        <v>7041</v>
      </c>
      <c r="E1432">
        <v>5.818317958683836</v>
      </c>
    </row>
    <row r="1433" spans="1:5">
      <c r="A1433" t="s">
        <v>3059</v>
      </c>
      <c r="B1433" t="s">
        <v>6978</v>
      </c>
      <c r="C1433" t="s">
        <v>995</v>
      </c>
      <c r="D1433" t="s">
        <v>7042</v>
      </c>
      <c r="E1433">
        <v>20.25362482921772</v>
      </c>
    </row>
    <row r="1434" spans="1:5">
      <c r="A1434" t="s">
        <v>3060</v>
      </c>
      <c r="B1434" t="s">
        <v>6978</v>
      </c>
      <c r="C1434" t="s">
        <v>995</v>
      </c>
      <c r="D1434" t="s">
        <v>7043</v>
      </c>
      <c r="E1434">
        <v>1.888596505860672</v>
      </c>
    </row>
    <row r="1435" spans="1:5">
      <c r="A1435" t="s">
        <v>3061</v>
      </c>
      <c r="B1435" t="s">
        <v>6978</v>
      </c>
      <c r="C1435" t="s">
        <v>995</v>
      </c>
      <c r="D1435" t="s">
        <v>7044</v>
      </c>
      <c r="E1435">
        <v>137.5815502706509</v>
      </c>
    </row>
    <row r="1436" spans="1:5">
      <c r="A1436" t="s">
        <v>3062</v>
      </c>
      <c r="B1436" t="s">
        <v>6978</v>
      </c>
      <c r="C1436" t="s">
        <v>995</v>
      </c>
      <c r="D1436" t="s">
        <v>7045</v>
      </c>
      <c r="E1436">
        <v>408.6130121650008</v>
      </c>
    </row>
    <row r="1437" spans="1:5">
      <c r="A1437" t="s">
        <v>3063</v>
      </c>
      <c r="B1437" t="s">
        <v>6978</v>
      </c>
      <c r="C1437" t="s">
        <v>995</v>
      </c>
      <c r="D1437" t="s">
        <v>7046</v>
      </c>
      <c r="E1437">
        <v>47.4516167209923</v>
      </c>
    </row>
    <row r="1438" spans="1:5">
      <c r="A1438" t="s">
        <v>3064</v>
      </c>
      <c r="B1438" t="s">
        <v>6978</v>
      </c>
      <c r="C1438" t="s">
        <v>995</v>
      </c>
      <c r="D1438" t="s">
        <v>6988</v>
      </c>
      <c r="E1438">
        <v>408.612540554765</v>
      </c>
    </row>
    <row r="1439" spans="1:5">
      <c r="A1439" t="s">
        <v>3065</v>
      </c>
      <c r="B1439" t="s">
        <v>6978</v>
      </c>
      <c r="C1439" t="s">
        <v>995</v>
      </c>
      <c r="D1439" t="s">
        <v>7047</v>
      </c>
      <c r="E1439">
        <v>113.9995073326928</v>
      </c>
    </row>
    <row r="1440" spans="1:5">
      <c r="A1440" t="s">
        <v>3066</v>
      </c>
      <c r="B1440" t="s">
        <v>6978</v>
      </c>
      <c r="C1440" t="s">
        <v>995</v>
      </c>
      <c r="D1440" t="s">
        <v>7048</v>
      </c>
      <c r="E1440">
        <v>408.6130121650008</v>
      </c>
    </row>
    <row r="1441" spans="1:5">
      <c r="A1441" t="s">
        <v>3067</v>
      </c>
      <c r="B1441" t="s">
        <v>6978</v>
      </c>
      <c r="C1441" t="s">
        <v>995</v>
      </c>
      <c r="D1441" t="s">
        <v>7049</v>
      </c>
      <c r="E1441">
        <v>25.86676795240223</v>
      </c>
    </row>
    <row r="1442" spans="1:5">
      <c r="A1442" t="s">
        <v>3068</v>
      </c>
      <c r="B1442" t="s">
        <v>6978</v>
      </c>
      <c r="C1442" t="s">
        <v>995</v>
      </c>
      <c r="D1442" t="s">
        <v>7050</v>
      </c>
      <c r="E1442">
        <v>408.6130121650008</v>
      </c>
    </row>
    <row r="1443" spans="1:5">
      <c r="A1443" t="s">
        <v>3069</v>
      </c>
      <c r="B1443" t="s">
        <v>6978</v>
      </c>
      <c r="C1443" t="s">
        <v>995</v>
      </c>
      <c r="D1443" t="s">
        <v>7051</v>
      </c>
      <c r="E1443">
        <v>4.095756487197704</v>
      </c>
    </row>
    <row r="1444" spans="1:5">
      <c r="A1444" t="s">
        <v>3070</v>
      </c>
      <c r="B1444" t="s">
        <v>6978</v>
      </c>
      <c r="C1444" t="s">
        <v>995</v>
      </c>
      <c r="D1444" t="s">
        <v>7052</v>
      </c>
      <c r="E1444">
        <v>0.03466949203108732</v>
      </c>
    </row>
    <row r="1445" spans="1:5">
      <c r="A1445" t="s">
        <v>3071</v>
      </c>
      <c r="B1445" t="s">
        <v>6978</v>
      </c>
      <c r="C1445" t="s">
        <v>995</v>
      </c>
      <c r="D1445" t="s">
        <v>7053</v>
      </c>
      <c r="E1445">
        <v>39.89078145959519</v>
      </c>
    </row>
    <row r="1446" spans="1:5">
      <c r="A1446" t="s">
        <v>3072</v>
      </c>
      <c r="B1446" t="s">
        <v>6978</v>
      </c>
      <c r="C1446" t="s">
        <v>995</v>
      </c>
      <c r="D1446" t="s">
        <v>7054</v>
      </c>
      <c r="E1446">
        <v>1.454184681258501</v>
      </c>
    </row>
    <row r="1447" spans="1:5">
      <c r="A1447" t="s">
        <v>3073</v>
      </c>
      <c r="B1447" t="s">
        <v>6978</v>
      </c>
      <c r="C1447" t="s">
        <v>995</v>
      </c>
      <c r="D1447" t="s">
        <v>6989</v>
      </c>
      <c r="E1447">
        <v>38.77036320102607</v>
      </c>
    </row>
    <row r="1448" spans="1:5">
      <c r="A1448" t="s">
        <v>3074</v>
      </c>
      <c r="B1448" t="s">
        <v>6978</v>
      </c>
      <c r="C1448" t="s">
        <v>995</v>
      </c>
      <c r="D1448" t="s">
        <v>7055</v>
      </c>
      <c r="E1448">
        <v>11.44121182636334</v>
      </c>
    </row>
    <row r="1449" spans="1:5">
      <c r="A1449" t="s">
        <v>3075</v>
      </c>
      <c r="B1449" t="s">
        <v>6978</v>
      </c>
      <c r="C1449" t="s">
        <v>995</v>
      </c>
      <c r="D1449" t="s">
        <v>7056</v>
      </c>
      <c r="E1449">
        <v>46.98792036631495</v>
      </c>
    </row>
    <row r="1450" spans="1:5">
      <c r="A1450" t="s">
        <v>3076</v>
      </c>
      <c r="B1450" t="s">
        <v>6978</v>
      </c>
      <c r="C1450" t="s">
        <v>995</v>
      </c>
      <c r="D1450" t="s">
        <v>7057</v>
      </c>
      <c r="E1450">
        <v>2.32312450032517</v>
      </c>
    </row>
    <row r="1451" spans="1:5">
      <c r="A1451" t="s">
        <v>3077</v>
      </c>
      <c r="B1451" t="s">
        <v>6978</v>
      </c>
      <c r="C1451" t="s">
        <v>995</v>
      </c>
      <c r="D1451" t="s">
        <v>6990</v>
      </c>
      <c r="E1451">
        <v>0.01702106715787711</v>
      </c>
    </row>
    <row r="1452" spans="1:5">
      <c r="A1452" t="s">
        <v>3078</v>
      </c>
      <c r="B1452" t="s">
        <v>6978</v>
      </c>
      <c r="C1452" t="s">
        <v>995</v>
      </c>
      <c r="D1452" t="s">
        <v>6991</v>
      </c>
      <c r="E1452">
        <v>108.1294050920899</v>
      </c>
    </row>
    <row r="1453" spans="1:5">
      <c r="A1453" t="s">
        <v>3079</v>
      </c>
      <c r="B1453" t="s">
        <v>6978</v>
      </c>
      <c r="C1453" t="s">
        <v>995</v>
      </c>
      <c r="D1453" t="s">
        <v>7058</v>
      </c>
      <c r="E1453">
        <v>408.6130121650008</v>
      </c>
    </row>
    <row r="1454" spans="1:5">
      <c r="A1454" t="s">
        <v>3080</v>
      </c>
      <c r="B1454" t="s">
        <v>6978</v>
      </c>
      <c r="C1454" t="s">
        <v>995</v>
      </c>
      <c r="D1454" t="s">
        <v>6992</v>
      </c>
      <c r="E1454">
        <v>3.199855064470714</v>
      </c>
    </row>
    <row r="1455" spans="1:5">
      <c r="A1455" t="s">
        <v>3081</v>
      </c>
      <c r="B1455" t="s">
        <v>6978</v>
      </c>
      <c r="C1455" t="s">
        <v>995</v>
      </c>
      <c r="D1455" t="s">
        <v>7059</v>
      </c>
      <c r="E1455">
        <v>0.2321140625150898</v>
      </c>
    </row>
    <row r="1456" spans="1:5">
      <c r="A1456" t="s">
        <v>3082</v>
      </c>
      <c r="B1456" t="s">
        <v>6978</v>
      </c>
      <c r="C1456" t="s">
        <v>995</v>
      </c>
      <c r="D1456" t="s">
        <v>7060</v>
      </c>
      <c r="E1456">
        <v>0.0002266440324494317</v>
      </c>
    </row>
    <row r="1457" spans="1:5">
      <c r="A1457" t="s">
        <v>3083</v>
      </c>
      <c r="B1457" t="s">
        <v>6978</v>
      </c>
      <c r="C1457" t="s">
        <v>995</v>
      </c>
      <c r="D1457" t="s">
        <v>6993</v>
      </c>
      <c r="E1457">
        <v>2.470273833208021</v>
      </c>
    </row>
    <row r="1458" spans="1:5">
      <c r="A1458" t="s">
        <v>3084</v>
      </c>
      <c r="B1458" t="s">
        <v>6978</v>
      </c>
      <c r="C1458" t="s">
        <v>995</v>
      </c>
      <c r="D1458" t="s">
        <v>7061</v>
      </c>
      <c r="E1458">
        <v>408.6130121650008</v>
      </c>
    </row>
    <row r="1459" spans="1:5">
      <c r="A1459" t="s">
        <v>3085</v>
      </c>
      <c r="B1459" t="s">
        <v>6978</v>
      </c>
      <c r="C1459" t="s">
        <v>995</v>
      </c>
      <c r="D1459" t="s">
        <v>7062</v>
      </c>
      <c r="E1459">
        <v>1.933659633419754</v>
      </c>
    </row>
    <row r="1460" spans="1:5">
      <c r="A1460" t="s">
        <v>3086</v>
      </c>
      <c r="B1460" t="s">
        <v>6978</v>
      </c>
      <c r="C1460" t="s">
        <v>995</v>
      </c>
      <c r="D1460" t="s">
        <v>7063</v>
      </c>
      <c r="E1460">
        <v>428.4968028902888</v>
      </c>
    </row>
    <row r="1461" spans="1:5">
      <c r="A1461" t="s">
        <v>3087</v>
      </c>
      <c r="B1461" t="s">
        <v>6978</v>
      </c>
      <c r="C1461" t="s">
        <v>995</v>
      </c>
      <c r="D1461" t="s">
        <v>6994</v>
      </c>
      <c r="E1461">
        <v>1.906672405005077</v>
      </c>
    </row>
    <row r="1462" spans="1:5">
      <c r="A1462" t="s">
        <v>3088</v>
      </c>
      <c r="B1462" t="s">
        <v>6978</v>
      </c>
      <c r="C1462" t="s">
        <v>995</v>
      </c>
      <c r="D1462" t="s">
        <v>7064</v>
      </c>
      <c r="E1462">
        <v>2.347629742024207</v>
      </c>
    </row>
    <row r="1463" spans="1:5">
      <c r="A1463" t="s">
        <v>3089</v>
      </c>
      <c r="B1463" t="s">
        <v>6978</v>
      </c>
      <c r="C1463" t="s">
        <v>995</v>
      </c>
      <c r="D1463" t="s">
        <v>7065</v>
      </c>
      <c r="E1463">
        <v>3.475061859363341</v>
      </c>
    </row>
    <row r="1464" spans="1:5">
      <c r="A1464" t="s">
        <v>3090</v>
      </c>
      <c r="B1464" t="s">
        <v>6978</v>
      </c>
      <c r="C1464" t="s">
        <v>995</v>
      </c>
      <c r="D1464" t="s">
        <v>7066</v>
      </c>
      <c r="E1464">
        <v>0.07538747330563803</v>
      </c>
    </row>
    <row r="1465" spans="1:5">
      <c r="A1465" t="s">
        <v>3091</v>
      </c>
      <c r="B1465" t="s">
        <v>6978</v>
      </c>
      <c r="C1465" t="s">
        <v>995</v>
      </c>
      <c r="D1465" t="s">
        <v>7067</v>
      </c>
      <c r="E1465">
        <v>218.0929390174712</v>
      </c>
    </row>
    <row r="1466" spans="1:5">
      <c r="A1466" t="s">
        <v>3092</v>
      </c>
      <c r="B1466" t="s">
        <v>6978</v>
      </c>
      <c r="C1466" t="s">
        <v>995</v>
      </c>
      <c r="D1466" t="s">
        <v>7068</v>
      </c>
      <c r="E1466">
        <v>0.7196213288371036</v>
      </c>
    </row>
    <row r="1467" spans="1:5">
      <c r="A1467" t="s">
        <v>3093</v>
      </c>
      <c r="B1467" t="s">
        <v>6978</v>
      </c>
      <c r="C1467" t="s">
        <v>995</v>
      </c>
      <c r="D1467" t="s">
        <v>6995</v>
      </c>
      <c r="E1467">
        <v>0.2016204890119282</v>
      </c>
    </row>
    <row r="1468" spans="1:5">
      <c r="A1468" t="s">
        <v>3094</v>
      </c>
      <c r="B1468" t="s">
        <v>6978</v>
      </c>
      <c r="C1468" t="s">
        <v>995</v>
      </c>
      <c r="D1468" t="s">
        <v>7069</v>
      </c>
      <c r="E1468">
        <v>982.8228628219579</v>
      </c>
    </row>
    <row r="1469" spans="1:5">
      <c r="A1469" t="s">
        <v>3095</v>
      </c>
      <c r="B1469" t="s">
        <v>6978</v>
      </c>
      <c r="C1469" t="s">
        <v>995</v>
      </c>
      <c r="D1469" t="s">
        <v>7070</v>
      </c>
      <c r="E1469">
        <v>364.5653303511574</v>
      </c>
    </row>
    <row r="1470" spans="1:5">
      <c r="A1470" t="s">
        <v>3096</v>
      </c>
      <c r="B1470" t="s">
        <v>6978</v>
      </c>
      <c r="C1470" t="s">
        <v>995</v>
      </c>
      <c r="D1470" t="s">
        <v>7071</v>
      </c>
      <c r="E1470">
        <v>0.6245382250651185</v>
      </c>
    </row>
    <row r="1471" spans="1:5">
      <c r="A1471" t="s">
        <v>3097</v>
      </c>
      <c r="B1471" t="s">
        <v>6978</v>
      </c>
      <c r="C1471" t="s">
        <v>995</v>
      </c>
      <c r="D1471" t="s">
        <v>7072</v>
      </c>
      <c r="E1471">
        <v>0.01393123689570923</v>
      </c>
    </row>
    <row r="1472" spans="1:5">
      <c r="A1472" t="s">
        <v>3098</v>
      </c>
      <c r="B1472" t="s">
        <v>6978</v>
      </c>
      <c r="C1472" t="s">
        <v>995</v>
      </c>
      <c r="D1472" t="s">
        <v>7073</v>
      </c>
      <c r="E1472">
        <v>0.003394462307857105</v>
      </c>
    </row>
    <row r="1473" spans="1:5">
      <c r="A1473" t="s">
        <v>3099</v>
      </c>
      <c r="B1473" t="s">
        <v>6978</v>
      </c>
      <c r="C1473" t="s">
        <v>995</v>
      </c>
      <c r="D1473" t="s">
        <v>7074</v>
      </c>
      <c r="E1473">
        <v>0.922962626345245</v>
      </c>
    </row>
    <row r="1474" spans="1:5">
      <c r="A1474" t="s">
        <v>3100</v>
      </c>
      <c r="B1474" t="s">
        <v>6978</v>
      </c>
      <c r="C1474" t="s">
        <v>995</v>
      </c>
      <c r="D1474" t="s">
        <v>7075</v>
      </c>
      <c r="E1474">
        <v>1.671919114984907</v>
      </c>
    </row>
    <row r="1475" spans="1:5">
      <c r="A1475" t="s">
        <v>3101</v>
      </c>
      <c r="B1475" t="s">
        <v>6978</v>
      </c>
      <c r="C1475" t="s">
        <v>995</v>
      </c>
      <c r="D1475" t="s">
        <v>7076</v>
      </c>
      <c r="E1475">
        <v>18.69674354538632</v>
      </c>
    </row>
    <row r="1476" spans="1:5">
      <c r="A1476" t="s">
        <v>3102</v>
      </c>
      <c r="B1476" t="s">
        <v>6978</v>
      </c>
      <c r="C1476" t="s">
        <v>995</v>
      </c>
      <c r="D1476" t="s">
        <v>7077</v>
      </c>
      <c r="E1476">
        <v>47.73812714103581</v>
      </c>
    </row>
    <row r="1477" spans="1:5">
      <c r="A1477" t="s">
        <v>3103</v>
      </c>
      <c r="B1477" t="s">
        <v>6978</v>
      </c>
      <c r="C1477" t="s">
        <v>995</v>
      </c>
      <c r="D1477" t="s">
        <v>7078</v>
      </c>
      <c r="E1477">
        <v>33.07582990061008</v>
      </c>
    </row>
    <row r="1478" spans="1:5">
      <c r="A1478" t="s">
        <v>3104</v>
      </c>
      <c r="B1478" t="s">
        <v>6978</v>
      </c>
      <c r="C1478" t="s">
        <v>995</v>
      </c>
      <c r="D1478" t="s">
        <v>7079</v>
      </c>
      <c r="E1478">
        <v>17.57363131939156</v>
      </c>
    </row>
    <row r="1479" spans="1:5">
      <c r="A1479" t="s">
        <v>3105</v>
      </c>
      <c r="B1479" t="s">
        <v>6978</v>
      </c>
      <c r="C1479" t="s">
        <v>995</v>
      </c>
      <c r="D1479" t="s">
        <v>7080</v>
      </c>
      <c r="E1479">
        <v>0.07297180490795285</v>
      </c>
    </row>
    <row r="1480" spans="1:5">
      <c r="A1480" t="s">
        <v>3106</v>
      </c>
      <c r="B1480" t="s">
        <v>6978</v>
      </c>
      <c r="C1480" t="s">
        <v>995</v>
      </c>
      <c r="D1480" t="s">
        <v>7081</v>
      </c>
      <c r="E1480">
        <v>5.738398346705567</v>
      </c>
    </row>
    <row r="1481" spans="1:5">
      <c r="A1481" t="s">
        <v>3107</v>
      </c>
      <c r="B1481" t="s">
        <v>6978</v>
      </c>
      <c r="C1481" t="s">
        <v>995</v>
      </c>
      <c r="D1481" t="s">
        <v>7082</v>
      </c>
      <c r="E1481">
        <v>0.144756213369188</v>
      </c>
    </row>
    <row r="1482" spans="1:5">
      <c r="A1482" t="s">
        <v>3108</v>
      </c>
      <c r="B1482" t="s">
        <v>6978</v>
      </c>
      <c r="C1482" t="s">
        <v>995</v>
      </c>
      <c r="D1482" t="s">
        <v>7083</v>
      </c>
      <c r="E1482">
        <v>0.08463712370484892</v>
      </c>
    </row>
    <row r="1483" spans="1:5">
      <c r="A1483" t="s">
        <v>3109</v>
      </c>
      <c r="B1483" t="s">
        <v>6978</v>
      </c>
      <c r="C1483" t="s">
        <v>995</v>
      </c>
      <c r="D1483" t="s">
        <v>7084</v>
      </c>
      <c r="E1483">
        <v>37.64113396378576</v>
      </c>
    </row>
    <row r="1484" spans="1:5">
      <c r="A1484" t="s">
        <v>3110</v>
      </c>
      <c r="B1484" t="s">
        <v>6978</v>
      </c>
      <c r="C1484" t="s">
        <v>995</v>
      </c>
      <c r="D1484" t="s">
        <v>7085</v>
      </c>
      <c r="E1484">
        <v>7.607191210677566</v>
      </c>
    </row>
    <row r="1485" spans="1:5">
      <c r="A1485" t="s">
        <v>3111</v>
      </c>
      <c r="B1485" t="s">
        <v>6978</v>
      </c>
      <c r="C1485" t="s">
        <v>995</v>
      </c>
      <c r="D1485" t="s">
        <v>7086</v>
      </c>
      <c r="E1485">
        <v>6.420322327920119</v>
      </c>
    </row>
    <row r="1486" spans="1:5">
      <c r="A1486" t="s">
        <v>3112</v>
      </c>
      <c r="B1486" t="s">
        <v>6978</v>
      </c>
      <c r="C1486" t="s">
        <v>995</v>
      </c>
      <c r="D1486" t="s">
        <v>7087</v>
      </c>
      <c r="E1486">
        <v>19.67782099238156</v>
      </c>
    </row>
    <row r="1487" spans="1:5">
      <c r="A1487" t="s">
        <v>3113</v>
      </c>
      <c r="B1487" t="s">
        <v>6978</v>
      </c>
      <c r="C1487" t="s">
        <v>995</v>
      </c>
      <c r="D1487" t="s">
        <v>7088</v>
      </c>
      <c r="E1487">
        <v>0.1736436136362065</v>
      </c>
    </row>
    <row r="1488" spans="1:5">
      <c r="A1488" t="s">
        <v>3114</v>
      </c>
      <c r="B1488" t="s">
        <v>6978</v>
      </c>
      <c r="C1488" t="s">
        <v>995</v>
      </c>
      <c r="D1488" t="s">
        <v>6996</v>
      </c>
      <c r="E1488">
        <v>17.51017226201212</v>
      </c>
    </row>
    <row r="1489" spans="1:5">
      <c r="A1489" t="s">
        <v>3115</v>
      </c>
      <c r="B1489" t="s">
        <v>6978</v>
      </c>
      <c r="C1489" t="s">
        <v>995</v>
      </c>
      <c r="D1489" t="s">
        <v>6997</v>
      </c>
      <c r="E1489">
        <v>76.62951090339713</v>
      </c>
    </row>
    <row r="1490" spans="1:5">
      <c r="A1490" t="s">
        <v>3116</v>
      </c>
      <c r="B1490" t="s">
        <v>6978</v>
      </c>
      <c r="C1490" t="s">
        <v>995</v>
      </c>
      <c r="D1490" t="s">
        <v>7089</v>
      </c>
      <c r="E1490">
        <v>4.754219311810275</v>
      </c>
    </row>
    <row r="1491" spans="1:5">
      <c r="A1491" t="s">
        <v>3117</v>
      </c>
      <c r="B1491" t="s">
        <v>6978</v>
      </c>
      <c r="C1491" t="s">
        <v>995</v>
      </c>
      <c r="D1491" t="s">
        <v>7090</v>
      </c>
      <c r="E1491">
        <v>18.69674354538632</v>
      </c>
    </row>
    <row r="1492" spans="1:5">
      <c r="A1492" t="s">
        <v>3118</v>
      </c>
      <c r="B1492" t="s">
        <v>6978</v>
      </c>
      <c r="C1492" t="s">
        <v>995</v>
      </c>
      <c r="D1492" t="s">
        <v>7091</v>
      </c>
      <c r="E1492">
        <v>0.2223456251413233</v>
      </c>
    </row>
    <row r="1493" spans="1:5">
      <c r="A1493" t="s">
        <v>3119</v>
      </c>
      <c r="B1493" t="s">
        <v>6978</v>
      </c>
      <c r="C1493" t="s">
        <v>995</v>
      </c>
      <c r="D1493" t="s">
        <v>7092</v>
      </c>
      <c r="E1493">
        <v>8.273058410871583</v>
      </c>
    </row>
    <row r="1494" spans="1:5">
      <c r="A1494" t="s">
        <v>3120</v>
      </c>
      <c r="B1494" t="s">
        <v>6978</v>
      </c>
      <c r="C1494" t="s">
        <v>995</v>
      </c>
      <c r="D1494" t="s">
        <v>6998</v>
      </c>
      <c r="E1494">
        <v>32.85295919818957</v>
      </c>
    </row>
    <row r="1495" spans="1:5">
      <c r="A1495" t="s">
        <v>3121</v>
      </c>
      <c r="B1495" t="s">
        <v>6978</v>
      </c>
      <c r="C1495" t="s">
        <v>995</v>
      </c>
      <c r="D1495" t="s">
        <v>7093</v>
      </c>
      <c r="E1495">
        <v>1.999911706417364</v>
      </c>
    </row>
    <row r="1496" spans="1:5">
      <c r="A1496" t="s">
        <v>3122</v>
      </c>
      <c r="B1496" t="s">
        <v>6978</v>
      </c>
      <c r="C1496" t="s">
        <v>995</v>
      </c>
      <c r="D1496" t="s">
        <v>6999</v>
      </c>
      <c r="E1496">
        <v>181.681272275208</v>
      </c>
    </row>
    <row r="1497" spans="1:5">
      <c r="A1497" t="s">
        <v>3123</v>
      </c>
      <c r="B1497" t="s">
        <v>6978</v>
      </c>
      <c r="C1497" t="s">
        <v>995</v>
      </c>
      <c r="D1497" t="s">
        <v>7094</v>
      </c>
      <c r="E1497">
        <v>790.1337442865305</v>
      </c>
    </row>
    <row r="1498" spans="1:5">
      <c r="A1498" t="s">
        <v>3124</v>
      </c>
      <c r="B1498" t="s">
        <v>6978</v>
      </c>
      <c r="C1498" t="s">
        <v>995</v>
      </c>
      <c r="D1498" t="s">
        <v>7095</v>
      </c>
      <c r="E1498">
        <v>303.8043376777617</v>
      </c>
    </row>
    <row r="1499" spans="1:5">
      <c r="A1499" t="s">
        <v>3125</v>
      </c>
      <c r="B1499" t="s">
        <v>6978</v>
      </c>
      <c r="C1499" t="s">
        <v>995</v>
      </c>
      <c r="D1499" t="s">
        <v>7096</v>
      </c>
      <c r="E1499">
        <v>89.34769082606941</v>
      </c>
    </row>
    <row r="1500" spans="1:5">
      <c r="A1500" t="s">
        <v>3126</v>
      </c>
      <c r="B1500" t="s">
        <v>6978</v>
      </c>
      <c r="C1500" t="s">
        <v>995</v>
      </c>
      <c r="D1500" t="s">
        <v>7097</v>
      </c>
      <c r="E1500">
        <v>69.86949659810243</v>
      </c>
    </row>
    <row r="1501" spans="1:5">
      <c r="A1501" t="s">
        <v>3127</v>
      </c>
      <c r="B1501" t="s">
        <v>6978</v>
      </c>
      <c r="C1501" t="s">
        <v>995</v>
      </c>
      <c r="D1501" t="s">
        <v>7000</v>
      </c>
      <c r="E1501">
        <v>4.939898762283783</v>
      </c>
    </row>
    <row r="1502" spans="1:5">
      <c r="A1502" t="s">
        <v>3128</v>
      </c>
      <c r="B1502" t="s">
        <v>6978</v>
      </c>
      <c r="C1502" t="s">
        <v>995</v>
      </c>
      <c r="D1502" t="s">
        <v>7098</v>
      </c>
      <c r="E1502">
        <v>1.091344920394091</v>
      </c>
    </row>
    <row r="1503" spans="1:5">
      <c r="A1503" t="s">
        <v>3129</v>
      </c>
      <c r="B1503" t="s">
        <v>6978</v>
      </c>
      <c r="C1503" t="s">
        <v>995</v>
      </c>
      <c r="D1503" t="s">
        <v>7001</v>
      </c>
      <c r="E1503">
        <v>83.68112436946147</v>
      </c>
    </row>
    <row r="1504" spans="1:5">
      <c r="A1504" t="s">
        <v>3130</v>
      </c>
      <c r="B1504" t="s">
        <v>6978</v>
      </c>
      <c r="C1504" t="s">
        <v>995</v>
      </c>
      <c r="D1504" t="s">
        <v>7099</v>
      </c>
      <c r="E1504">
        <v>0.04949886989549949</v>
      </c>
    </row>
    <row r="1505" spans="1:5">
      <c r="A1505" t="s">
        <v>3131</v>
      </c>
      <c r="B1505" t="s">
        <v>6978</v>
      </c>
      <c r="C1505" t="s">
        <v>995</v>
      </c>
      <c r="D1505" t="s">
        <v>7100</v>
      </c>
      <c r="E1505">
        <v>83.46273721473938</v>
      </c>
    </row>
    <row r="1506" spans="1:5">
      <c r="A1506" t="s">
        <v>3132</v>
      </c>
      <c r="B1506" t="s">
        <v>6978</v>
      </c>
      <c r="C1506" t="s">
        <v>995</v>
      </c>
      <c r="D1506" t="s">
        <v>7002</v>
      </c>
      <c r="E1506">
        <v>67.41899391338892</v>
      </c>
    </row>
    <row r="1507" spans="1:5">
      <c r="A1507" t="s">
        <v>3133</v>
      </c>
      <c r="B1507" t="s">
        <v>6978</v>
      </c>
      <c r="C1507" t="s">
        <v>995</v>
      </c>
      <c r="D1507" t="s">
        <v>7101</v>
      </c>
      <c r="E1507">
        <v>3.013240083682898</v>
      </c>
    </row>
    <row r="1508" spans="1:5">
      <c r="A1508" t="s">
        <v>3134</v>
      </c>
      <c r="B1508" t="s">
        <v>6978</v>
      </c>
      <c r="C1508" t="s">
        <v>995</v>
      </c>
      <c r="D1508" t="s">
        <v>7102</v>
      </c>
      <c r="E1508">
        <v>4.274690951968492</v>
      </c>
    </row>
    <row r="1509" spans="1:5">
      <c r="A1509" t="s">
        <v>3135</v>
      </c>
      <c r="B1509" t="s">
        <v>6978</v>
      </c>
      <c r="C1509" t="s">
        <v>995</v>
      </c>
      <c r="D1509" t="s">
        <v>7103</v>
      </c>
      <c r="E1509">
        <v>0.2077870202106832</v>
      </c>
    </row>
    <row r="1510" spans="1:5">
      <c r="A1510" t="s">
        <v>3136</v>
      </c>
      <c r="B1510" t="s">
        <v>6978</v>
      </c>
      <c r="C1510" t="s">
        <v>995</v>
      </c>
      <c r="D1510" t="s">
        <v>7104</v>
      </c>
      <c r="E1510">
        <v>81.01450858634075</v>
      </c>
    </row>
    <row r="1511" spans="1:5">
      <c r="A1511" t="s">
        <v>3137</v>
      </c>
      <c r="B1511" t="s">
        <v>6978</v>
      </c>
      <c r="C1511" t="s">
        <v>995</v>
      </c>
      <c r="D1511" t="s">
        <v>7105</v>
      </c>
      <c r="E1511">
        <v>38.37161902257694</v>
      </c>
    </row>
    <row r="1512" spans="1:5">
      <c r="A1512" t="s">
        <v>3138</v>
      </c>
      <c r="B1512" t="s">
        <v>6978</v>
      </c>
      <c r="C1512" t="s">
        <v>995</v>
      </c>
      <c r="D1512" t="s">
        <v>7106</v>
      </c>
      <c r="E1512">
        <v>21.32053091499839</v>
      </c>
    </row>
    <row r="1513" spans="1:5">
      <c r="A1513" t="s">
        <v>3139</v>
      </c>
      <c r="B1513" t="s">
        <v>6978</v>
      </c>
      <c r="C1513" t="s">
        <v>995</v>
      </c>
      <c r="D1513" t="s">
        <v>7107</v>
      </c>
      <c r="E1513">
        <v>0.680471140325967</v>
      </c>
    </row>
    <row r="1514" spans="1:5">
      <c r="A1514" t="s">
        <v>3140</v>
      </c>
      <c r="B1514" t="s">
        <v>6978</v>
      </c>
      <c r="C1514" t="s">
        <v>995</v>
      </c>
      <c r="D1514" t="s">
        <v>7003</v>
      </c>
      <c r="E1514">
        <v>32.86534750580455</v>
      </c>
    </row>
    <row r="1515" spans="1:5">
      <c r="A1515" t="s">
        <v>3141</v>
      </c>
      <c r="B1515" t="s">
        <v>6978</v>
      </c>
      <c r="C1515" t="s">
        <v>995</v>
      </c>
      <c r="D1515" t="s">
        <v>7004</v>
      </c>
      <c r="E1515">
        <v>237.8807097372854</v>
      </c>
    </row>
    <row r="1516" spans="1:5">
      <c r="A1516" t="s">
        <v>3142</v>
      </c>
      <c r="B1516" t="s">
        <v>6978</v>
      </c>
      <c r="C1516" t="s">
        <v>995</v>
      </c>
      <c r="D1516" t="s">
        <v>7108</v>
      </c>
      <c r="E1516">
        <v>408.6130121650008</v>
      </c>
    </row>
    <row r="1517" spans="1:5">
      <c r="A1517" t="s">
        <v>3143</v>
      </c>
      <c r="B1517" t="s">
        <v>6978</v>
      </c>
      <c r="C1517" t="s">
        <v>995</v>
      </c>
      <c r="D1517" t="s">
        <v>7109</v>
      </c>
      <c r="E1517">
        <v>12.35926957560666</v>
      </c>
    </row>
    <row r="1518" spans="1:5">
      <c r="A1518" t="s">
        <v>3144</v>
      </c>
      <c r="B1518" t="s">
        <v>6978</v>
      </c>
      <c r="C1518" t="s">
        <v>995</v>
      </c>
      <c r="D1518" t="s">
        <v>7110</v>
      </c>
      <c r="E1518">
        <v>0.01235854980549998</v>
      </c>
    </row>
    <row r="1519" spans="1:5">
      <c r="A1519" t="s">
        <v>3145</v>
      </c>
      <c r="B1519" t="s">
        <v>6978</v>
      </c>
      <c r="C1519" t="s">
        <v>995</v>
      </c>
      <c r="D1519" t="s">
        <v>7111</v>
      </c>
      <c r="E1519">
        <v>0.5326720152813751</v>
      </c>
    </row>
    <row r="1520" spans="1:5">
      <c r="A1520" t="s">
        <v>3146</v>
      </c>
      <c r="B1520" t="s">
        <v>6978</v>
      </c>
      <c r="C1520" t="s">
        <v>995</v>
      </c>
      <c r="D1520" t="s">
        <v>7112</v>
      </c>
      <c r="E1520">
        <v>8.138871350697215</v>
      </c>
    </row>
    <row r="1521" spans="1:5">
      <c r="A1521" t="s">
        <v>3147</v>
      </c>
      <c r="B1521" t="s">
        <v>6978</v>
      </c>
      <c r="C1521" t="s">
        <v>995</v>
      </c>
      <c r="D1521" t="s">
        <v>7113</v>
      </c>
      <c r="E1521">
        <v>0.06465363122246572</v>
      </c>
    </row>
    <row r="1522" spans="1:5">
      <c r="A1522" t="s">
        <v>3148</v>
      </c>
      <c r="B1522" t="s">
        <v>6978</v>
      </c>
      <c r="C1522" t="s">
        <v>995</v>
      </c>
      <c r="D1522" t="s">
        <v>7114</v>
      </c>
      <c r="E1522">
        <v>14.45022391836735</v>
      </c>
    </row>
    <row r="1523" spans="1:5">
      <c r="A1523" t="s">
        <v>3149</v>
      </c>
      <c r="B1523" t="s">
        <v>6978</v>
      </c>
      <c r="C1523" t="s">
        <v>995</v>
      </c>
      <c r="D1523" t="s">
        <v>7115</v>
      </c>
      <c r="E1523">
        <v>2.749446740906313</v>
      </c>
    </row>
    <row r="1524" spans="1:5">
      <c r="A1524" t="s">
        <v>3150</v>
      </c>
      <c r="B1524" t="s">
        <v>6978</v>
      </c>
      <c r="C1524" t="s">
        <v>995</v>
      </c>
      <c r="D1524" t="s">
        <v>7116</v>
      </c>
      <c r="E1524">
        <v>18.69674354538632</v>
      </c>
    </row>
    <row r="1525" spans="1:5">
      <c r="A1525" t="s">
        <v>3151</v>
      </c>
      <c r="B1525" t="s">
        <v>6978</v>
      </c>
      <c r="C1525" t="s">
        <v>995</v>
      </c>
      <c r="D1525" t="s">
        <v>7005</v>
      </c>
      <c r="E1525">
        <v>9.333698441095487</v>
      </c>
    </row>
    <row r="1526" spans="1:5">
      <c r="A1526" t="s">
        <v>3152</v>
      </c>
      <c r="B1526" t="s">
        <v>6978</v>
      </c>
      <c r="C1526" t="s">
        <v>995</v>
      </c>
      <c r="D1526" t="s">
        <v>7117</v>
      </c>
      <c r="E1526">
        <v>32.92316701405056</v>
      </c>
    </row>
    <row r="1527" spans="1:5">
      <c r="A1527" t="s">
        <v>3153</v>
      </c>
      <c r="B1527" t="s">
        <v>6978</v>
      </c>
      <c r="C1527" t="s">
        <v>995</v>
      </c>
      <c r="D1527" t="s">
        <v>7118</v>
      </c>
      <c r="E1527">
        <v>86.80281422855124</v>
      </c>
    </row>
    <row r="1528" spans="1:5">
      <c r="A1528" t="s">
        <v>3154</v>
      </c>
      <c r="B1528" t="s">
        <v>6978</v>
      </c>
      <c r="C1528" t="s">
        <v>995</v>
      </c>
      <c r="D1528" t="s">
        <v>7119</v>
      </c>
      <c r="E1528">
        <v>104.6232044923818</v>
      </c>
    </row>
    <row r="1529" spans="1:5">
      <c r="A1529" t="s">
        <v>3155</v>
      </c>
      <c r="B1529" t="s">
        <v>6978</v>
      </c>
      <c r="C1529" t="s">
        <v>995</v>
      </c>
      <c r="D1529" t="s">
        <v>7120</v>
      </c>
      <c r="E1529">
        <v>127.4915835792017</v>
      </c>
    </row>
    <row r="1530" spans="1:5">
      <c r="A1530" t="s">
        <v>3156</v>
      </c>
      <c r="B1530" t="s">
        <v>6978</v>
      </c>
      <c r="C1530" t="s">
        <v>995</v>
      </c>
      <c r="D1530" t="s">
        <v>7006</v>
      </c>
      <c r="E1530">
        <v>6.619554814561662</v>
      </c>
    </row>
    <row r="1531" spans="1:5">
      <c r="A1531" t="s">
        <v>3157</v>
      </c>
      <c r="B1531" t="s">
        <v>6978</v>
      </c>
      <c r="C1531" t="s">
        <v>995</v>
      </c>
      <c r="D1531" t="s">
        <v>7121</v>
      </c>
      <c r="E1531">
        <v>43.8517504941258</v>
      </c>
    </row>
    <row r="1532" spans="1:5">
      <c r="A1532" t="s">
        <v>3158</v>
      </c>
      <c r="B1532" t="s">
        <v>6978</v>
      </c>
      <c r="C1532" t="s">
        <v>995</v>
      </c>
      <c r="D1532" t="s">
        <v>7122</v>
      </c>
      <c r="E1532">
        <v>218.0929390174712</v>
      </c>
    </row>
    <row r="1533" spans="1:5">
      <c r="A1533" t="s">
        <v>3159</v>
      </c>
      <c r="B1533" t="s">
        <v>6978</v>
      </c>
      <c r="C1533" t="s">
        <v>995</v>
      </c>
      <c r="D1533" t="s">
        <v>7123</v>
      </c>
      <c r="E1533">
        <v>9.678579525579938</v>
      </c>
    </row>
    <row r="1534" spans="1:5">
      <c r="A1534" t="s">
        <v>3160</v>
      </c>
      <c r="B1534" t="s">
        <v>6978</v>
      </c>
      <c r="C1534" t="s">
        <v>995</v>
      </c>
      <c r="D1534" t="s">
        <v>7124</v>
      </c>
      <c r="E1534">
        <v>0.1174476223792551</v>
      </c>
    </row>
    <row r="1535" spans="1:5">
      <c r="A1535" t="s">
        <v>3161</v>
      </c>
      <c r="B1535" t="s">
        <v>6978</v>
      </c>
      <c r="C1535" t="s">
        <v>995</v>
      </c>
      <c r="D1535" t="s">
        <v>7125</v>
      </c>
      <c r="E1535">
        <v>6.867061814585862</v>
      </c>
    </row>
    <row r="1536" spans="1:5">
      <c r="A1536" t="s">
        <v>3162</v>
      </c>
      <c r="B1536" t="s">
        <v>6978</v>
      </c>
      <c r="C1536" t="s">
        <v>995</v>
      </c>
      <c r="D1536" t="s">
        <v>7126</v>
      </c>
      <c r="E1536">
        <v>0.08159718933670973</v>
      </c>
    </row>
    <row r="1537" spans="1:5">
      <c r="A1537" t="s">
        <v>3163</v>
      </c>
      <c r="B1537" t="s">
        <v>6978</v>
      </c>
      <c r="C1537" t="s">
        <v>995</v>
      </c>
      <c r="D1537" t="s">
        <v>998</v>
      </c>
      <c r="E1537">
        <v>303.8043376777617</v>
      </c>
    </row>
    <row r="1538" spans="1:5">
      <c r="A1538" t="s">
        <v>3164</v>
      </c>
      <c r="B1538" t="s">
        <v>6978</v>
      </c>
      <c r="C1538" t="s">
        <v>995</v>
      </c>
      <c r="D1538" t="s">
        <v>7127</v>
      </c>
      <c r="E1538">
        <v>7.613310792132257</v>
      </c>
    </row>
    <row r="1539" spans="1:5">
      <c r="A1539" t="s">
        <v>3165</v>
      </c>
      <c r="B1539" t="s">
        <v>6978</v>
      </c>
      <c r="C1539" t="s">
        <v>995</v>
      </c>
      <c r="D1539" t="s">
        <v>7128</v>
      </c>
      <c r="E1539">
        <v>0.02533748262245725</v>
      </c>
    </row>
    <row r="1540" spans="1:5">
      <c r="A1540" t="s">
        <v>3166</v>
      </c>
      <c r="B1540" t="s">
        <v>6978</v>
      </c>
      <c r="C1540" t="s">
        <v>995</v>
      </c>
      <c r="D1540" t="s">
        <v>7129</v>
      </c>
      <c r="E1540">
        <v>0.548307483228246</v>
      </c>
    </row>
    <row r="1541" spans="1:5">
      <c r="A1541" t="s">
        <v>3167</v>
      </c>
      <c r="B1541" t="s">
        <v>6978</v>
      </c>
      <c r="C1541" t="s">
        <v>995</v>
      </c>
      <c r="D1541" t="s">
        <v>7130</v>
      </c>
      <c r="E1541">
        <v>0.0116175227505298</v>
      </c>
    </row>
    <row r="1542" spans="1:5">
      <c r="A1542" t="s">
        <v>3168</v>
      </c>
      <c r="B1542" t="s">
        <v>6978</v>
      </c>
      <c r="C1542" t="s">
        <v>995</v>
      </c>
      <c r="D1542" t="s">
        <v>7131</v>
      </c>
      <c r="E1542">
        <v>2.578758282282019</v>
      </c>
    </row>
    <row r="1543" spans="1:5">
      <c r="A1543" t="s">
        <v>3169</v>
      </c>
      <c r="B1543" t="s">
        <v>6978</v>
      </c>
      <c r="C1543" t="s">
        <v>995</v>
      </c>
      <c r="D1543" t="s">
        <v>7132</v>
      </c>
      <c r="E1543">
        <v>113.177085467875</v>
      </c>
    </row>
    <row r="1544" spans="1:5">
      <c r="A1544" t="s">
        <v>3170</v>
      </c>
      <c r="B1544" t="s">
        <v>6978</v>
      </c>
      <c r="C1544" t="s">
        <v>995</v>
      </c>
      <c r="D1544" t="s">
        <v>7133</v>
      </c>
      <c r="E1544">
        <v>0.5397159966278278</v>
      </c>
    </row>
    <row r="1545" spans="1:5">
      <c r="A1545" t="s">
        <v>3171</v>
      </c>
      <c r="B1545" t="s">
        <v>6978</v>
      </c>
      <c r="C1545" t="s">
        <v>995</v>
      </c>
      <c r="D1545" t="s">
        <v>7134</v>
      </c>
      <c r="E1545">
        <v>112.5201536753101</v>
      </c>
    </row>
    <row r="1546" spans="1:5">
      <c r="A1546" t="s">
        <v>3172</v>
      </c>
      <c r="B1546" t="s">
        <v>6978</v>
      </c>
      <c r="C1546" t="s">
        <v>995</v>
      </c>
      <c r="D1546" t="s">
        <v>7135</v>
      </c>
      <c r="E1546">
        <v>169.7230904201004</v>
      </c>
    </row>
    <row r="1547" spans="1:5">
      <c r="A1547" t="s">
        <v>3173</v>
      </c>
      <c r="B1547" t="s">
        <v>6978</v>
      </c>
      <c r="C1547" t="s">
        <v>995</v>
      </c>
      <c r="D1547" t="s">
        <v>7136</v>
      </c>
      <c r="E1547">
        <v>416.175961442384</v>
      </c>
    </row>
    <row r="1548" spans="1:5">
      <c r="A1548" t="s">
        <v>3174</v>
      </c>
      <c r="B1548" t="s">
        <v>6978</v>
      </c>
      <c r="C1548" t="s">
        <v>995</v>
      </c>
      <c r="D1548" t="s">
        <v>7137</v>
      </c>
      <c r="E1548">
        <v>0.5397159966278278</v>
      </c>
    </row>
    <row r="1549" spans="1:5">
      <c r="A1549" t="s">
        <v>3175</v>
      </c>
      <c r="B1549" t="s">
        <v>6978</v>
      </c>
      <c r="C1549" t="s">
        <v>995</v>
      </c>
      <c r="D1549" t="s">
        <v>7138</v>
      </c>
      <c r="E1549">
        <v>2.966769064458821</v>
      </c>
    </row>
    <row r="1550" spans="1:5">
      <c r="A1550" t="s">
        <v>3176</v>
      </c>
      <c r="B1550" t="s">
        <v>6978</v>
      </c>
      <c r="C1550" t="s">
        <v>995</v>
      </c>
      <c r="D1550" t="s">
        <v>7139</v>
      </c>
      <c r="E1550">
        <v>1.273651835554696</v>
      </c>
    </row>
    <row r="1551" spans="1:5">
      <c r="A1551" t="s">
        <v>3177</v>
      </c>
      <c r="B1551" t="s">
        <v>6978</v>
      </c>
      <c r="C1551" t="s">
        <v>995</v>
      </c>
      <c r="D1551" t="s">
        <v>7007</v>
      </c>
      <c r="E1551">
        <v>18.69671194877373</v>
      </c>
    </row>
    <row r="1552" spans="1:5">
      <c r="A1552" t="s">
        <v>3178</v>
      </c>
      <c r="B1552" t="s">
        <v>6978</v>
      </c>
      <c r="C1552" t="s">
        <v>995</v>
      </c>
      <c r="D1552" t="s">
        <v>7140</v>
      </c>
      <c r="E1552">
        <v>16.54245486740145</v>
      </c>
    </row>
    <row r="1553" spans="1:5">
      <c r="A1553" t="s">
        <v>3179</v>
      </c>
      <c r="B1553" t="s">
        <v>6978</v>
      </c>
      <c r="C1553" t="s">
        <v>995</v>
      </c>
      <c r="D1553" t="s">
        <v>7141</v>
      </c>
      <c r="E1553">
        <v>11.29712669242871</v>
      </c>
    </row>
    <row r="1554" spans="1:5">
      <c r="A1554" t="s">
        <v>3180</v>
      </c>
      <c r="B1554" t="s">
        <v>6978</v>
      </c>
      <c r="C1554" t="s">
        <v>995</v>
      </c>
      <c r="D1554" t="s">
        <v>7142</v>
      </c>
      <c r="E1554">
        <v>11.29712669242871</v>
      </c>
    </row>
    <row r="1555" spans="1:5">
      <c r="A1555" t="s">
        <v>3016</v>
      </c>
      <c r="B1555" t="s">
        <v>6978</v>
      </c>
      <c r="C1555" t="s">
        <v>995</v>
      </c>
      <c r="D1555" t="s">
        <v>996</v>
      </c>
      <c r="E1555">
        <v>354.030486</v>
      </c>
    </row>
    <row r="1556" spans="1:5">
      <c r="A1556" t="s">
        <v>3181</v>
      </c>
      <c r="B1556" t="s">
        <v>957</v>
      </c>
      <c r="C1556" t="s">
        <v>995</v>
      </c>
      <c r="D1556" t="s">
        <v>996</v>
      </c>
      <c r="E1556">
        <v>355.022637</v>
      </c>
    </row>
    <row r="1557" spans="1:5">
      <c r="A1557" t="s">
        <v>3182</v>
      </c>
      <c r="B1557" t="s">
        <v>957</v>
      </c>
      <c r="C1557" t="s">
        <v>995</v>
      </c>
      <c r="D1557" t="s">
        <v>7008</v>
      </c>
      <c r="E1557">
        <v>83.1207770899094</v>
      </c>
    </row>
    <row r="1558" spans="1:5">
      <c r="A1558" t="s">
        <v>3183</v>
      </c>
      <c r="B1558" t="s">
        <v>957</v>
      </c>
      <c r="C1558" t="s">
        <v>995</v>
      </c>
      <c r="D1558" t="s">
        <v>7009</v>
      </c>
      <c r="E1558">
        <v>4.84340955218808</v>
      </c>
    </row>
    <row r="1559" spans="1:5">
      <c r="A1559" t="s">
        <v>3184</v>
      </c>
      <c r="B1559" t="s">
        <v>957</v>
      </c>
      <c r="C1559" t="s">
        <v>995</v>
      </c>
      <c r="D1559" t="s">
        <v>7010</v>
      </c>
      <c r="E1559">
        <v>3.720544215308816</v>
      </c>
    </row>
    <row r="1560" spans="1:5">
      <c r="A1560" t="s">
        <v>3185</v>
      </c>
      <c r="B1560" t="s">
        <v>957</v>
      </c>
      <c r="C1560" t="s">
        <v>995</v>
      </c>
      <c r="D1560" t="s">
        <v>7011</v>
      </c>
      <c r="E1560">
        <v>0.8275432048025922</v>
      </c>
    </row>
    <row r="1561" spans="1:5">
      <c r="A1561" t="s">
        <v>3186</v>
      </c>
      <c r="B1561" t="s">
        <v>957</v>
      </c>
      <c r="C1561" t="s">
        <v>995</v>
      </c>
      <c r="D1561" t="s">
        <v>7012</v>
      </c>
      <c r="E1561">
        <v>170.5369539622816</v>
      </c>
    </row>
    <row r="1562" spans="1:5">
      <c r="A1562" t="s">
        <v>3187</v>
      </c>
      <c r="B1562" t="s">
        <v>957</v>
      </c>
      <c r="C1562" t="s">
        <v>995</v>
      </c>
      <c r="D1562" t="s">
        <v>7013</v>
      </c>
      <c r="E1562">
        <v>0.3232928830604601</v>
      </c>
    </row>
    <row r="1563" spans="1:5">
      <c r="A1563" t="s">
        <v>3188</v>
      </c>
      <c r="B1563" t="s">
        <v>957</v>
      </c>
      <c r="C1563" t="s">
        <v>995</v>
      </c>
      <c r="D1563" t="s">
        <v>7014</v>
      </c>
      <c r="E1563">
        <v>0.2139212409121454</v>
      </c>
    </row>
    <row r="1564" spans="1:5">
      <c r="A1564" t="s">
        <v>3189</v>
      </c>
      <c r="B1564" t="s">
        <v>957</v>
      </c>
      <c r="C1564" t="s">
        <v>995</v>
      </c>
      <c r="D1564" t="s">
        <v>6981</v>
      </c>
      <c r="E1564">
        <v>218.964197010805</v>
      </c>
    </row>
    <row r="1565" spans="1:5">
      <c r="A1565" t="s">
        <v>3190</v>
      </c>
      <c r="B1565" t="s">
        <v>957</v>
      </c>
      <c r="C1565" t="s">
        <v>995</v>
      </c>
      <c r="D1565" t="s">
        <v>7015</v>
      </c>
      <c r="E1565">
        <v>170.5369539622816</v>
      </c>
    </row>
    <row r="1566" spans="1:5">
      <c r="A1566" t="s">
        <v>3191</v>
      </c>
      <c r="B1566" t="s">
        <v>957</v>
      </c>
      <c r="C1566" t="s">
        <v>995</v>
      </c>
      <c r="D1566" t="s">
        <v>7016</v>
      </c>
      <c r="E1566">
        <v>179.4191722683151</v>
      </c>
    </row>
    <row r="1567" spans="1:5">
      <c r="A1567" t="s">
        <v>3192</v>
      </c>
      <c r="B1567" t="s">
        <v>957</v>
      </c>
      <c r="C1567" t="s">
        <v>995</v>
      </c>
      <c r="D1567" t="s">
        <v>7017</v>
      </c>
      <c r="E1567">
        <v>181.5201919389722</v>
      </c>
    </row>
    <row r="1568" spans="1:5">
      <c r="A1568" t="s">
        <v>3193</v>
      </c>
      <c r="B1568" t="s">
        <v>957</v>
      </c>
      <c r="C1568" t="s">
        <v>995</v>
      </c>
      <c r="D1568" t="s">
        <v>7018</v>
      </c>
      <c r="E1568">
        <v>152.6305540006861</v>
      </c>
    </row>
    <row r="1569" spans="1:5">
      <c r="A1569" t="s">
        <v>3194</v>
      </c>
      <c r="B1569" t="s">
        <v>957</v>
      </c>
      <c r="C1569" t="s">
        <v>995</v>
      </c>
      <c r="D1569" t="s">
        <v>7019</v>
      </c>
      <c r="E1569">
        <v>2.484646107580094</v>
      </c>
    </row>
    <row r="1570" spans="1:5">
      <c r="A1570" t="s">
        <v>3195</v>
      </c>
      <c r="B1570" t="s">
        <v>957</v>
      </c>
      <c r="C1570" t="s">
        <v>995</v>
      </c>
      <c r="D1570" t="s">
        <v>997</v>
      </c>
      <c r="E1570">
        <v>181.5201919389722</v>
      </c>
    </row>
    <row r="1571" spans="1:5">
      <c r="A1571" t="s">
        <v>3196</v>
      </c>
      <c r="B1571" t="s">
        <v>957</v>
      </c>
      <c r="C1571" t="s">
        <v>995</v>
      </c>
      <c r="D1571" t="s">
        <v>7020</v>
      </c>
      <c r="E1571">
        <v>811.8644410040864</v>
      </c>
    </row>
    <row r="1572" spans="1:5">
      <c r="A1572" t="s">
        <v>3197</v>
      </c>
      <c r="B1572" t="s">
        <v>957</v>
      </c>
      <c r="C1572" t="s">
        <v>995</v>
      </c>
      <c r="D1572" t="s">
        <v>7021</v>
      </c>
      <c r="E1572">
        <v>0.1021979711159589</v>
      </c>
    </row>
    <row r="1573" spans="1:5">
      <c r="A1573" t="s">
        <v>3198</v>
      </c>
      <c r="B1573" t="s">
        <v>957</v>
      </c>
      <c r="C1573" t="s">
        <v>995</v>
      </c>
      <c r="D1573" t="s">
        <v>7022</v>
      </c>
      <c r="E1573">
        <v>305.2611080013722</v>
      </c>
    </row>
    <row r="1574" spans="1:5">
      <c r="A1574" t="s">
        <v>3199</v>
      </c>
      <c r="B1574" t="s">
        <v>957</v>
      </c>
      <c r="C1574" t="s">
        <v>995</v>
      </c>
      <c r="D1574" t="s">
        <v>7023</v>
      </c>
      <c r="E1574">
        <v>238.531329932295</v>
      </c>
    </row>
    <row r="1575" spans="1:5">
      <c r="A1575" t="s">
        <v>3200</v>
      </c>
      <c r="B1575" t="s">
        <v>957</v>
      </c>
      <c r="C1575" t="s">
        <v>995</v>
      </c>
      <c r="D1575" t="s">
        <v>7024</v>
      </c>
      <c r="E1575">
        <v>44.08503336527534</v>
      </c>
    </row>
    <row r="1576" spans="1:5">
      <c r="A1576" t="s">
        <v>3201</v>
      </c>
      <c r="B1576" t="s">
        <v>957</v>
      </c>
      <c r="C1576" t="s">
        <v>995</v>
      </c>
      <c r="D1576" t="s">
        <v>6982</v>
      </c>
      <c r="E1576">
        <v>60.79810613131211</v>
      </c>
    </row>
    <row r="1577" spans="1:5">
      <c r="A1577" t="s">
        <v>3202</v>
      </c>
      <c r="B1577" t="s">
        <v>957</v>
      </c>
      <c r="C1577" t="s">
        <v>995</v>
      </c>
      <c r="D1577" t="s">
        <v>7025</v>
      </c>
      <c r="E1577">
        <v>305.2611080013722</v>
      </c>
    </row>
    <row r="1578" spans="1:5">
      <c r="A1578" t="s">
        <v>3203</v>
      </c>
      <c r="B1578" t="s">
        <v>957</v>
      </c>
      <c r="C1578" t="s">
        <v>995</v>
      </c>
      <c r="D1578" t="s">
        <v>7026</v>
      </c>
      <c r="E1578">
        <v>3.204465648129774</v>
      </c>
    </row>
    <row r="1579" spans="1:5">
      <c r="A1579" t="s">
        <v>3204</v>
      </c>
      <c r="B1579" t="s">
        <v>957</v>
      </c>
      <c r="C1579" t="s">
        <v>995</v>
      </c>
      <c r="D1579" t="s">
        <v>7027</v>
      </c>
      <c r="E1579">
        <v>21.75589366348217</v>
      </c>
    </row>
    <row r="1580" spans="1:5">
      <c r="A1580" t="s">
        <v>3205</v>
      </c>
      <c r="B1580" t="s">
        <v>957</v>
      </c>
      <c r="C1580" t="s">
        <v>995</v>
      </c>
      <c r="D1580" t="s">
        <v>7028</v>
      </c>
      <c r="E1580">
        <v>110.5480175956312</v>
      </c>
    </row>
    <row r="1581" spans="1:5">
      <c r="A1581" t="s">
        <v>3206</v>
      </c>
      <c r="B1581" t="s">
        <v>957</v>
      </c>
      <c r="C1581" t="s">
        <v>995</v>
      </c>
      <c r="D1581" t="s">
        <v>7029</v>
      </c>
      <c r="E1581">
        <v>152.6305540006861</v>
      </c>
    </row>
    <row r="1582" spans="1:5">
      <c r="A1582" t="s">
        <v>3207</v>
      </c>
      <c r="B1582" t="s">
        <v>957</v>
      </c>
      <c r="C1582" t="s">
        <v>995</v>
      </c>
      <c r="D1582" t="s">
        <v>6983</v>
      </c>
      <c r="E1582">
        <v>220.5669868929436</v>
      </c>
    </row>
    <row r="1583" spans="1:5">
      <c r="A1583" t="s">
        <v>3208</v>
      </c>
      <c r="B1583" t="s">
        <v>957</v>
      </c>
      <c r="C1583" t="s">
        <v>995</v>
      </c>
      <c r="D1583" t="s">
        <v>7030</v>
      </c>
      <c r="E1583">
        <v>0.1332604094537891</v>
      </c>
    </row>
    <row r="1584" spans="1:5">
      <c r="A1584" t="s">
        <v>3209</v>
      </c>
      <c r="B1584" t="s">
        <v>957</v>
      </c>
      <c r="C1584" t="s">
        <v>995</v>
      </c>
      <c r="D1584" t="s">
        <v>6984</v>
      </c>
      <c r="E1584">
        <v>387.6787571047157</v>
      </c>
    </row>
    <row r="1585" spans="1:5">
      <c r="A1585" t="s">
        <v>3210</v>
      </c>
      <c r="B1585" t="s">
        <v>957</v>
      </c>
      <c r="C1585" t="s">
        <v>995</v>
      </c>
      <c r="D1585" t="s">
        <v>7031</v>
      </c>
      <c r="E1585">
        <v>13503.58057890533</v>
      </c>
    </row>
    <row r="1586" spans="1:5">
      <c r="A1586" t="s">
        <v>3211</v>
      </c>
      <c r="B1586" t="s">
        <v>957</v>
      </c>
      <c r="C1586" t="s">
        <v>995</v>
      </c>
      <c r="D1586" t="s">
        <v>7032</v>
      </c>
      <c r="E1586">
        <v>0.3416351067679002</v>
      </c>
    </row>
    <row r="1587" spans="1:5">
      <c r="A1587" t="s">
        <v>3212</v>
      </c>
      <c r="B1587" t="s">
        <v>957</v>
      </c>
      <c r="C1587" t="s">
        <v>995</v>
      </c>
      <c r="D1587" t="s">
        <v>7033</v>
      </c>
      <c r="E1587">
        <v>45.12338641750655</v>
      </c>
    </row>
    <row r="1588" spans="1:5">
      <c r="A1588" t="s">
        <v>3213</v>
      </c>
      <c r="B1588" t="s">
        <v>957</v>
      </c>
      <c r="C1588" t="s">
        <v>995</v>
      </c>
      <c r="D1588" t="s">
        <v>6985</v>
      </c>
      <c r="E1588">
        <v>45.05478337708868</v>
      </c>
    </row>
    <row r="1589" spans="1:5">
      <c r="A1589" t="s">
        <v>3214</v>
      </c>
      <c r="B1589" t="s">
        <v>957</v>
      </c>
      <c r="C1589" t="s">
        <v>995</v>
      </c>
      <c r="D1589" t="s">
        <v>7034</v>
      </c>
      <c r="E1589">
        <v>0.08555954538486521</v>
      </c>
    </row>
    <row r="1590" spans="1:5">
      <c r="A1590" t="s">
        <v>3215</v>
      </c>
      <c r="B1590" t="s">
        <v>957</v>
      </c>
      <c r="C1590" t="s">
        <v>995</v>
      </c>
      <c r="D1590" t="s">
        <v>7035</v>
      </c>
      <c r="E1590">
        <v>0.6698624394810329</v>
      </c>
    </row>
    <row r="1591" spans="1:5">
      <c r="A1591" t="s">
        <v>3216</v>
      </c>
      <c r="B1591" t="s">
        <v>957</v>
      </c>
      <c r="C1591" t="s">
        <v>995</v>
      </c>
      <c r="D1591" t="s">
        <v>7036</v>
      </c>
      <c r="E1591">
        <v>12.71921146633663</v>
      </c>
    </row>
    <row r="1592" spans="1:5">
      <c r="A1592" t="s">
        <v>3217</v>
      </c>
      <c r="B1592" t="s">
        <v>957</v>
      </c>
      <c r="C1592" t="s">
        <v>995</v>
      </c>
      <c r="D1592" t="s">
        <v>7037</v>
      </c>
      <c r="E1592">
        <v>3.219721915385662</v>
      </c>
    </row>
    <row r="1593" spans="1:5">
      <c r="A1593" t="s">
        <v>3218</v>
      </c>
      <c r="B1593" t="s">
        <v>957</v>
      </c>
      <c r="C1593" t="s">
        <v>995</v>
      </c>
      <c r="D1593" t="s">
        <v>6986</v>
      </c>
      <c r="E1593">
        <v>14.64433838952908</v>
      </c>
    </row>
    <row r="1594" spans="1:5">
      <c r="A1594" t="s">
        <v>3219</v>
      </c>
      <c r="B1594" t="s">
        <v>957</v>
      </c>
      <c r="C1594" t="s">
        <v>995</v>
      </c>
      <c r="D1594" t="s">
        <v>7038</v>
      </c>
      <c r="E1594">
        <v>1.717642124794903</v>
      </c>
    </row>
    <row r="1595" spans="1:5">
      <c r="A1595" t="s">
        <v>3220</v>
      </c>
      <c r="B1595" t="s">
        <v>957</v>
      </c>
      <c r="C1595" t="s">
        <v>995</v>
      </c>
      <c r="D1595" t="s">
        <v>6987</v>
      </c>
      <c r="E1595">
        <v>47.56823724291174</v>
      </c>
    </row>
    <row r="1596" spans="1:5">
      <c r="A1596" t="s">
        <v>3221</v>
      </c>
      <c r="B1596" t="s">
        <v>957</v>
      </c>
      <c r="C1596" t="s">
        <v>995</v>
      </c>
      <c r="D1596" t="s">
        <v>7039</v>
      </c>
      <c r="E1596">
        <v>5.222001241874514</v>
      </c>
    </row>
    <row r="1597" spans="1:5">
      <c r="A1597" t="s">
        <v>3222</v>
      </c>
      <c r="B1597" t="s">
        <v>957</v>
      </c>
      <c r="C1597" t="s">
        <v>995</v>
      </c>
      <c r="D1597" t="s">
        <v>7040</v>
      </c>
      <c r="E1597">
        <v>2.293755799843995</v>
      </c>
    </row>
    <row r="1598" spans="1:5">
      <c r="A1598" t="s">
        <v>3223</v>
      </c>
      <c r="B1598" t="s">
        <v>957</v>
      </c>
      <c r="C1598" t="s">
        <v>995</v>
      </c>
      <c r="D1598" t="s">
        <v>7041</v>
      </c>
      <c r="E1598">
        <v>5.879563496578362</v>
      </c>
    </row>
    <row r="1599" spans="1:5">
      <c r="A1599" t="s">
        <v>3224</v>
      </c>
      <c r="B1599" t="s">
        <v>957</v>
      </c>
      <c r="C1599" t="s">
        <v>995</v>
      </c>
      <c r="D1599" t="s">
        <v>7042</v>
      </c>
      <c r="E1599">
        <v>20.35073820031955</v>
      </c>
    </row>
    <row r="1600" spans="1:5">
      <c r="A1600" t="s">
        <v>3225</v>
      </c>
      <c r="B1600" t="s">
        <v>957</v>
      </c>
      <c r="C1600" t="s">
        <v>995</v>
      </c>
      <c r="D1600" t="s">
        <v>7043</v>
      </c>
      <c r="E1600">
        <v>1.921008819849697</v>
      </c>
    </row>
    <row r="1601" spans="1:5">
      <c r="A1601" t="s">
        <v>3226</v>
      </c>
      <c r="B1601" t="s">
        <v>957</v>
      </c>
      <c r="C1601" t="s">
        <v>995</v>
      </c>
      <c r="D1601" t="s">
        <v>7044</v>
      </c>
      <c r="E1601">
        <v>139.2346648678433</v>
      </c>
    </row>
    <row r="1602" spans="1:5">
      <c r="A1602" t="s">
        <v>3227</v>
      </c>
      <c r="B1602" t="s">
        <v>957</v>
      </c>
      <c r="C1602" t="s">
        <v>995</v>
      </c>
      <c r="D1602" t="s">
        <v>7045</v>
      </c>
      <c r="E1602">
        <v>410.9319887261342</v>
      </c>
    </row>
    <row r="1603" spans="1:5">
      <c r="A1603" t="s">
        <v>3228</v>
      </c>
      <c r="B1603" t="s">
        <v>957</v>
      </c>
      <c r="C1603" t="s">
        <v>995</v>
      </c>
      <c r="D1603" t="s">
        <v>7046</v>
      </c>
      <c r="E1603">
        <v>47.56824998991751</v>
      </c>
    </row>
    <row r="1604" spans="1:5">
      <c r="A1604" t="s">
        <v>3229</v>
      </c>
      <c r="B1604" t="s">
        <v>957</v>
      </c>
      <c r="C1604" t="s">
        <v>995</v>
      </c>
      <c r="D1604" t="s">
        <v>6988</v>
      </c>
      <c r="E1604">
        <v>410.9319887261342</v>
      </c>
    </row>
    <row r="1605" spans="1:5">
      <c r="A1605" t="s">
        <v>3230</v>
      </c>
      <c r="B1605" t="s">
        <v>957</v>
      </c>
      <c r="C1605" t="s">
        <v>995</v>
      </c>
      <c r="D1605" t="s">
        <v>7047</v>
      </c>
      <c r="E1605">
        <v>114.5097639959102</v>
      </c>
    </row>
    <row r="1606" spans="1:5">
      <c r="A1606" t="s">
        <v>3231</v>
      </c>
      <c r="B1606" t="s">
        <v>957</v>
      </c>
      <c r="C1606" t="s">
        <v>995</v>
      </c>
      <c r="D1606" t="s">
        <v>7048</v>
      </c>
      <c r="E1606">
        <v>410.9319887261342</v>
      </c>
    </row>
    <row r="1607" spans="1:5">
      <c r="A1607" t="s">
        <v>3232</v>
      </c>
      <c r="B1607" t="s">
        <v>957</v>
      </c>
      <c r="C1607" t="s">
        <v>995</v>
      </c>
      <c r="D1607" t="s">
        <v>7049</v>
      </c>
      <c r="E1607">
        <v>25.88315245444127</v>
      </c>
    </row>
    <row r="1608" spans="1:5">
      <c r="A1608" t="s">
        <v>3233</v>
      </c>
      <c r="B1608" t="s">
        <v>957</v>
      </c>
      <c r="C1608" t="s">
        <v>995</v>
      </c>
      <c r="D1608" t="s">
        <v>7050</v>
      </c>
      <c r="E1608">
        <v>410.9319887261342</v>
      </c>
    </row>
    <row r="1609" spans="1:5">
      <c r="A1609" t="s">
        <v>3234</v>
      </c>
      <c r="B1609" t="s">
        <v>957</v>
      </c>
      <c r="C1609" t="s">
        <v>995</v>
      </c>
      <c r="D1609" t="s">
        <v>7051</v>
      </c>
      <c r="E1609">
        <v>4.110577547139036</v>
      </c>
    </row>
    <row r="1610" spans="1:5">
      <c r="A1610" t="s">
        <v>3235</v>
      </c>
      <c r="B1610" t="s">
        <v>957</v>
      </c>
      <c r="C1610" t="s">
        <v>995</v>
      </c>
      <c r="D1610" t="s">
        <v>7052</v>
      </c>
      <c r="E1610">
        <v>0.03479407159666589</v>
      </c>
    </row>
    <row r="1611" spans="1:5">
      <c r="A1611" t="s">
        <v>3236</v>
      </c>
      <c r="B1611" t="s">
        <v>957</v>
      </c>
      <c r="C1611" t="s">
        <v>995</v>
      </c>
      <c r="D1611" t="s">
        <v>7053</v>
      </c>
      <c r="E1611">
        <v>39.99553847235346</v>
      </c>
    </row>
    <row r="1612" spans="1:5">
      <c r="A1612" t="s">
        <v>3237</v>
      </c>
      <c r="B1612" t="s">
        <v>957</v>
      </c>
      <c r="C1612" t="s">
        <v>995</v>
      </c>
      <c r="D1612" t="s">
        <v>7054</v>
      </c>
      <c r="E1612">
        <v>1.458903137030201</v>
      </c>
    </row>
    <row r="1613" spans="1:5">
      <c r="A1613" t="s">
        <v>3238</v>
      </c>
      <c r="B1613" t="s">
        <v>957</v>
      </c>
      <c r="C1613" t="s">
        <v>995</v>
      </c>
      <c r="D1613" t="s">
        <v>6989</v>
      </c>
      <c r="E1613">
        <v>38.93815479792221</v>
      </c>
    </row>
    <row r="1614" spans="1:5">
      <c r="A1614" t="s">
        <v>3239</v>
      </c>
      <c r="B1614" t="s">
        <v>957</v>
      </c>
      <c r="C1614" t="s">
        <v>995</v>
      </c>
      <c r="D1614" t="s">
        <v>7055</v>
      </c>
      <c r="E1614">
        <v>11.46337422311128</v>
      </c>
    </row>
    <row r="1615" spans="1:5">
      <c r="A1615" t="s">
        <v>3240</v>
      </c>
      <c r="B1615" t="s">
        <v>957</v>
      </c>
      <c r="C1615" t="s">
        <v>995</v>
      </c>
      <c r="D1615" t="s">
        <v>7056</v>
      </c>
      <c r="E1615">
        <v>47.11960143340632</v>
      </c>
    </row>
    <row r="1616" spans="1:5">
      <c r="A1616" t="s">
        <v>3241</v>
      </c>
      <c r="B1616" t="s">
        <v>957</v>
      </c>
      <c r="C1616" t="s">
        <v>995</v>
      </c>
      <c r="D1616" t="s">
        <v>7057</v>
      </c>
      <c r="E1616">
        <v>2.331062683807346</v>
      </c>
    </row>
    <row r="1617" spans="1:5">
      <c r="A1617" t="s">
        <v>3242</v>
      </c>
      <c r="B1617" t="s">
        <v>957</v>
      </c>
      <c r="C1617" t="s">
        <v>995</v>
      </c>
      <c r="D1617" t="s">
        <v>6990</v>
      </c>
      <c r="E1617">
        <v>0.01713602134970106</v>
      </c>
    </row>
    <row r="1618" spans="1:5">
      <c r="A1618" t="s">
        <v>3243</v>
      </c>
      <c r="B1618" t="s">
        <v>957</v>
      </c>
      <c r="C1618" t="s">
        <v>995</v>
      </c>
      <c r="D1618" t="s">
        <v>6991</v>
      </c>
      <c r="E1618">
        <v>107.4347479923088</v>
      </c>
    </row>
    <row r="1619" spans="1:5">
      <c r="A1619" t="s">
        <v>3244</v>
      </c>
      <c r="B1619" t="s">
        <v>957</v>
      </c>
      <c r="C1619" t="s">
        <v>995</v>
      </c>
      <c r="D1619" t="s">
        <v>7058</v>
      </c>
      <c r="E1619">
        <v>410.9319887261342</v>
      </c>
    </row>
    <row r="1620" spans="1:5">
      <c r="A1620" t="s">
        <v>3245</v>
      </c>
      <c r="B1620" t="s">
        <v>957</v>
      </c>
      <c r="C1620" t="s">
        <v>995</v>
      </c>
      <c r="D1620" t="s">
        <v>6992</v>
      </c>
      <c r="E1620">
        <v>3.204456276849318</v>
      </c>
    </row>
    <row r="1621" spans="1:5">
      <c r="A1621" t="s">
        <v>3246</v>
      </c>
      <c r="B1621" t="s">
        <v>957</v>
      </c>
      <c r="C1621" t="s">
        <v>995</v>
      </c>
      <c r="D1621" t="s">
        <v>7059</v>
      </c>
      <c r="E1621">
        <v>0.2327084762559782</v>
      </c>
    </row>
    <row r="1622" spans="1:5">
      <c r="A1622" t="s">
        <v>3247</v>
      </c>
      <c r="B1622" t="s">
        <v>957</v>
      </c>
      <c r="C1622" t="s">
        <v>995</v>
      </c>
      <c r="D1622" t="s">
        <v>7060</v>
      </c>
      <c r="E1622">
        <v>0.0002254953364982411</v>
      </c>
    </row>
    <row r="1623" spans="1:5">
      <c r="A1623" t="s">
        <v>3248</v>
      </c>
      <c r="B1623" t="s">
        <v>957</v>
      </c>
      <c r="C1623" t="s">
        <v>995</v>
      </c>
      <c r="D1623" t="s">
        <v>6993</v>
      </c>
      <c r="E1623">
        <v>2.472763718497214</v>
      </c>
    </row>
    <row r="1624" spans="1:5">
      <c r="A1624" t="s">
        <v>3249</v>
      </c>
      <c r="B1624" t="s">
        <v>957</v>
      </c>
      <c r="C1624" t="s">
        <v>995</v>
      </c>
      <c r="D1624" t="s">
        <v>7061</v>
      </c>
      <c r="E1624">
        <v>410.9319887261342</v>
      </c>
    </row>
    <row r="1625" spans="1:5">
      <c r="A1625" t="s">
        <v>3250</v>
      </c>
      <c r="B1625" t="s">
        <v>957</v>
      </c>
      <c r="C1625" t="s">
        <v>995</v>
      </c>
      <c r="D1625" t="s">
        <v>7062</v>
      </c>
      <c r="E1625">
        <v>1.918797541933862</v>
      </c>
    </row>
    <row r="1626" spans="1:5">
      <c r="A1626" t="s">
        <v>3251</v>
      </c>
      <c r="B1626" t="s">
        <v>957</v>
      </c>
      <c r="C1626" t="s">
        <v>995</v>
      </c>
      <c r="D1626" t="s">
        <v>7063</v>
      </c>
      <c r="E1626">
        <v>430.5517465946135</v>
      </c>
    </row>
    <row r="1627" spans="1:5">
      <c r="A1627" t="s">
        <v>3252</v>
      </c>
      <c r="B1627" t="s">
        <v>957</v>
      </c>
      <c r="C1627" t="s">
        <v>995</v>
      </c>
      <c r="D1627" t="s">
        <v>6994</v>
      </c>
      <c r="E1627">
        <v>1.908908577663921</v>
      </c>
    </row>
    <row r="1628" spans="1:5">
      <c r="A1628" t="s">
        <v>3253</v>
      </c>
      <c r="B1628" t="s">
        <v>957</v>
      </c>
      <c r="C1628" t="s">
        <v>995</v>
      </c>
      <c r="D1628" t="s">
        <v>7064</v>
      </c>
      <c r="E1628">
        <v>2.35591289164712</v>
      </c>
    </row>
    <row r="1629" spans="1:5">
      <c r="A1629" t="s">
        <v>3254</v>
      </c>
      <c r="B1629" t="s">
        <v>957</v>
      </c>
      <c r="C1629" t="s">
        <v>995</v>
      </c>
      <c r="D1629" t="s">
        <v>7065</v>
      </c>
      <c r="E1629">
        <v>3.486384875530149</v>
      </c>
    </row>
    <row r="1630" spans="1:5">
      <c r="A1630" t="s">
        <v>3255</v>
      </c>
      <c r="B1630" t="s">
        <v>957</v>
      </c>
      <c r="C1630" t="s">
        <v>995</v>
      </c>
      <c r="D1630" t="s">
        <v>7066</v>
      </c>
      <c r="E1630">
        <v>0.07558053074091287</v>
      </c>
    </row>
    <row r="1631" spans="1:5">
      <c r="A1631" t="s">
        <v>3256</v>
      </c>
      <c r="B1631" t="s">
        <v>957</v>
      </c>
      <c r="C1631" t="s">
        <v>995</v>
      </c>
      <c r="D1631" t="s">
        <v>7067</v>
      </c>
      <c r="E1631">
        <v>218.9644671083916</v>
      </c>
    </row>
    <row r="1632" spans="1:5">
      <c r="A1632" t="s">
        <v>3257</v>
      </c>
      <c r="B1632" t="s">
        <v>957</v>
      </c>
      <c r="C1632" t="s">
        <v>995</v>
      </c>
      <c r="D1632" t="s">
        <v>7068</v>
      </c>
      <c r="E1632">
        <v>0.7216380281024517</v>
      </c>
    </row>
    <row r="1633" spans="1:5">
      <c r="A1633" t="s">
        <v>3258</v>
      </c>
      <c r="B1633" t="s">
        <v>957</v>
      </c>
      <c r="C1633" t="s">
        <v>995</v>
      </c>
      <c r="D1633" t="s">
        <v>6995</v>
      </c>
      <c r="E1633">
        <v>0.2010715680232675</v>
      </c>
    </row>
    <row r="1634" spans="1:5">
      <c r="A1634" t="s">
        <v>3259</v>
      </c>
      <c r="B1634" t="s">
        <v>957</v>
      </c>
      <c r="C1634" t="s">
        <v>995</v>
      </c>
      <c r="D1634" t="s">
        <v>7069</v>
      </c>
      <c r="E1634">
        <v>989.4942947445874</v>
      </c>
    </row>
    <row r="1635" spans="1:5">
      <c r="A1635" t="s">
        <v>3260</v>
      </c>
      <c r="B1635" t="s">
        <v>957</v>
      </c>
      <c r="C1635" t="s">
        <v>995</v>
      </c>
      <c r="D1635" t="s">
        <v>7070</v>
      </c>
      <c r="E1635">
        <v>366.3135185832928</v>
      </c>
    </row>
    <row r="1636" spans="1:5">
      <c r="A1636" t="s">
        <v>3261</v>
      </c>
      <c r="B1636" t="s">
        <v>957</v>
      </c>
      <c r="C1636" t="s">
        <v>995</v>
      </c>
      <c r="D1636" t="s">
        <v>7071</v>
      </c>
      <c r="E1636">
        <v>0.6227340757071042</v>
      </c>
    </row>
    <row r="1637" spans="1:5">
      <c r="A1637" t="s">
        <v>3262</v>
      </c>
      <c r="B1637" t="s">
        <v>957</v>
      </c>
      <c r="C1637" t="s">
        <v>995</v>
      </c>
      <c r="D1637" t="s">
        <v>7072</v>
      </c>
      <c r="E1637">
        <v>0.01389261504687457</v>
      </c>
    </row>
    <row r="1638" spans="1:5">
      <c r="A1638" t="s">
        <v>3263</v>
      </c>
      <c r="B1638" t="s">
        <v>957</v>
      </c>
      <c r="C1638" t="s">
        <v>995</v>
      </c>
      <c r="D1638" t="s">
        <v>7073</v>
      </c>
      <c r="E1638">
        <v>0.003410738276217059</v>
      </c>
    </row>
    <row r="1639" spans="1:5">
      <c r="A1639" t="s">
        <v>3264</v>
      </c>
      <c r="B1639" t="s">
        <v>957</v>
      </c>
      <c r="C1639" t="s">
        <v>995</v>
      </c>
      <c r="D1639" t="s">
        <v>7074</v>
      </c>
      <c r="E1639">
        <v>0.9200916616173485</v>
      </c>
    </row>
    <row r="1640" spans="1:5">
      <c r="A1640" t="s">
        <v>3265</v>
      </c>
      <c r="B1640" t="s">
        <v>957</v>
      </c>
      <c r="C1640" t="s">
        <v>995</v>
      </c>
      <c r="D1640" t="s">
        <v>7075</v>
      </c>
      <c r="E1640">
        <v>1.670101314446341</v>
      </c>
    </row>
    <row r="1641" spans="1:5">
      <c r="A1641" t="s">
        <v>3266</v>
      </c>
      <c r="B1641" t="s">
        <v>957</v>
      </c>
      <c r="C1641" t="s">
        <v>995</v>
      </c>
      <c r="D1641" t="s">
        <v>7076</v>
      </c>
      <c r="E1641">
        <v>18.79451498790822</v>
      </c>
    </row>
    <row r="1642" spans="1:5">
      <c r="A1642" t="s">
        <v>3267</v>
      </c>
      <c r="B1642" t="s">
        <v>957</v>
      </c>
      <c r="C1642" t="s">
        <v>995</v>
      </c>
      <c r="D1642" t="s">
        <v>7077</v>
      </c>
      <c r="E1642">
        <v>48.03540768568932</v>
      </c>
    </row>
    <row r="1643" spans="1:5">
      <c r="A1643" t="s">
        <v>3268</v>
      </c>
      <c r="B1643" t="s">
        <v>957</v>
      </c>
      <c r="C1643" t="s">
        <v>995</v>
      </c>
      <c r="D1643" t="s">
        <v>7078</v>
      </c>
      <c r="E1643">
        <v>33.18592279352689</v>
      </c>
    </row>
    <row r="1644" spans="1:5">
      <c r="A1644" t="s">
        <v>3269</v>
      </c>
      <c r="B1644" t="s">
        <v>957</v>
      </c>
      <c r="C1644" t="s">
        <v>995</v>
      </c>
      <c r="D1644" t="s">
        <v>7079</v>
      </c>
      <c r="E1644">
        <v>17.65841194348773</v>
      </c>
    </row>
    <row r="1645" spans="1:5">
      <c r="A1645" t="s">
        <v>3270</v>
      </c>
      <c r="B1645" t="s">
        <v>957</v>
      </c>
      <c r="C1645" t="s">
        <v>995</v>
      </c>
      <c r="D1645" t="s">
        <v>7080</v>
      </c>
      <c r="E1645">
        <v>0.07314972168281926</v>
      </c>
    </row>
    <row r="1646" spans="1:5">
      <c r="A1646" t="s">
        <v>3271</v>
      </c>
      <c r="B1646" t="s">
        <v>957</v>
      </c>
      <c r="C1646" t="s">
        <v>995</v>
      </c>
      <c r="D1646" t="s">
        <v>7081</v>
      </c>
      <c r="E1646">
        <v>5.754554512417698</v>
      </c>
    </row>
    <row r="1647" spans="1:5">
      <c r="A1647" t="s">
        <v>3272</v>
      </c>
      <c r="B1647" t="s">
        <v>957</v>
      </c>
      <c r="C1647" t="s">
        <v>995</v>
      </c>
      <c r="D1647" t="s">
        <v>7082</v>
      </c>
      <c r="E1647">
        <v>0.1452312626578131</v>
      </c>
    </row>
    <row r="1648" spans="1:5">
      <c r="A1648" t="s">
        <v>3273</v>
      </c>
      <c r="B1648" t="s">
        <v>957</v>
      </c>
      <c r="C1648" t="s">
        <v>995</v>
      </c>
      <c r="D1648" t="s">
        <v>7083</v>
      </c>
      <c r="E1648">
        <v>0.08466266338294441</v>
      </c>
    </row>
    <row r="1649" spans="1:5">
      <c r="A1649" t="s">
        <v>3274</v>
      </c>
      <c r="B1649" t="s">
        <v>957</v>
      </c>
      <c r="C1649" t="s">
        <v>995</v>
      </c>
      <c r="D1649" t="s">
        <v>7084</v>
      </c>
      <c r="E1649">
        <v>37.80406232523391</v>
      </c>
    </row>
    <row r="1650" spans="1:5">
      <c r="A1650" t="s">
        <v>3275</v>
      </c>
      <c r="B1650" t="s">
        <v>957</v>
      </c>
      <c r="C1650" t="s">
        <v>995</v>
      </c>
      <c r="D1650" t="s">
        <v>7085</v>
      </c>
      <c r="E1650">
        <v>7.612749521708579</v>
      </c>
    </row>
    <row r="1651" spans="1:5">
      <c r="A1651" t="s">
        <v>3276</v>
      </c>
      <c r="B1651" t="s">
        <v>957</v>
      </c>
      <c r="C1651" t="s">
        <v>995</v>
      </c>
      <c r="D1651" t="s">
        <v>7086</v>
      </c>
      <c r="E1651">
        <v>6.439178823801728</v>
      </c>
    </row>
    <row r="1652" spans="1:5">
      <c r="A1652" t="s">
        <v>3277</v>
      </c>
      <c r="B1652" t="s">
        <v>957</v>
      </c>
      <c r="C1652" t="s">
        <v>995</v>
      </c>
      <c r="D1652" t="s">
        <v>7087</v>
      </c>
      <c r="E1652">
        <v>19.74410145040375</v>
      </c>
    </row>
    <row r="1653" spans="1:5">
      <c r="A1653" t="s">
        <v>3278</v>
      </c>
      <c r="B1653" t="s">
        <v>957</v>
      </c>
      <c r="C1653" t="s">
        <v>995</v>
      </c>
      <c r="D1653" t="s">
        <v>7088</v>
      </c>
      <c r="E1653">
        <v>0.1749638589729089</v>
      </c>
    </row>
    <row r="1654" spans="1:5">
      <c r="A1654" t="s">
        <v>3279</v>
      </c>
      <c r="B1654" t="s">
        <v>957</v>
      </c>
      <c r="C1654" t="s">
        <v>995</v>
      </c>
      <c r="D1654" t="s">
        <v>6996</v>
      </c>
      <c r="E1654">
        <v>17.63864316706635</v>
      </c>
    </row>
    <row r="1655" spans="1:5">
      <c r="A1655" t="s">
        <v>3280</v>
      </c>
      <c r="B1655" t="s">
        <v>957</v>
      </c>
      <c r="C1655" t="s">
        <v>995</v>
      </c>
      <c r="D1655" t="s">
        <v>6997</v>
      </c>
      <c r="E1655">
        <v>76.94091942653846</v>
      </c>
    </row>
    <row r="1656" spans="1:5">
      <c r="A1656" t="s">
        <v>3281</v>
      </c>
      <c r="B1656" t="s">
        <v>957</v>
      </c>
      <c r="C1656" t="s">
        <v>995</v>
      </c>
      <c r="D1656" t="s">
        <v>7089</v>
      </c>
      <c r="E1656">
        <v>4.781383715327616</v>
      </c>
    </row>
    <row r="1657" spans="1:5">
      <c r="A1657" t="s">
        <v>3282</v>
      </c>
      <c r="B1657" t="s">
        <v>957</v>
      </c>
      <c r="C1657" t="s">
        <v>995</v>
      </c>
      <c r="D1657" t="s">
        <v>7090</v>
      </c>
      <c r="E1657">
        <v>18.79451498790822</v>
      </c>
    </row>
    <row r="1658" spans="1:5">
      <c r="A1658" t="s">
        <v>3283</v>
      </c>
      <c r="B1658" t="s">
        <v>957</v>
      </c>
      <c r="C1658" t="s">
        <v>995</v>
      </c>
      <c r="D1658" t="s">
        <v>7091</v>
      </c>
      <c r="E1658">
        <v>0.2241462834073003</v>
      </c>
    </row>
    <row r="1659" spans="1:5">
      <c r="A1659" t="s">
        <v>3284</v>
      </c>
      <c r="B1659" t="s">
        <v>957</v>
      </c>
      <c r="C1659" t="s">
        <v>995</v>
      </c>
      <c r="D1659" t="s">
        <v>7092</v>
      </c>
      <c r="E1659">
        <v>8.296013087516563</v>
      </c>
    </row>
    <row r="1660" spans="1:5">
      <c r="A1660" t="s">
        <v>3285</v>
      </c>
      <c r="B1660" t="s">
        <v>957</v>
      </c>
      <c r="C1660" t="s">
        <v>995</v>
      </c>
      <c r="D1660" t="s">
        <v>6998</v>
      </c>
      <c r="E1660">
        <v>32.88453318564951</v>
      </c>
    </row>
    <row r="1661" spans="1:5">
      <c r="A1661" t="s">
        <v>3286</v>
      </c>
      <c r="B1661" t="s">
        <v>957</v>
      </c>
      <c r="C1661" t="s">
        <v>995</v>
      </c>
      <c r="D1661" t="s">
        <v>7093</v>
      </c>
      <c r="E1661">
        <v>2.002791018782753</v>
      </c>
    </row>
    <row r="1662" spans="1:5">
      <c r="A1662" t="s">
        <v>3287</v>
      </c>
      <c r="B1662" t="s">
        <v>957</v>
      </c>
      <c r="C1662" t="s">
        <v>995</v>
      </c>
      <c r="D1662" t="s">
        <v>6999</v>
      </c>
      <c r="E1662">
        <v>180.8975395426998</v>
      </c>
    </row>
    <row r="1663" spans="1:5">
      <c r="A1663" t="s">
        <v>3288</v>
      </c>
      <c r="B1663" t="s">
        <v>957</v>
      </c>
      <c r="C1663" t="s">
        <v>995</v>
      </c>
      <c r="D1663" t="s">
        <v>7094</v>
      </c>
      <c r="E1663">
        <v>793.9232671772795</v>
      </c>
    </row>
    <row r="1664" spans="1:5">
      <c r="A1664" t="s">
        <v>3289</v>
      </c>
      <c r="B1664" t="s">
        <v>957</v>
      </c>
      <c r="C1664" t="s">
        <v>995</v>
      </c>
      <c r="D1664" t="s">
        <v>7095</v>
      </c>
      <c r="E1664">
        <v>305.2611080013722</v>
      </c>
    </row>
    <row r="1665" spans="1:5">
      <c r="A1665" t="s">
        <v>3290</v>
      </c>
      <c r="B1665" t="s">
        <v>957</v>
      </c>
      <c r="C1665" t="s">
        <v>995</v>
      </c>
      <c r="D1665" t="s">
        <v>7096</v>
      </c>
      <c r="E1665">
        <v>89.59677134014848</v>
      </c>
    </row>
    <row r="1666" spans="1:5">
      <c r="A1666" t="s">
        <v>3291</v>
      </c>
      <c r="B1666" t="s">
        <v>957</v>
      </c>
      <c r="C1666" t="s">
        <v>995</v>
      </c>
      <c r="D1666" t="s">
        <v>7097</v>
      </c>
      <c r="E1666">
        <v>69.90869462993682</v>
      </c>
    </row>
    <row r="1667" spans="1:5">
      <c r="A1667" t="s">
        <v>3292</v>
      </c>
      <c r="B1667" t="s">
        <v>957</v>
      </c>
      <c r="C1667" t="s">
        <v>995</v>
      </c>
      <c r="D1667" t="s">
        <v>7000</v>
      </c>
      <c r="E1667">
        <v>4.946416476619118</v>
      </c>
    </row>
    <row r="1668" spans="1:5">
      <c r="A1668" t="s">
        <v>3293</v>
      </c>
      <c r="B1668" t="s">
        <v>957</v>
      </c>
      <c r="C1668" t="s">
        <v>995</v>
      </c>
      <c r="D1668" t="s">
        <v>7098</v>
      </c>
      <c r="E1668">
        <v>1.094360878759032</v>
      </c>
    </row>
    <row r="1669" spans="1:5">
      <c r="A1669" t="s">
        <v>3294</v>
      </c>
      <c r="B1669" t="s">
        <v>957</v>
      </c>
      <c r="C1669" t="s">
        <v>995</v>
      </c>
      <c r="D1669" t="s">
        <v>7001</v>
      </c>
      <c r="E1669">
        <v>83.82461349282447</v>
      </c>
    </row>
    <row r="1670" spans="1:5">
      <c r="A1670" t="s">
        <v>3295</v>
      </c>
      <c r="B1670" t="s">
        <v>957</v>
      </c>
      <c r="C1670" t="s">
        <v>995</v>
      </c>
      <c r="D1670" t="s">
        <v>7099</v>
      </c>
      <c r="E1670">
        <v>0.05065614585151852</v>
      </c>
    </row>
    <row r="1671" spans="1:5">
      <c r="A1671" t="s">
        <v>3296</v>
      </c>
      <c r="B1671" t="s">
        <v>957</v>
      </c>
      <c r="C1671" t="s">
        <v>995</v>
      </c>
      <c r="D1671" t="s">
        <v>7100</v>
      </c>
      <c r="E1671">
        <v>83.86292828783135</v>
      </c>
    </row>
    <row r="1672" spans="1:5">
      <c r="A1672" t="s">
        <v>3297</v>
      </c>
      <c r="B1672" t="s">
        <v>957</v>
      </c>
      <c r="C1672" t="s">
        <v>995</v>
      </c>
      <c r="D1672" t="s">
        <v>7002</v>
      </c>
      <c r="E1672">
        <v>67.54924825334489</v>
      </c>
    </row>
    <row r="1673" spans="1:5">
      <c r="A1673" t="s">
        <v>3298</v>
      </c>
      <c r="B1673" t="s">
        <v>957</v>
      </c>
      <c r="C1673" t="s">
        <v>995</v>
      </c>
      <c r="D1673" t="s">
        <v>7101</v>
      </c>
      <c r="E1673">
        <v>3.023671899542479</v>
      </c>
    </row>
    <row r="1674" spans="1:5">
      <c r="A1674" t="s">
        <v>3299</v>
      </c>
      <c r="B1674" t="s">
        <v>957</v>
      </c>
      <c r="C1674" t="s">
        <v>995</v>
      </c>
      <c r="D1674" t="s">
        <v>7102</v>
      </c>
      <c r="E1674">
        <v>4.19849518734123</v>
      </c>
    </row>
    <row r="1675" spans="1:5">
      <c r="A1675" t="s">
        <v>3300</v>
      </c>
      <c r="B1675" t="s">
        <v>957</v>
      </c>
      <c r="C1675" t="s">
        <v>995</v>
      </c>
      <c r="D1675" t="s">
        <v>7103</v>
      </c>
      <c r="E1675">
        <v>0.2085082189245237</v>
      </c>
    </row>
    <row r="1676" spans="1:5">
      <c r="A1676" t="s">
        <v>3301</v>
      </c>
      <c r="B1676" t="s">
        <v>957</v>
      </c>
      <c r="C1676" t="s">
        <v>995</v>
      </c>
      <c r="D1676" t="s">
        <v>7104</v>
      </c>
      <c r="E1676">
        <v>81.40295746748846</v>
      </c>
    </row>
    <row r="1677" spans="1:5">
      <c r="A1677" t="s">
        <v>3302</v>
      </c>
      <c r="B1677" t="s">
        <v>957</v>
      </c>
      <c r="C1677" t="s">
        <v>995</v>
      </c>
      <c r="D1677" t="s">
        <v>7105</v>
      </c>
      <c r="E1677">
        <v>38.55978889698773</v>
      </c>
    </row>
    <row r="1678" spans="1:5">
      <c r="A1678" t="s">
        <v>3303</v>
      </c>
      <c r="B1678" t="s">
        <v>957</v>
      </c>
      <c r="C1678" t="s">
        <v>995</v>
      </c>
      <c r="D1678" t="s">
        <v>7106</v>
      </c>
      <c r="E1678">
        <v>20.64684697678192</v>
      </c>
    </row>
    <row r="1679" spans="1:5">
      <c r="A1679" t="s">
        <v>3304</v>
      </c>
      <c r="B1679" t="s">
        <v>957</v>
      </c>
      <c r="C1679" t="s">
        <v>995</v>
      </c>
      <c r="D1679" t="s">
        <v>7107</v>
      </c>
      <c r="E1679">
        <v>0.6822137382748651</v>
      </c>
    </row>
    <row r="1680" spans="1:5">
      <c r="A1680" t="s">
        <v>3305</v>
      </c>
      <c r="B1680" t="s">
        <v>957</v>
      </c>
      <c r="C1680" t="s">
        <v>995</v>
      </c>
      <c r="D1680" t="s">
        <v>7003</v>
      </c>
      <c r="E1680">
        <v>32.77172368275302</v>
      </c>
    </row>
    <row r="1681" spans="1:5">
      <c r="A1681" t="s">
        <v>3306</v>
      </c>
      <c r="B1681" t="s">
        <v>957</v>
      </c>
      <c r="C1681" t="s">
        <v>995</v>
      </c>
      <c r="D1681" t="s">
        <v>7004</v>
      </c>
      <c r="E1681">
        <v>238.531329932295</v>
      </c>
    </row>
    <row r="1682" spans="1:5">
      <c r="A1682" t="s">
        <v>3307</v>
      </c>
      <c r="B1682" t="s">
        <v>957</v>
      </c>
      <c r="C1682" t="s">
        <v>995</v>
      </c>
      <c r="D1682" t="s">
        <v>7108</v>
      </c>
      <c r="E1682">
        <v>410.9319887261342</v>
      </c>
    </row>
    <row r="1683" spans="1:5">
      <c r="A1683" t="s">
        <v>3308</v>
      </c>
      <c r="B1683" t="s">
        <v>957</v>
      </c>
      <c r="C1683" t="s">
        <v>995</v>
      </c>
      <c r="D1683" t="s">
        <v>7109</v>
      </c>
      <c r="E1683">
        <v>12.41851305938511</v>
      </c>
    </row>
    <row r="1684" spans="1:5">
      <c r="A1684" t="s">
        <v>3309</v>
      </c>
      <c r="B1684" t="s">
        <v>957</v>
      </c>
      <c r="C1684" t="s">
        <v>995</v>
      </c>
      <c r="D1684" t="s">
        <v>7110</v>
      </c>
      <c r="E1684">
        <v>0.01241838485429474</v>
      </c>
    </row>
    <row r="1685" spans="1:5">
      <c r="A1685" t="s">
        <v>3310</v>
      </c>
      <c r="B1685" t="s">
        <v>957</v>
      </c>
      <c r="C1685" t="s">
        <v>995</v>
      </c>
      <c r="D1685" t="s">
        <v>7111</v>
      </c>
      <c r="E1685">
        <v>0.5340361184617791</v>
      </c>
    </row>
    <row r="1686" spans="1:5">
      <c r="A1686" t="s">
        <v>3311</v>
      </c>
      <c r="B1686" t="s">
        <v>957</v>
      </c>
      <c r="C1686" t="s">
        <v>995</v>
      </c>
      <c r="D1686" t="s">
        <v>7112</v>
      </c>
      <c r="E1686">
        <v>8.199493118869826</v>
      </c>
    </row>
    <row r="1687" spans="1:5">
      <c r="A1687" t="s">
        <v>3312</v>
      </c>
      <c r="B1687" t="s">
        <v>957</v>
      </c>
      <c r="C1687" t="s">
        <v>995</v>
      </c>
      <c r="D1687" t="s">
        <v>7113</v>
      </c>
      <c r="E1687">
        <v>0.06487051413030602</v>
      </c>
    </row>
    <row r="1688" spans="1:5">
      <c r="A1688" t="s">
        <v>3313</v>
      </c>
      <c r="B1688" t="s">
        <v>957</v>
      </c>
      <c r="C1688" t="s">
        <v>995</v>
      </c>
      <c r="D1688" t="s">
        <v>7114</v>
      </c>
      <c r="E1688">
        <v>14.49071987755102</v>
      </c>
    </row>
    <row r="1689" spans="1:5">
      <c r="A1689" t="s">
        <v>3314</v>
      </c>
      <c r="B1689" t="s">
        <v>957</v>
      </c>
      <c r="C1689" t="s">
        <v>995</v>
      </c>
      <c r="D1689" t="s">
        <v>7115</v>
      </c>
      <c r="E1689">
        <v>2.716153716510649</v>
      </c>
    </row>
    <row r="1690" spans="1:5">
      <c r="A1690" t="s">
        <v>3315</v>
      </c>
      <c r="B1690" t="s">
        <v>957</v>
      </c>
      <c r="C1690" t="s">
        <v>995</v>
      </c>
      <c r="D1690" t="s">
        <v>7116</v>
      </c>
      <c r="E1690">
        <v>18.79451498790822</v>
      </c>
    </row>
    <row r="1691" spans="1:5">
      <c r="A1691" t="s">
        <v>3316</v>
      </c>
      <c r="B1691" t="s">
        <v>957</v>
      </c>
      <c r="C1691" t="s">
        <v>995</v>
      </c>
      <c r="D1691" t="s">
        <v>7005</v>
      </c>
      <c r="E1691">
        <v>9.349972299510398</v>
      </c>
    </row>
    <row r="1692" spans="1:5">
      <c r="A1692" t="s">
        <v>3317</v>
      </c>
      <c r="B1692" t="s">
        <v>957</v>
      </c>
      <c r="C1692" t="s">
        <v>995</v>
      </c>
      <c r="D1692" t="s">
        <v>7117</v>
      </c>
      <c r="E1692">
        <v>33.03119350746764</v>
      </c>
    </row>
    <row r="1693" spans="1:5">
      <c r="A1693" t="s">
        <v>3318</v>
      </c>
      <c r="B1693" t="s">
        <v>957</v>
      </c>
      <c r="C1693" t="s">
        <v>995</v>
      </c>
      <c r="D1693" t="s">
        <v>7118</v>
      </c>
      <c r="E1693">
        <v>87.11566332998143</v>
      </c>
    </row>
    <row r="1694" spans="1:5">
      <c r="A1694" t="s">
        <v>3319</v>
      </c>
      <c r="B1694" t="s">
        <v>957</v>
      </c>
      <c r="C1694" t="s">
        <v>995</v>
      </c>
      <c r="D1694" t="s">
        <v>7119</v>
      </c>
      <c r="E1694">
        <v>104.8224515374702</v>
      </c>
    </row>
    <row r="1695" spans="1:5">
      <c r="A1695" t="s">
        <v>3320</v>
      </c>
      <c r="B1695" t="s">
        <v>957</v>
      </c>
      <c r="C1695" t="s">
        <v>995</v>
      </c>
      <c r="D1695" t="s">
        <v>7120</v>
      </c>
      <c r="E1695">
        <v>129.1064176344485</v>
      </c>
    </row>
    <row r="1696" spans="1:5">
      <c r="A1696" t="s">
        <v>3321</v>
      </c>
      <c r="B1696" t="s">
        <v>957</v>
      </c>
      <c r="C1696" t="s">
        <v>995</v>
      </c>
      <c r="D1696" t="s">
        <v>7006</v>
      </c>
      <c r="E1696">
        <v>6.640354651633761</v>
      </c>
    </row>
    <row r="1697" spans="1:5">
      <c r="A1697" t="s">
        <v>3322</v>
      </c>
      <c r="B1697" t="s">
        <v>957</v>
      </c>
      <c r="C1697" t="s">
        <v>995</v>
      </c>
      <c r="D1697" t="s">
        <v>7121</v>
      </c>
      <c r="E1697">
        <v>42.00674822003317</v>
      </c>
    </row>
    <row r="1698" spans="1:5">
      <c r="A1698" t="s">
        <v>3323</v>
      </c>
      <c r="B1698" t="s">
        <v>957</v>
      </c>
      <c r="C1698" t="s">
        <v>995</v>
      </c>
      <c r="D1698" t="s">
        <v>7122</v>
      </c>
      <c r="E1698">
        <v>218.9644671083916</v>
      </c>
    </row>
    <row r="1699" spans="1:5">
      <c r="A1699" t="s">
        <v>3324</v>
      </c>
      <c r="B1699" t="s">
        <v>957</v>
      </c>
      <c r="C1699" t="s">
        <v>995</v>
      </c>
      <c r="D1699" t="s">
        <v>7123</v>
      </c>
      <c r="E1699">
        <v>9.706337145046845</v>
      </c>
    </row>
    <row r="1700" spans="1:5">
      <c r="A1700" t="s">
        <v>3325</v>
      </c>
      <c r="B1700" t="s">
        <v>957</v>
      </c>
      <c r="C1700" t="s">
        <v>995</v>
      </c>
      <c r="D1700" t="s">
        <v>7124</v>
      </c>
      <c r="E1700">
        <v>0.1175205178195865</v>
      </c>
    </row>
    <row r="1701" spans="1:5">
      <c r="A1701" t="s">
        <v>3326</v>
      </c>
      <c r="B1701" t="s">
        <v>957</v>
      </c>
      <c r="C1701" t="s">
        <v>995</v>
      </c>
      <c r="D1701" t="s">
        <v>7125</v>
      </c>
      <c r="E1701">
        <v>6.876703379141847</v>
      </c>
    </row>
    <row r="1702" spans="1:5">
      <c r="A1702" t="s">
        <v>3327</v>
      </c>
      <c r="B1702" t="s">
        <v>957</v>
      </c>
      <c r="C1702" t="s">
        <v>995</v>
      </c>
      <c r="D1702" t="s">
        <v>7126</v>
      </c>
      <c r="E1702">
        <v>0.08166916398573176</v>
      </c>
    </row>
    <row r="1703" spans="1:5">
      <c r="A1703" t="s">
        <v>3328</v>
      </c>
      <c r="B1703" t="s">
        <v>957</v>
      </c>
      <c r="C1703" t="s">
        <v>995</v>
      </c>
      <c r="D1703" t="s">
        <v>998</v>
      </c>
      <c r="E1703">
        <v>305.260583053529</v>
      </c>
    </row>
    <row r="1704" spans="1:5">
      <c r="A1704" t="s">
        <v>3329</v>
      </c>
      <c r="B1704" t="s">
        <v>957</v>
      </c>
      <c r="C1704" t="s">
        <v>995</v>
      </c>
      <c r="D1704" t="s">
        <v>7127</v>
      </c>
      <c r="E1704">
        <v>7.588209490821288</v>
      </c>
    </row>
    <row r="1705" spans="1:5">
      <c r="A1705" t="s">
        <v>3330</v>
      </c>
      <c r="B1705" t="s">
        <v>957</v>
      </c>
      <c r="C1705" t="s">
        <v>995</v>
      </c>
      <c r="D1705" t="s">
        <v>7128</v>
      </c>
      <c r="E1705">
        <v>0.02560971879147981</v>
      </c>
    </row>
    <row r="1706" spans="1:5">
      <c r="A1706" t="s">
        <v>3331</v>
      </c>
      <c r="B1706" t="s">
        <v>957</v>
      </c>
      <c r="C1706" t="s">
        <v>995</v>
      </c>
      <c r="D1706" t="s">
        <v>7129</v>
      </c>
      <c r="E1706">
        <v>0.5457208367487643</v>
      </c>
    </row>
    <row r="1707" spans="1:5">
      <c r="A1707" t="s">
        <v>3332</v>
      </c>
      <c r="B1707" t="s">
        <v>957</v>
      </c>
      <c r="C1707" t="s">
        <v>995</v>
      </c>
      <c r="D1707" t="s">
        <v>7130</v>
      </c>
      <c r="E1707">
        <v>0.01169304124171399</v>
      </c>
    </row>
    <row r="1708" spans="1:5">
      <c r="A1708" t="s">
        <v>3333</v>
      </c>
      <c r="B1708" t="s">
        <v>957</v>
      </c>
      <c r="C1708" t="s">
        <v>995</v>
      </c>
      <c r="D1708" t="s">
        <v>7131</v>
      </c>
      <c r="E1708">
        <v>2.58445526421753</v>
      </c>
    </row>
    <row r="1709" spans="1:5">
      <c r="A1709" t="s">
        <v>3334</v>
      </c>
      <c r="B1709" t="s">
        <v>957</v>
      </c>
      <c r="C1709" t="s">
        <v>995</v>
      </c>
      <c r="D1709" t="s">
        <v>7132</v>
      </c>
      <c r="E1709">
        <v>113.8902383041381</v>
      </c>
    </row>
    <row r="1710" spans="1:5">
      <c r="A1710" t="s">
        <v>3335</v>
      </c>
      <c r="B1710" t="s">
        <v>957</v>
      </c>
      <c r="C1710" t="s">
        <v>995</v>
      </c>
      <c r="D1710" t="s">
        <v>7133</v>
      </c>
      <c r="E1710">
        <v>0.5412285210768388</v>
      </c>
    </row>
    <row r="1711" spans="1:5">
      <c r="A1711" t="s">
        <v>3336</v>
      </c>
      <c r="B1711" t="s">
        <v>957</v>
      </c>
      <c r="C1711" t="s">
        <v>995</v>
      </c>
      <c r="D1711" t="s">
        <v>7134</v>
      </c>
      <c r="E1711">
        <v>113.0596732306095</v>
      </c>
    </row>
    <row r="1712" spans="1:5">
      <c r="A1712" t="s">
        <v>3337</v>
      </c>
      <c r="B1712" t="s">
        <v>957</v>
      </c>
      <c r="C1712" t="s">
        <v>995</v>
      </c>
      <c r="D1712" t="s">
        <v>7135</v>
      </c>
      <c r="E1712">
        <v>170.5369539622816</v>
      </c>
    </row>
    <row r="1713" spans="1:5">
      <c r="A1713" t="s">
        <v>3338</v>
      </c>
      <c r="B1713" t="s">
        <v>957</v>
      </c>
      <c r="C1713" t="s">
        <v>995</v>
      </c>
      <c r="D1713" t="s">
        <v>7136</v>
      </c>
      <c r="E1713">
        <v>417.435015979099</v>
      </c>
    </row>
    <row r="1714" spans="1:5">
      <c r="A1714" t="s">
        <v>3339</v>
      </c>
      <c r="B1714" t="s">
        <v>957</v>
      </c>
      <c r="C1714" t="s">
        <v>995</v>
      </c>
      <c r="D1714" t="s">
        <v>7137</v>
      </c>
      <c r="E1714">
        <v>0.5412285210768388</v>
      </c>
    </row>
    <row r="1715" spans="1:5">
      <c r="A1715" t="s">
        <v>3340</v>
      </c>
      <c r="B1715" t="s">
        <v>957</v>
      </c>
      <c r="C1715" t="s">
        <v>995</v>
      </c>
      <c r="D1715" t="s">
        <v>7138</v>
      </c>
      <c r="E1715">
        <v>2.975083271880133</v>
      </c>
    </row>
    <row r="1716" spans="1:5">
      <c r="A1716" t="s">
        <v>3341</v>
      </c>
      <c r="B1716" t="s">
        <v>957</v>
      </c>
      <c r="C1716" t="s">
        <v>995</v>
      </c>
      <c r="D1716" t="s">
        <v>7139</v>
      </c>
      <c r="E1716">
        <v>1.278444202650245</v>
      </c>
    </row>
    <row r="1717" spans="1:5">
      <c r="A1717" t="s">
        <v>3342</v>
      </c>
      <c r="B1717" t="s">
        <v>957</v>
      </c>
      <c r="C1717" t="s">
        <v>995</v>
      </c>
      <c r="D1717" t="s">
        <v>7007</v>
      </c>
      <c r="E1717">
        <v>18.79450404334001</v>
      </c>
    </row>
    <row r="1718" spans="1:5">
      <c r="A1718" t="s">
        <v>3343</v>
      </c>
      <c r="B1718" t="s">
        <v>957</v>
      </c>
      <c r="C1718" t="s">
        <v>995</v>
      </c>
      <c r="D1718" t="s">
        <v>7140</v>
      </c>
      <c r="E1718">
        <v>16.88412606701467</v>
      </c>
    </row>
    <row r="1719" spans="1:5">
      <c r="A1719" t="s">
        <v>3344</v>
      </c>
      <c r="B1719" t="s">
        <v>957</v>
      </c>
      <c r="C1719" t="s">
        <v>995</v>
      </c>
      <c r="D1719" t="s">
        <v>7141</v>
      </c>
      <c r="E1719">
        <v>11.34482347941126</v>
      </c>
    </row>
    <row r="1720" spans="1:5">
      <c r="A1720" t="s">
        <v>3345</v>
      </c>
      <c r="B1720" t="s">
        <v>957</v>
      </c>
      <c r="C1720" t="s">
        <v>995</v>
      </c>
      <c r="D1720" t="s">
        <v>7142</v>
      </c>
      <c r="E1720">
        <v>11.34482347941126</v>
      </c>
    </row>
    <row r="1721" spans="1:5">
      <c r="A1721" t="s">
        <v>3181</v>
      </c>
      <c r="B1721" t="s">
        <v>957</v>
      </c>
      <c r="C1721" t="s">
        <v>995</v>
      </c>
      <c r="D1721" t="s">
        <v>996</v>
      </c>
      <c r="E1721">
        <v>355.022637</v>
      </c>
    </row>
    <row r="1722" spans="1:5">
      <c r="A1722" t="s">
        <v>3346</v>
      </c>
      <c r="B1722" t="s">
        <v>958</v>
      </c>
      <c r="C1722" t="s">
        <v>995</v>
      </c>
      <c r="D1722" t="s">
        <v>996</v>
      </c>
      <c r="E1722">
        <v>355.526924</v>
      </c>
    </row>
    <row r="1723" spans="1:5">
      <c r="A1723" t="s">
        <v>3347</v>
      </c>
      <c r="B1723" t="s">
        <v>958</v>
      </c>
      <c r="C1723" t="s">
        <v>995</v>
      </c>
      <c r="D1723" t="s">
        <v>7008</v>
      </c>
      <c r="E1723">
        <v>83.40989586400362</v>
      </c>
    </row>
    <row r="1724" spans="1:5">
      <c r="A1724" t="s">
        <v>3348</v>
      </c>
      <c r="B1724" t="s">
        <v>958</v>
      </c>
      <c r="C1724" t="s">
        <v>995</v>
      </c>
      <c r="D1724" t="s">
        <v>7009</v>
      </c>
      <c r="E1724">
        <v>4.869166155237504</v>
      </c>
    </row>
    <row r="1725" spans="1:5">
      <c r="A1725" t="s">
        <v>3349</v>
      </c>
      <c r="B1725" t="s">
        <v>958</v>
      </c>
      <c r="C1725" t="s">
        <v>995</v>
      </c>
      <c r="D1725" t="s">
        <v>7010</v>
      </c>
      <c r="E1725">
        <v>3.728046760070427</v>
      </c>
    </row>
    <row r="1726" spans="1:5">
      <c r="A1726" t="s">
        <v>3350</v>
      </c>
      <c r="B1726" t="s">
        <v>958</v>
      </c>
      <c r="C1726" t="s">
        <v>995</v>
      </c>
      <c r="D1726" t="s">
        <v>7011</v>
      </c>
      <c r="E1726">
        <v>0.8301644134846431</v>
      </c>
    </row>
    <row r="1727" spans="1:5">
      <c r="A1727" t="s">
        <v>3351</v>
      </c>
      <c r="B1727" t="s">
        <v>958</v>
      </c>
      <c r="C1727" t="s">
        <v>995</v>
      </c>
      <c r="D1727" t="s">
        <v>7012</v>
      </c>
      <c r="E1727">
        <v>171.1301164270545</v>
      </c>
    </row>
    <row r="1728" spans="1:5">
      <c r="A1728" t="s">
        <v>3352</v>
      </c>
      <c r="B1728" t="s">
        <v>958</v>
      </c>
      <c r="C1728" t="s">
        <v>995</v>
      </c>
      <c r="D1728" t="s">
        <v>7013</v>
      </c>
      <c r="E1728">
        <v>0.3250893583995159</v>
      </c>
    </row>
    <row r="1729" spans="1:5">
      <c r="A1729" t="s">
        <v>3353</v>
      </c>
      <c r="B1729" t="s">
        <v>958</v>
      </c>
      <c r="C1729" t="s">
        <v>995</v>
      </c>
      <c r="D1729" t="s">
        <v>7014</v>
      </c>
      <c r="E1729">
        <v>0.2134087073662072</v>
      </c>
    </row>
    <row r="1730" spans="1:5">
      <c r="A1730" t="s">
        <v>3354</v>
      </c>
      <c r="B1730" t="s">
        <v>958</v>
      </c>
      <c r="C1730" t="s">
        <v>995</v>
      </c>
      <c r="D1730" t="s">
        <v>6981</v>
      </c>
      <c r="E1730">
        <v>218.72213441872</v>
      </c>
    </row>
    <row r="1731" spans="1:5">
      <c r="A1731" t="s">
        <v>3355</v>
      </c>
      <c r="B1731" t="s">
        <v>958</v>
      </c>
      <c r="C1731" t="s">
        <v>995</v>
      </c>
      <c r="D1731" t="s">
        <v>7015</v>
      </c>
      <c r="E1731">
        <v>171.1301164270545</v>
      </c>
    </row>
    <row r="1732" spans="1:5">
      <c r="A1732" t="s">
        <v>3356</v>
      </c>
      <c r="B1732" t="s">
        <v>958</v>
      </c>
      <c r="C1732" t="s">
        <v>995</v>
      </c>
      <c r="D1732" t="s">
        <v>7016</v>
      </c>
      <c r="E1732">
        <v>180.0645975240587</v>
      </c>
    </row>
    <row r="1733" spans="1:5">
      <c r="A1733" t="s">
        <v>3357</v>
      </c>
      <c r="B1733" t="s">
        <v>958</v>
      </c>
      <c r="C1733" t="s">
        <v>995</v>
      </c>
      <c r="D1733" t="s">
        <v>7017</v>
      </c>
      <c r="E1733">
        <v>181.778029787865</v>
      </c>
    </row>
    <row r="1734" spans="1:5">
      <c r="A1734" t="s">
        <v>3358</v>
      </c>
      <c r="B1734" t="s">
        <v>958</v>
      </c>
      <c r="C1734" t="s">
        <v>995</v>
      </c>
      <c r="D1734" t="s">
        <v>7018</v>
      </c>
      <c r="E1734">
        <v>153.1614453554455</v>
      </c>
    </row>
    <row r="1735" spans="1:5">
      <c r="A1735" t="s">
        <v>3359</v>
      </c>
      <c r="B1735" t="s">
        <v>958</v>
      </c>
      <c r="C1735" t="s">
        <v>995</v>
      </c>
      <c r="D1735" t="s">
        <v>7019</v>
      </c>
      <c r="E1735">
        <v>2.495169766284375</v>
      </c>
    </row>
    <row r="1736" spans="1:5">
      <c r="A1736" t="s">
        <v>3360</v>
      </c>
      <c r="B1736" t="s">
        <v>958</v>
      </c>
      <c r="C1736" t="s">
        <v>995</v>
      </c>
      <c r="D1736" t="s">
        <v>997</v>
      </c>
      <c r="E1736">
        <v>181.778029787865</v>
      </c>
    </row>
    <row r="1737" spans="1:5">
      <c r="A1737" t="s">
        <v>3361</v>
      </c>
      <c r="B1737" t="s">
        <v>958</v>
      </c>
      <c r="C1737" t="s">
        <v>995</v>
      </c>
      <c r="D1737" t="s">
        <v>7020</v>
      </c>
      <c r="E1737">
        <v>814.6887780822923</v>
      </c>
    </row>
    <row r="1738" spans="1:5">
      <c r="A1738" t="s">
        <v>3362</v>
      </c>
      <c r="B1738" t="s">
        <v>958</v>
      </c>
      <c r="C1738" t="s">
        <v>995</v>
      </c>
      <c r="D1738" t="s">
        <v>7021</v>
      </c>
      <c r="E1738">
        <v>0.1024591412137661</v>
      </c>
    </row>
    <row r="1739" spans="1:5">
      <c r="A1739" t="s">
        <v>3363</v>
      </c>
      <c r="B1739" t="s">
        <v>958</v>
      </c>
      <c r="C1739" t="s">
        <v>995</v>
      </c>
      <c r="D1739" t="s">
        <v>7022</v>
      </c>
      <c r="E1739">
        <v>306.322890710891</v>
      </c>
    </row>
    <row r="1740" spans="1:5">
      <c r="A1740" t="s">
        <v>3364</v>
      </c>
      <c r="B1740" t="s">
        <v>958</v>
      </c>
      <c r="C1740" t="s">
        <v>995</v>
      </c>
      <c r="D1740" t="s">
        <v>7023</v>
      </c>
      <c r="E1740">
        <v>238.7570557272506</v>
      </c>
    </row>
    <row r="1741" spans="1:5">
      <c r="A1741" t="s">
        <v>3365</v>
      </c>
      <c r="B1741" t="s">
        <v>958</v>
      </c>
      <c r="C1741" t="s">
        <v>995</v>
      </c>
      <c r="D1741" t="s">
        <v>7024</v>
      </c>
      <c r="E1741">
        <v>44.24464602545785</v>
      </c>
    </row>
    <row r="1742" spans="1:5">
      <c r="A1742" t="s">
        <v>3366</v>
      </c>
      <c r="B1742" t="s">
        <v>958</v>
      </c>
      <c r="C1742" t="s">
        <v>995</v>
      </c>
      <c r="D1742" t="s">
        <v>6982</v>
      </c>
      <c r="E1742">
        <v>60.88591528576281</v>
      </c>
    </row>
    <row r="1743" spans="1:5">
      <c r="A1743" t="s">
        <v>3367</v>
      </c>
      <c r="B1743" t="s">
        <v>958</v>
      </c>
      <c r="C1743" t="s">
        <v>995</v>
      </c>
      <c r="D1743" t="s">
        <v>7025</v>
      </c>
      <c r="E1743">
        <v>306.322890710891</v>
      </c>
    </row>
    <row r="1744" spans="1:5">
      <c r="A1744" t="s">
        <v>3368</v>
      </c>
      <c r="B1744" t="s">
        <v>958</v>
      </c>
      <c r="C1744" t="s">
        <v>995</v>
      </c>
      <c r="D1744" t="s">
        <v>7026</v>
      </c>
      <c r="E1744">
        <v>3.200735946065625</v>
      </c>
    </row>
    <row r="1745" spans="1:5">
      <c r="A1745" t="s">
        <v>3369</v>
      </c>
      <c r="B1745" t="s">
        <v>958</v>
      </c>
      <c r="C1745" t="s">
        <v>995</v>
      </c>
      <c r="D1745" t="s">
        <v>7027</v>
      </c>
      <c r="E1745">
        <v>21.85474414581561</v>
      </c>
    </row>
    <row r="1746" spans="1:5">
      <c r="A1746" t="s">
        <v>3370</v>
      </c>
      <c r="B1746" t="s">
        <v>958</v>
      </c>
      <c r="C1746" t="s">
        <v>995</v>
      </c>
      <c r="D1746" t="s">
        <v>7028</v>
      </c>
      <c r="E1746">
        <v>109.2836160762315</v>
      </c>
    </row>
    <row r="1747" spans="1:5">
      <c r="A1747" t="s">
        <v>3371</v>
      </c>
      <c r="B1747" t="s">
        <v>958</v>
      </c>
      <c r="C1747" t="s">
        <v>995</v>
      </c>
      <c r="D1747" t="s">
        <v>7029</v>
      </c>
      <c r="E1747">
        <v>153.1614453554455</v>
      </c>
    </row>
    <row r="1748" spans="1:5">
      <c r="A1748" t="s">
        <v>3372</v>
      </c>
      <c r="B1748" t="s">
        <v>958</v>
      </c>
      <c r="C1748" t="s">
        <v>995</v>
      </c>
      <c r="D1748" t="s">
        <v>6983</v>
      </c>
      <c r="E1748">
        <v>220.6460150189288</v>
      </c>
    </row>
    <row r="1749" spans="1:5">
      <c r="A1749" t="s">
        <v>3373</v>
      </c>
      <c r="B1749" t="s">
        <v>958</v>
      </c>
      <c r="C1749" t="s">
        <v>995</v>
      </c>
      <c r="D1749" t="s">
        <v>7030</v>
      </c>
      <c r="E1749">
        <v>0.1335761669093495</v>
      </c>
    </row>
    <row r="1750" spans="1:5">
      <c r="A1750" t="s">
        <v>3374</v>
      </c>
      <c r="B1750" t="s">
        <v>958</v>
      </c>
      <c r="C1750" t="s">
        <v>995</v>
      </c>
      <c r="D1750" t="s">
        <v>6984</v>
      </c>
      <c r="E1750">
        <v>387.3175621867242</v>
      </c>
    </row>
    <row r="1751" spans="1:5">
      <c r="A1751" t="s">
        <v>3375</v>
      </c>
      <c r="B1751" t="s">
        <v>958</v>
      </c>
      <c r="C1751" t="s">
        <v>995</v>
      </c>
      <c r="D1751" t="s">
        <v>7031</v>
      </c>
      <c r="E1751">
        <v>13614.93983839467</v>
      </c>
    </row>
    <row r="1752" spans="1:5">
      <c r="A1752" t="s">
        <v>3376</v>
      </c>
      <c r="B1752" t="s">
        <v>958</v>
      </c>
      <c r="C1752" t="s">
        <v>995</v>
      </c>
      <c r="D1752" t="s">
        <v>7032</v>
      </c>
      <c r="E1752">
        <v>0.3444526270265407</v>
      </c>
    </row>
    <row r="1753" spans="1:5">
      <c r="A1753" t="s">
        <v>3377</v>
      </c>
      <c r="B1753" t="s">
        <v>958</v>
      </c>
      <c r="C1753" t="s">
        <v>995</v>
      </c>
      <c r="D1753" t="s">
        <v>7033</v>
      </c>
      <c r="E1753">
        <v>45.21256486017468</v>
      </c>
    </row>
    <row r="1754" spans="1:5">
      <c r="A1754" t="s">
        <v>3378</v>
      </c>
      <c r="B1754" t="s">
        <v>958</v>
      </c>
      <c r="C1754" t="s">
        <v>995</v>
      </c>
      <c r="D1754" t="s">
        <v>6985</v>
      </c>
      <c r="E1754">
        <v>45.15572005980172</v>
      </c>
    </row>
    <row r="1755" spans="1:5">
      <c r="A1755" t="s">
        <v>3379</v>
      </c>
      <c r="B1755" t="s">
        <v>958</v>
      </c>
      <c r="C1755" t="s">
        <v>995</v>
      </c>
      <c r="D1755" t="s">
        <v>7034</v>
      </c>
      <c r="E1755">
        <v>0.08550194161515261</v>
      </c>
    </row>
    <row r="1756" spans="1:5">
      <c r="A1756" t="s">
        <v>3380</v>
      </c>
      <c r="B1756" t="s">
        <v>958</v>
      </c>
      <c r="C1756" t="s">
        <v>995</v>
      </c>
      <c r="D1756" t="s">
        <v>7035</v>
      </c>
      <c r="E1756">
        <v>0.6700860632753799</v>
      </c>
    </row>
    <row r="1757" spans="1:5">
      <c r="A1757" t="s">
        <v>3381</v>
      </c>
      <c r="B1757" t="s">
        <v>958</v>
      </c>
      <c r="C1757" t="s">
        <v>995</v>
      </c>
      <c r="D1757" t="s">
        <v>7036</v>
      </c>
      <c r="E1757">
        <v>12.76345194678342</v>
      </c>
    </row>
    <row r="1758" spans="1:5">
      <c r="A1758" t="s">
        <v>3382</v>
      </c>
      <c r="B1758" t="s">
        <v>958</v>
      </c>
      <c r="C1758" t="s">
        <v>995</v>
      </c>
      <c r="D1758" t="s">
        <v>7037</v>
      </c>
      <c r="E1758">
        <v>3.224295324899107</v>
      </c>
    </row>
    <row r="1759" spans="1:5">
      <c r="A1759" t="s">
        <v>3383</v>
      </c>
      <c r="B1759" t="s">
        <v>958</v>
      </c>
      <c r="C1759" t="s">
        <v>995</v>
      </c>
      <c r="D1759" t="s">
        <v>6986</v>
      </c>
      <c r="E1759">
        <v>14.69308162829005</v>
      </c>
    </row>
    <row r="1760" spans="1:5">
      <c r="A1760" t="s">
        <v>3384</v>
      </c>
      <c r="B1760" t="s">
        <v>958</v>
      </c>
      <c r="C1760" t="s">
        <v>995</v>
      </c>
      <c r="D1760" t="s">
        <v>7038</v>
      </c>
      <c r="E1760">
        <v>1.723616487887683</v>
      </c>
    </row>
    <row r="1761" spans="1:5">
      <c r="A1761" t="s">
        <v>3385</v>
      </c>
      <c r="B1761" t="s">
        <v>958</v>
      </c>
      <c r="C1761" t="s">
        <v>995</v>
      </c>
      <c r="D1761" t="s">
        <v>6987</v>
      </c>
      <c r="E1761">
        <v>47.63595168753826</v>
      </c>
    </row>
    <row r="1762" spans="1:5">
      <c r="A1762" t="s">
        <v>3386</v>
      </c>
      <c r="B1762" t="s">
        <v>958</v>
      </c>
      <c r="C1762" t="s">
        <v>995</v>
      </c>
      <c r="D1762" t="s">
        <v>7039</v>
      </c>
      <c r="E1762">
        <v>5.26107228307948</v>
      </c>
    </row>
    <row r="1763" spans="1:5">
      <c r="A1763" t="s">
        <v>3387</v>
      </c>
      <c r="B1763" t="s">
        <v>958</v>
      </c>
      <c r="C1763" t="s">
        <v>995</v>
      </c>
      <c r="D1763" t="s">
        <v>7040</v>
      </c>
      <c r="E1763">
        <v>2.295474085001315</v>
      </c>
    </row>
    <row r="1764" spans="1:5">
      <c r="A1764" t="s">
        <v>3388</v>
      </c>
      <c r="B1764" t="s">
        <v>958</v>
      </c>
      <c r="C1764" t="s">
        <v>995</v>
      </c>
      <c r="D1764" t="s">
        <v>7041</v>
      </c>
      <c r="E1764">
        <v>5.89519674520906</v>
      </c>
    </row>
    <row r="1765" spans="1:5">
      <c r="A1765" t="s">
        <v>3389</v>
      </c>
      <c r="B1765" t="s">
        <v>958</v>
      </c>
      <c r="C1765" t="s">
        <v>995</v>
      </c>
      <c r="D1765" t="s">
        <v>7042</v>
      </c>
      <c r="E1765">
        <v>20.42152252834571</v>
      </c>
    </row>
    <row r="1766" spans="1:5">
      <c r="A1766" t="s">
        <v>3390</v>
      </c>
      <c r="B1766" t="s">
        <v>958</v>
      </c>
      <c r="C1766" t="s">
        <v>995</v>
      </c>
      <c r="D1766" t="s">
        <v>7043</v>
      </c>
      <c r="E1766">
        <v>1.903198207375519</v>
      </c>
    </row>
    <row r="1767" spans="1:5">
      <c r="A1767" t="s">
        <v>3391</v>
      </c>
      <c r="B1767" t="s">
        <v>958</v>
      </c>
      <c r="C1767" t="s">
        <v>995</v>
      </c>
      <c r="D1767" t="s">
        <v>7044</v>
      </c>
      <c r="E1767">
        <v>139.4153250346649</v>
      </c>
    </row>
    <row r="1768" spans="1:5">
      <c r="A1768" t="s">
        <v>3392</v>
      </c>
      <c r="B1768" t="s">
        <v>958</v>
      </c>
      <c r="C1768" t="s">
        <v>995</v>
      </c>
      <c r="D1768" t="s">
        <v>7045</v>
      </c>
      <c r="E1768">
        <v>411.3956933430688</v>
      </c>
    </row>
    <row r="1769" spans="1:5">
      <c r="A1769" t="s">
        <v>3393</v>
      </c>
      <c r="B1769" t="s">
        <v>958</v>
      </c>
      <c r="C1769" t="s">
        <v>995</v>
      </c>
      <c r="D1769" t="s">
        <v>7046</v>
      </c>
      <c r="E1769">
        <v>47.63596445272901</v>
      </c>
    </row>
    <row r="1770" spans="1:5">
      <c r="A1770" t="s">
        <v>3394</v>
      </c>
      <c r="B1770" t="s">
        <v>958</v>
      </c>
      <c r="C1770" t="s">
        <v>995</v>
      </c>
      <c r="D1770" t="s">
        <v>6988</v>
      </c>
      <c r="E1770">
        <v>411.3956933430688</v>
      </c>
    </row>
    <row r="1771" spans="1:5">
      <c r="A1771" t="s">
        <v>3395</v>
      </c>
      <c r="B1771" t="s">
        <v>958</v>
      </c>
      <c r="C1771" t="s">
        <v>995</v>
      </c>
      <c r="D1771" t="s">
        <v>7047</v>
      </c>
      <c r="E1771">
        <v>114.8339439581733</v>
      </c>
    </row>
    <row r="1772" spans="1:5">
      <c r="A1772" t="s">
        <v>3396</v>
      </c>
      <c r="B1772" t="s">
        <v>958</v>
      </c>
      <c r="C1772" t="s">
        <v>995</v>
      </c>
      <c r="D1772" t="s">
        <v>7048</v>
      </c>
      <c r="E1772">
        <v>411.3956933430688</v>
      </c>
    </row>
    <row r="1773" spans="1:5">
      <c r="A1773" t="s">
        <v>3397</v>
      </c>
      <c r="B1773" t="s">
        <v>958</v>
      </c>
      <c r="C1773" t="s">
        <v>995</v>
      </c>
      <c r="D1773" t="s">
        <v>7049</v>
      </c>
      <c r="E1773">
        <v>25.95984640820698</v>
      </c>
    </row>
    <row r="1774" spans="1:5">
      <c r="A1774" t="s">
        <v>3398</v>
      </c>
      <c r="B1774" t="s">
        <v>958</v>
      </c>
      <c r="C1774" t="s">
        <v>995</v>
      </c>
      <c r="D1774" t="s">
        <v>7050</v>
      </c>
      <c r="E1774">
        <v>411.3956933430688</v>
      </c>
    </row>
    <row r="1775" spans="1:5">
      <c r="A1775" t="s">
        <v>3399</v>
      </c>
      <c r="B1775" t="s">
        <v>958</v>
      </c>
      <c r="C1775" t="s">
        <v>995</v>
      </c>
      <c r="D1775" t="s">
        <v>7051</v>
      </c>
      <c r="E1775">
        <v>4.125829165033481</v>
      </c>
    </row>
    <row r="1776" spans="1:5">
      <c r="A1776" t="s">
        <v>3400</v>
      </c>
      <c r="B1776" t="s">
        <v>958</v>
      </c>
      <c r="C1776" t="s">
        <v>995</v>
      </c>
      <c r="D1776" t="s">
        <v>7052</v>
      </c>
      <c r="E1776">
        <v>0.03492311167040364</v>
      </c>
    </row>
    <row r="1777" spans="1:5">
      <c r="A1777" t="s">
        <v>3401</v>
      </c>
      <c r="B1777" t="s">
        <v>958</v>
      </c>
      <c r="C1777" t="s">
        <v>995</v>
      </c>
      <c r="D1777" t="s">
        <v>7053</v>
      </c>
      <c r="E1777">
        <v>40.14348532429189</v>
      </c>
    </row>
    <row r="1778" spans="1:5">
      <c r="A1778" t="s">
        <v>3402</v>
      </c>
      <c r="B1778" t="s">
        <v>958</v>
      </c>
      <c r="C1778" t="s">
        <v>995</v>
      </c>
      <c r="D1778" t="s">
        <v>7054</v>
      </c>
      <c r="E1778">
        <v>1.462359979198466</v>
      </c>
    </row>
    <row r="1779" spans="1:5">
      <c r="A1779" t="s">
        <v>3403</v>
      </c>
      <c r="B1779" t="s">
        <v>958</v>
      </c>
      <c r="C1779" t="s">
        <v>995</v>
      </c>
      <c r="D1779" t="s">
        <v>6989</v>
      </c>
      <c r="E1779">
        <v>39.08224083566123</v>
      </c>
    </row>
    <row r="1780" spans="1:5">
      <c r="A1780" t="s">
        <v>3404</v>
      </c>
      <c r="B1780" t="s">
        <v>958</v>
      </c>
      <c r="C1780" t="s">
        <v>995</v>
      </c>
      <c r="D1780" t="s">
        <v>7055</v>
      </c>
      <c r="E1780">
        <v>11.50541106561973</v>
      </c>
    </row>
    <row r="1781" spans="1:5">
      <c r="A1781" t="s">
        <v>3405</v>
      </c>
      <c r="B1781" t="s">
        <v>958</v>
      </c>
      <c r="C1781" t="s">
        <v>995</v>
      </c>
      <c r="D1781" t="s">
        <v>7056</v>
      </c>
      <c r="E1781">
        <v>47.18653182029332</v>
      </c>
    </row>
    <row r="1782" spans="1:5">
      <c r="A1782" t="s">
        <v>3406</v>
      </c>
      <c r="B1782" t="s">
        <v>958</v>
      </c>
      <c r="C1782" t="s">
        <v>995</v>
      </c>
      <c r="D1782" t="s">
        <v>7057</v>
      </c>
      <c r="E1782">
        <v>2.338579761704469</v>
      </c>
    </row>
    <row r="1783" spans="1:5">
      <c r="A1783" t="s">
        <v>3407</v>
      </c>
      <c r="B1783" t="s">
        <v>958</v>
      </c>
      <c r="C1783" t="s">
        <v>995</v>
      </c>
      <c r="D1783" t="s">
        <v>6990</v>
      </c>
      <c r="E1783">
        <v>0.01704034847532974</v>
      </c>
    </row>
    <row r="1784" spans="1:5">
      <c r="A1784" t="s">
        <v>3408</v>
      </c>
      <c r="B1784" t="s">
        <v>958</v>
      </c>
      <c r="C1784" t="s">
        <v>995</v>
      </c>
      <c r="D1784" t="s">
        <v>6991</v>
      </c>
      <c r="E1784">
        <v>106.6624076937524</v>
      </c>
    </row>
    <row r="1785" spans="1:5">
      <c r="A1785" t="s">
        <v>3409</v>
      </c>
      <c r="B1785" t="s">
        <v>958</v>
      </c>
      <c r="C1785" t="s">
        <v>995</v>
      </c>
      <c r="D1785" t="s">
        <v>7058</v>
      </c>
      <c r="E1785">
        <v>411.3956933430688</v>
      </c>
    </row>
    <row r="1786" spans="1:5">
      <c r="A1786" t="s">
        <v>3410</v>
      </c>
      <c r="B1786" t="s">
        <v>958</v>
      </c>
      <c r="C1786" t="s">
        <v>995</v>
      </c>
      <c r="D1786" t="s">
        <v>6992</v>
      </c>
      <c r="E1786">
        <v>3.20073482225883</v>
      </c>
    </row>
    <row r="1787" spans="1:5">
      <c r="A1787" t="s">
        <v>3411</v>
      </c>
      <c r="B1787" t="s">
        <v>958</v>
      </c>
      <c r="C1787" t="s">
        <v>995</v>
      </c>
      <c r="D1787" t="s">
        <v>7059</v>
      </c>
      <c r="E1787">
        <v>0.2332598735411132</v>
      </c>
    </row>
    <row r="1788" spans="1:5">
      <c r="A1788" t="s">
        <v>3412</v>
      </c>
      <c r="B1788" t="s">
        <v>958</v>
      </c>
      <c r="C1788" t="s">
        <v>995</v>
      </c>
      <c r="D1788" t="s">
        <v>7060</v>
      </c>
      <c r="E1788">
        <v>0.0002226889199315813</v>
      </c>
    </row>
    <row r="1789" spans="1:5">
      <c r="A1789" t="s">
        <v>3413</v>
      </c>
      <c r="B1789" t="s">
        <v>958</v>
      </c>
      <c r="C1789" t="s">
        <v>995</v>
      </c>
      <c r="D1789" t="s">
        <v>6993</v>
      </c>
      <c r="E1789">
        <v>2.479383060723436</v>
      </c>
    </row>
    <row r="1790" spans="1:5">
      <c r="A1790" t="s">
        <v>3414</v>
      </c>
      <c r="B1790" t="s">
        <v>958</v>
      </c>
      <c r="C1790" t="s">
        <v>995</v>
      </c>
      <c r="D1790" t="s">
        <v>7061</v>
      </c>
      <c r="E1790">
        <v>411.3956933430688</v>
      </c>
    </row>
    <row r="1791" spans="1:5">
      <c r="A1791" t="s">
        <v>3415</v>
      </c>
      <c r="B1791" t="s">
        <v>958</v>
      </c>
      <c r="C1791" t="s">
        <v>995</v>
      </c>
      <c r="D1791" t="s">
        <v>7062</v>
      </c>
      <c r="E1791">
        <v>1.931387554766038</v>
      </c>
    </row>
    <row r="1792" spans="1:5">
      <c r="A1792" t="s">
        <v>3416</v>
      </c>
      <c r="B1792" t="s">
        <v>958</v>
      </c>
      <c r="C1792" t="s">
        <v>995</v>
      </c>
      <c r="D1792" t="s">
        <v>7063</v>
      </c>
      <c r="E1792">
        <v>432.0493434684069</v>
      </c>
    </row>
    <row r="1793" spans="1:5">
      <c r="A1793" t="s">
        <v>3417</v>
      </c>
      <c r="B1793" t="s">
        <v>958</v>
      </c>
      <c r="C1793" t="s">
        <v>995</v>
      </c>
      <c r="D1793" t="s">
        <v>6994</v>
      </c>
      <c r="E1793">
        <v>1.914881120040586</v>
      </c>
    </row>
    <row r="1794" spans="1:5">
      <c r="A1794" t="s">
        <v>3418</v>
      </c>
      <c r="B1794" t="s">
        <v>958</v>
      </c>
      <c r="C1794" t="s">
        <v>995</v>
      </c>
      <c r="D1794" t="s">
        <v>7064</v>
      </c>
      <c r="E1794">
        <v>2.365105836757576</v>
      </c>
    </row>
    <row r="1795" spans="1:5">
      <c r="A1795" t="s">
        <v>3419</v>
      </c>
      <c r="B1795" t="s">
        <v>958</v>
      </c>
      <c r="C1795" t="s">
        <v>995</v>
      </c>
      <c r="D1795" t="s">
        <v>7065</v>
      </c>
      <c r="E1795">
        <v>3.498460469239191</v>
      </c>
    </row>
    <row r="1796" spans="1:5">
      <c r="A1796" t="s">
        <v>3420</v>
      </c>
      <c r="B1796" t="s">
        <v>958</v>
      </c>
      <c r="C1796" t="s">
        <v>995</v>
      </c>
      <c r="D1796" t="s">
        <v>7066</v>
      </c>
      <c r="E1796">
        <v>0.07575961707005725</v>
      </c>
    </row>
    <row r="1797" spans="1:5">
      <c r="A1797" t="s">
        <v>3421</v>
      </c>
      <c r="B1797" t="s">
        <v>958</v>
      </c>
      <c r="C1797" t="s">
        <v>995</v>
      </c>
      <c r="D1797" t="s">
        <v>7067</v>
      </c>
      <c r="E1797">
        <v>218.6722243954524</v>
      </c>
    </row>
    <row r="1798" spans="1:5">
      <c r="A1798" t="s">
        <v>3422</v>
      </c>
      <c r="B1798" t="s">
        <v>958</v>
      </c>
      <c r="C1798" t="s">
        <v>995</v>
      </c>
      <c r="D1798" t="s">
        <v>7068</v>
      </c>
      <c r="E1798">
        <v>0.7226630688698599</v>
      </c>
    </row>
    <row r="1799" spans="1:5">
      <c r="A1799" t="s">
        <v>3423</v>
      </c>
      <c r="B1799" t="s">
        <v>958</v>
      </c>
      <c r="C1799" t="s">
        <v>995</v>
      </c>
      <c r="D1799" t="s">
        <v>6995</v>
      </c>
      <c r="E1799">
        <v>0.2002518173886926</v>
      </c>
    </row>
    <row r="1800" spans="1:5">
      <c r="A1800" t="s">
        <v>3424</v>
      </c>
      <c r="B1800" t="s">
        <v>958</v>
      </c>
      <c r="C1800" t="s">
        <v>995</v>
      </c>
      <c r="D1800" t="s">
        <v>7069</v>
      </c>
      <c r="E1800">
        <v>993.2168121691274</v>
      </c>
    </row>
    <row r="1801" spans="1:5">
      <c r="A1801" t="s">
        <v>3425</v>
      </c>
      <c r="B1801" t="s">
        <v>958</v>
      </c>
      <c r="C1801" t="s">
        <v>995</v>
      </c>
      <c r="D1801" t="s">
        <v>7070</v>
      </c>
      <c r="E1801">
        <v>367.5874688530692</v>
      </c>
    </row>
    <row r="1802" spans="1:5">
      <c r="A1802" t="s">
        <v>3426</v>
      </c>
      <c r="B1802" t="s">
        <v>958</v>
      </c>
      <c r="C1802" t="s">
        <v>995</v>
      </c>
      <c r="D1802" t="s">
        <v>7071</v>
      </c>
      <c r="E1802">
        <v>0.6280163937561513</v>
      </c>
    </row>
    <row r="1803" spans="1:5">
      <c r="A1803" t="s">
        <v>3427</v>
      </c>
      <c r="B1803" t="s">
        <v>958</v>
      </c>
      <c r="C1803" t="s">
        <v>995</v>
      </c>
      <c r="D1803" t="s">
        <v>7072</v>
      </c>
      <c r="E1803">
        <v>0.01395391828689848</v>
      </c>
    </row>
    <row r="1804" spans="1:5">
      <c r="A1804" t="s">
        <v>3428</v>
      </c>
      <c r="B1804" t="s">
        <v>958</v>
      </c>
      <c r="C1804" t="s">
        <v>995</v>
      </c>
      <c r="D1804" t="s">
        <v>7073</v>
      </c>
      <c r="E1804">
        <v>0.00342260163572556</v>
      </c>
    </row>
    <row r="1805" spans="1:5">
      <c r="A1805" t="s">
        <v>3429</v>
      </c>
      <c r="B1805" t="s">
        <v>958</v>
      </c>
      <c r="C1805" t="s">
        <v>995</v>
      </c>
      <c r="D1805" t="s">
        <v>7074</v>
      </c>
      <c r="E1805">
        <v>0.9185665671699726</v>
      </c>
    </row>
    <row r="1806" spans="1:5">
      <c r="A1806" t="s">
        <v>3430</v>
      </c>
      <c r="B1806" t="s">
        <v>958</v>
      </c>
      <c r="C1806" t="s">
        <v>995</v>
      </c>
      <c r="D1806" t="s">
        <v>7075</v>
      </c>
      <c r="E1806">
        <v>1.676281866115563</v>
      </c>
    </row>
    <row r="1807" spans="1:5">
      <c r="A1807" t="s">
        <v>3431</v>
      </c>
      <c r="B1807" t="s">
        <v>958</v>
      </c>
      <c r="C1807" t="s">
        <v>995</v>
      </c>
      <c r="D1807" t="s">
        <v>7076</v>
      </c>
      <c r="E1807">
        <v>18.76908733658734</v>
      </c>
    </row>
    <row r="1808" spans="1:5">
      <c r="A1808" t="s">
        <v>3432</v>
      </c>
      <c r="B1808" t="s">
        <v>958</v>
      </c>
      <c r="C1808" t="s">
        <v>995</v>
      </c>
      <c r="D1808" t="s">
        <v>7077</v>
      </c>
      <c r="E1808">
        <v>48.05651775455861</v>
      </c>
    </row>
    <row r="1809" spans="1:5">
      <c r="A1809" t="s">
        <v>3433</v>
      </c>
      <c r="B1809" t="s">
        <v>958</v>
      </c>
      <c r="C1809" t="s">
        <v>995</v>
      </c>
      <c r="D1809" t="s">
        <v>7078</v>
      </c>
      <c r="E1809">
        <v>33.27493648290996</v>
      </c>
    </row>
    <row r="1810" spans="1:5">
      <c r="A1810" t="s">
        <v>3434</v>
      </c>
      <c r="B1810" t="s">
        <v>958</v>
      </c>
      <c r="C1810" t="s">
        <v>995</v>
      </c>
      <c r="D1810" t="s">
        <v>7079</v>
      </c>
      <c r="E1810">
        <v>17.70964724107829</v>
      </c>
    </row>
    <row r="1811" spans="1:5">
      <c r="A1811" t="s">
        <v>3435</v>
      </c>
      <c r="B1811" t="s">
        <v>958</v>
      </c>
      <c r="C1811" t="s">
        <v>995</v>
      </c>
      <c r="D1811" t="s">
        <v>7080</v>
      </c>
      <c r="E1811">
        <v>0.07330449391695303</v>
      </c>
    </row>
    <row r="1812" spans="1:5">
      <c r="A1812" t="s">
        <v>3436</v>
      </c>
      <c r="B1812" t="s">
        <v>958</v>
      </c>
      <c r="C1812" t="s">
        <v>995</v>
      </c>
      <c r="D1812" t="s">
        <v>7081</v>
      </c>
      <c r="E1812">
        <v>5.762999385650813</v>
      </c>
    </row>
    <row r="1813" spans="1:5">
      <c r="A1813" t="s">
        <v>3437</v>
      </c>
      <c r="B1813" t="s">
        <v>958</v>
      </c>
      <c r="C1813" t="s">
        <v>995</v>
      </c>
      <c r="D1813" t="s">
        <v>7082</v>
      </c>
      <c r="E1813">
        <v>0.1457485302629051</v>
      </c>
    </row>
    <row r="1814" spans="1:5">
      <c r="A1814" t="s">
        <v>3438</v>
      </c>
      <c r="B1814" t="s">
        <v>958</v>
      </c>
      <c r="C1814" t="s">
        <v>995</v>
      </c>
      <c r="D1814" t="s">
        <v>7083</v>
      </c>
      <c r="E1814">
        <v>0.0858404770638017</v>
      </c>
    </row>
    <row r="1815" spans="1:5">
      <c r="A1815" t="s">
        <v>3439</v>
      </c>
      <c r="B1815" t="s">
        <v>958</v>
      </c>
      <c r="C1815" t="s">
        <v>995</v>
      </c>
      <c r="D1815" t="s">
        <v>7084</v>
      </c>
      <c r="E1815">
        <v>37.9439302687134</v>
      </c>
    </row>
    <row r="1816" spans="1:5">
      <c r="A1816" t="s">
        <v>3440</v>
      </c>
      <c r="B1816" t="s">
        <v>958</v>
      </c>
      <c r="C1816" t="s">
        <v>995</v>
      </c>
      <c r="D1816" t="s">
        <v>7085</v>
      </c>
      <c r="E1816">
        <v>7.620819402187171</v>
      </c>
    </row>
    <row r="1817" spans="1:5">
      <c r="A1817" t="s">
        <v>3441</v>
      </c>
      <c r="B1817" t="s">
        <v>958</v>
      </c>
      <c r="C1817" t="s">
        <v>995</v>
      </c>
      <c r="D1817" t="s">
        <v>7086</v>
      </c>
      <c r="E1817">
        <v>6.459038282609469</v>
      </c>
    </row>
    <row r="1818" spans="1:5">
      <c r="A1818" t="s">
        <v>3442</v>
      </c>
      <c r="B1818" t="s">
        <v>958</v>
      </c>
      <c r="C1818" t="s">
        <v>995</v>
      </c>
      <c r="D1818" t="s">
        <v>7087</v>
      </c>
      <c r="E1818">
        <v>19.81315541816998</v>
      </c>
    </row>
    <row r="1819" spans="1:5">
      <c r="A1819" t="s">
        <v>3443</v>
      </c>
      <c r="B1819" t="s">
        <v>958</v>
      </c>
      <c r="C1819" t="s">
        <v>995</v>
      </c>
      <c r="D1819" t="s">
        <v>7088</v>
      </c>
      <c r="E1819">
        <v>0.1756166649680396</v>
      </c>
    </row>
    <row r="1820" spans="1:5">
      <c r="A1820" t="s">
        <v>3444</v>
      </c>
      <c r="B1820" t="s">
        <v>958</v>
      </c>
      <c r="C1820" t="s">
        <v>995</v>
      </c>
      <c r="D1820" t="s">
        <v>6996</v>
      </c>
      <c r="E1820">
        <v>17.67996651454096</v>
      </c>
    </row>
    <row r="1821" spans="1:5">
      <c r="A1821" t="s">
        <v>3445</v>
      </c>
      <c r="B1821" t="s">
        <v>958</v>
      </c>
      <c r="C1821" t="s">
        <v>995</v>
      </c>
      <c r="D1821" t="s">
        <v>6997</v>
      </c>
      <c r="E1821">
        <v>76.68419031941346</v>
      </c>
    </row>
    <row r="1822" spans="1:5">
      <c r="A1822" t="s">
        <v>3446</v>
      </c>
      <c r="B1822" t="s">
        <v>958</v>
      </c>
      <c r="C1822" t="s">
        <v>995</v>
      </c>
      <c r="D1822" t="s">
        <v>7089</v>
      </c>
      <c r="E1822">
        <v>4.799588273761769</v>
      </c>
    </row>
    <row r="1823" spans="1:5">
      <c r="A1823" t="s">
        <v>3447</v>
      </c>
      <c r="B1823" t="s">
        <v>958</v>
      </c>
      <c r="C1823" t="s">
        <v>995</v>
      </c>
      <c r="D1823" t="s">
        <v>7090</v>
      </c>
      <c r="E1823">
        <v>18.76908733658734</v>
      </c>
    </row>
    <row r="1824" spans="1:5">
      <c r="A1824" t="s">
        <v>3448</v>
      </c>
      <c r="B1824" t="s">
        <v>958</v>
      </c>
      <c r="C1824" t="s">
        <v>995</v>
      </c>
      <c r="D1824" t="s">
        <v>7091</v>
      </c>
      <c r="E1824">
        <v>0.2252407704529306</v>
      </c>
    </row>
    <row r="1825" spans="1:5">
      <c r="A1825" t="s">
        <v>3449</v>
      </c>
      <c r="B1825" t="s">
        <v>958</v>
      </c>
      <c r="C1825" t="s">
        <v>995</v>
      </c>
      <c r="D1825" t="s">
        <v>7092</v>
      </c>
      <c r="E1825">
        <v>8.328635581148911</v>
      </c>
    </row>
    <row r="1826" spans="1:5">
      <c r="A1826" t="s">
        <v>3450</v>
      </c>
      <c r="B1826" t="s">
        <v>958</v>
      </c>
      <c r="C1826" t="s">
        <v>995</v>
      </c>
      <c r="D1826" t="s">
        <v>6998</v>
      </c>
      <c r="E1826">
        <v>32.88568626397224</v>
      </c>
    </row>
    <row r="1827" spans="1:5">
      <c r="A1827" t="s">
        <v>3451</v>
      </c>
      <c r="B1827" t="s">
        <v>958</v>
      </c>
      <c r="C1827" t="s">
        <v>995</v>
      </c>
      <c r="D1827" t="s">
        <v>7093</v>
      </c>
      <c r="E1827">
        <v>2.000459964039799</v>
      </c>
    </row>
    <row r="1828" spans="1:5">
      <c r="A1828" t="s">
        <v>3452</v>
      </c>
      <c r="B1828" t="s">
        <v>958</v>
      </c>
      <c r="C1828" t="s">
        <v>995</v>
      </c>
      <c r="D1828" t="s">
        <v>6999</v>
      </c>
      <c r="E1828">
        <v>179.9406539423758</v>
      </c>
    </row>
    <row r="1829" spans="1:5">
      <c r="A1829" t="s">
        <v>3453</v>
      </c>
      <c r="B1829" t="s">
        <v>958</v>
      </c>
      <c r="C1829" t="s">
        <v>995</v>
      </c>
      <c r="D1829" t="s">
        <v>7094</v>
      </c>
      <c r="E1829">
        <v>796.6847070528707</v>
      </c>
    </row>
    <row r="1830" spans="1:5">
      <c r="A1830" t="s">
        <v>3454</v>
      </c>
      <c r="B1830" t="s">
        <v>958</v>
      </c>
      <c r="C1830" t="s">
        <v>995</v>
      </c>
      <c r="D1830" t="s">
        <v>7095</v>
      </c>
      <c r="E1830">
        <v>306.322890710891</v>
      </c>
    </row>
    <row r="1831" spans="1:5">
      <c r="A1831" t="s">
        <v>3455</v>
      </c>
      <c r="B1831" t="s">
        <v>958</v>
      </c>
      <c r="C1831" t="s">
        <v>995</v>
      </c>
      <c r="D1831" t="s">
        <v>7096</v>
      </c>
      <c r="E1831">
        <v>89.90193819463269</v>
      </c>
    </row>
    <row r="1832" spans="1:5">
      <c r="A1832" t="s">
        <v>3456</v>
      </c>
      <c r="B1832" t="s">
        <v>958</v>
      </c>
      <c r="C1832" t="s">
        <v>995</v>
      </c>
      <c r="D1832" t="s">
        <v>7097</v>
      </c>
      <c r="E1832">
        <v>70.13644974674867</v>
      </c>
    </row>
    <row r="1833" spans="1:5">
      <c r="A1833" t="s">
        <v>3457</v>
      </c>
      <c r="B1833" t="s">
        <v>958</v>
      </c>
      <c r="C1833" t="s">
        <v>995</v>
      </c>
      <c r="D1833" t="s">
        <v>7000</v>
      </c>
      <c r="E1833">
        <v>4.958516800832622</v>
      </c>
    </row>
    <row r="1834" spans="1:5">
      <c r="A1834" t="s">
        <v>3458</v>
      </c>
      <c r="B1834" t="s">
        <v>958</v>
      </c>
      <c r="C1834" t="s">
        <v>995</v>
      </c>
      <c r="D1834" t="s">
        <v>7098</v>
      </c>
      <c r="E1834">
        <v>1.098597329089116</v>
      </c>
    </row>
    <row r="1835" spans="1:5">
      <c r="A1835" t="s">
        <v>3459</v>
      </c>
      <c r="B1835" t="s">
        <v>958</v>
      </c>
      <c r="C1835" t="s">
        <v>995</v>
      </c>
      <c r="D1835" t="s">
        <v>7001</v>
      </c>
      <c r="E1835">
        <v>83.81530533100413</v>
      </c>
    </row>
    <row r="1836" spans="1:5">
      <c r="A1836" t="s">
        <v>3460</v>
      </c>
      <c r="B1836" t="s">
        <v>958</v>
      </c>
      <c r="C1836" t="s">
        <v>995</v>
      </c>
      <c r="D1836" t="s">
        <v>7099</v>
      </c>
      <c r="E1836">
        <v>0.05038559591326309</v>
      </c>
    </row>
    <row r="1837" spans="1:5">
      <c r="A1837" t="s">
        <v>3461</v>
      </c>
      <c r="B1837" t="s">
        <v>958</v>
      </c>
      <c r="C1837" t="s">
        <v>995</v>
      </c>
      <c r="D1837" t="s">
        <v>7100</v>
      </c>
      <c r="E1837">
        <v>84.15461879187735</v>
      </c>
    </row>
    <row r="1838" spans="1:5">
      <c r="A1838" t="s">
        <v>3462</v>
      </c>
      <c r="B1838" t="s">
        <v>958</v>
      </c>
      <c r="C1838" t="s">
        <v>995</v>
      </c>
      <c r="D1838" t="s">
        <v>7002</v>
      </c>
      <c r="E1838">
        <v>67.61776848972934</v>
      </c>
    </row>
    <row r="1839" spans="1:5">
      <c r="A1839" t="s">
        <v>3463</v>
      </c>
      <c r="B1839" t="s">
        <v>958</v>
      </c>
      <c r="C1839" t="s">
        <v>995</v>
      </c>
      <c r="D1839" t="s">
        <v>7101</v>
      </c>
      <c r="E1839">
        <v>3.029019352102039</v>
      </c>
    </row>
    <row r="1840" spans="1:5">
      <c r="A1840" t="s">
        <v>3464</v>
      </c>
      <c r="B1840" t="s">
        <v>958</v>
      </c>
      <c r="C1840" t="s">
        <v>995</v>
      </c>
      <c r="D1840" t="s">
        <v>7102</v>
      </c>
      <c r="E1840">
        <v>4.156817662614054</v>
      </c>
    </row>
    <row r="1841" spans="1:5">
      <c r="A1841" t="s">
        <v>3465</v>
      </c>
      <c r="B1841" t="s">
        <v>958</v>
      </c>
      <c r="C1841" t="s">
        <v>995</v>
      </c>
      <c r="D1841" t="s">
        <v>7103</v>
      </c>
      <c r="E1841">
        <v>0.209075942210138</v>
      </c>
    </row>
    <row r="1842" spans="1:5">
      <c r="A1842" t="s">
        <v>3466</v>
      </c>
      <c r="B1842" t="s">
        <v>958</v>
      </c>
      <c r="C1842" t="s">
        <v>995</v>
      </c>
      <c r="D1842" t="s">
        <v>7104</v>
      </c>
      <c r="E1842">
        <v>81.68608542132122</v>
      </c>
    </row>
    <row r="1843" spans="1:5">
      <c r="A1843" t="s">
        <v>3467</v>
      </c>
      <c r="B1843" t="s">
        <v>958</v>
      </c>
      <c r="C1843" t="s">
        <v>995</v>
      </c>
      <c r="D1843" t="s">
        <v>7105</v>
      </c>
      <c r="E1843">
        <v>38.70046011416805</v>
      </c>
    </row>
    <row r="1844" spans="1:5">
      <c r="A1844" t="s">
        <v>3468</v>
      </c>
      <c r="B1844" t="s">
        <v>958</v>
      </c>
      <c r="C1844" t="s">
        <v>995</v>
      </c>
      <c r="D1844" t="s">
        <v>7106</v>
      </c>
      <c r="E1844">
        <v>20.72678787217362</v>
      </c>
    </row>
    <row r="1845" spans="1:5">
      <c r="A1845" t="s">
        <v>3469</v>
      </c>
      <c r="B1845" t="s">
        <v>958</v>
      </c>
      <c r="C1845" t="s">
        <v>995</v>
      </c>
      <c r="D1845" t="s">
        <v>7107</v>
      </c>
      <c r="E1845">
        <v>0.6838302274648321</v>
      </c>
    </row>
    <row r="1846" spans="1:5">
      <c r="A1846" t="s">
        <v>3470</v>
      </c>
      <c r="B1846" t="s">
        <v>958</v>
      </c>
      <c r="C1846" t="s">
        <v>995</v>
      </c>
      <c r="D1846" t="s">
        <v>7003</v>
      </c>
      <c r="E1846">
        <v>32.60945435627483</v>
      </c>
    </row>
    <row r="1847" spans="1:5">
      <c r="A1847" t="s">
        <v>3471</v>
      </c>
      <c r="B1847" t="s">
        <v>958</v>
      </c>
      <c r="C1847" t="s">
        <v>995</v>
      </c>
      <c r="D1847" t="s">
        <v>7004</v>
      </c>
      <c r="E1847">
        <v>238.7570557272506</v>
      </c>
    </row>
    <row r="1848" spans="1:5">
      <c r="A1848" t="s">
        <v>3472</v>
      </c>
      <c r="B1848" t="s">
        <v>958</v>
      </c>
      <c r="C1848" t="s">
        <v>995</v>
      </c>
      <c r="D1848" t="s">
        <v>7108</v>
      </c>
      <c r="E1848">
        <v>411.3956933430688</v>
      </c>
    </row>
    <row r="1849" spans="1:5">
      <c r="A1849" t="s">
        <v>3473</v>
      </c>
      <c r="B1849" t="s">
        <v>958</v>
      </c>
      <c r="C1849" t="s">
        <v>995</v>
      </c>
      <c r="D1849" t="s">
        <v>7109</v>
      </c>
      <c r="E1849">
        <v>12.47391286591408</v>
      </c>
    </row>
    <row r="1850" spans="1:5">
      <c r="A1850" t="s">
        <v>3474</v>
      </c>
      <c r="B1850" t="s">
        <v>958</v>
      </c>
      <c r="C1850" t="s">
        <v>995</v>
      </c>
      <c r="D1850" t="s">
        <v>7110</v>
      </c>
      <c r="E1850">
        <v>0.0124746657099183</v>
      </c>
    </row>
    <row r="1851" spans="1:5">
      <c r="A1851" t="s">
        <v>3475</v>
      </c>
      <c r="B1851" t="s">
        <v>958</v>
      </c>
      <c r="C1851" t="s">
        <v>995</v>
      </c>
      <c r="D1851" t="s">
        <v>7111</v>
      </c>
      <c r="E1851">
        <v>0.5353015049215153</v>
      </c>
    </row>
    <row r="1852" spans="1:5">
      <c r="A1852" t="s">
        <v>3476</v>
      </c>
      <c r="B1852" t="s">
        <v>958</v>
      </c>
      <c r="C1852" t="s">
        <v>995</v>
      </c>
      <c r="D1852" t="s">
        <v>7112</v>
      </c>
      <c r="E1852">
        <v>8.23387425211455</v>
      </c>
    </row>
    <row r="1853" spans="1:5">
      <c r="A1853" t="s">
        <v>3477</v>
      </c>
      <c r="B1853" t="s">
        <v>958</v>
      </c>
      <c r="C1853" t="s">
        <v>995</v>
      </c>
      <c r="D1853" t="s">
        <v>7113</v>
      </c>
      <c r="E1853">
        <v>0.06517707874915826</v>
      </c>
    </row>
    <row r="1854" spans="1:5">
      <c r="A1854" t="s">
        <v>3478</v>
      </c>
      <c r="B1854" t="s">
        <v>958</v>
      </c>
      <c r="C1854" t="s">
        <v>995</v>
      </c>
      <c r="D1854" t="s">
        <v>7114</v>
      </c>
      <c r="E1854">
        <v>14.51130302040816</v>
      </c>
    </row>
    <row r="1855" spans="1:5">
      <c r="A1855" t="s">
        <v>3479</v>
      </c>
      <c r="B1855" t="s">
        <v>958</v>
      </c>
      <c r="C1855" t="s">
        <v>995</v>
      </c>
      <c r="D1855" t="s">
        <v>7115</v>
      </c>
      <c r="E1855">
        <v>2.725385822931286</v>
      </c>
    </row>
    <row r="1856" spans="1:5">
      <c r="A1856" t="s">
        <v>3480</v>
      </c>
      <c r="B1856" t="s">
        <v>958</v>
      </c>
      <c r="C1856" t="s">
        <v>995</v>
      </c>
      <c r="D1856" t="s">
        <v>7116</v>
      </c>
      <c r="E1856">
        <v>18.76908733658734</v>
      </c>
    </row>
    <row r="1857" spans="1:5">
      <c r="A1857" t="s">
        <v>3481</v>
      </c>
      <c r="B1857" t="s">
        <v>958</v>
      </c>
      <c r="C1857" t="s">
        <v>995</v>
      </c>
      <c r="D1857" t="s">
        <v>7005</v>
      </c>
      <c r="E1857">
        <v>9.358883282056855</v>
      </c>
    </row>
    <row r="1858" spans="1:5">
      <c r="A1858" t="s">
        <v>3482</v>
      </c>
      <c r="B1858" t="s">
        <v>958</v>
      </c>
      <c r="C1858" t="s">
        <v>995</v>
      </c>
      <c r="D1858" t="s">
        <v>7117</v>
      </c>
      <c r="E1858">
        <v>33.1401893499133</v>
      </c>
    </row>
    <row r="1859" spans="1:5">
      <c r="A1859" t="s">
        <v>3483</v>
      </c>
      <c r="B1859" t="s">
        <v>958</v>
      </c>
      <c r="C1859" t="s">
        <v>995</v>
      </c>
      <c r="D1859" t="s">
        <v>7118</v>
      </c>
      <c r="E1859">
        <v>87.45963729754197</v>
      </c>
    </row>
    <row r="1860" spans="1:5">
      <c r="A1860" t="s">
        <v>3484</v>
      </c>
      <c r="B1860" t="s">
        <v>958</v>
      </c>
      <c r="C1860" t="s">
        <v>995</v>
      </c>
      <c r="D1860" t="s">
        <v>7119</v>
      </c>
      <c r="E1860">
        <v>105.1712294606234</v>
      </c>
    </row>
    <row r="1861" spans="1:5">
      <c r="A1861" t="s">
        <v>3485</v>
      </c>
      <c r="B1861" t="s">
        <v>958</v>
      </c>
      <c r="C1861" t="s">
        <v>995</v>
      </c>
      <c r="D1861" t="s">
        <v>7120</v>
      </c>
      <c r="E1861">
        <v>129.6369688614069</v>
      </c>
    </row>
    <row r="1862" spans="1:5">
      <c r="A1862" t="s">
        <v>3486</v>
      </c>
      <c r="B1862" t="s">
        <v>958</v>
      </c>
      <c r="C1862" t="s">
        <v>995</v>
      </c>
      <c r="D1862" t="s">
        <v>7006</v>
      </c>
      <c r="E1862">
        <v>6.65969834619151</v>
      </c>
    </row>
    <row r="1863" spans="1:5">
      <c r="A1863" t="s">
        <v>3487</v>
      </c>
      <c r="B1863" t="s">
        <v>958</v>
      </c>
      <c r="C1863" t="s">
        <v>995</v>
      </c>
      <c r="D1863" t="s">
        <v>7121</v>
      </c>
      <c r="E1863">
        <v>41.91311685718105</v>
      </c>
    </row>
    <row r="1864" spans="1:5">
      <c r="A1864" t="s">
        <v>3488</v>
      </c>
      <c r="B1864" t="s">
        <v>958</v>
      </c>
      <c r="C1864" t="s">
        <v>995</v>
      </c>
      <c r="D1864" t="s">
        <v>7122</v>
      </c>
      <c r="E1864">
        <v>218.6722243954524</v>
      </c>
    </row>
    <row r="1865" spans="1:5">
      <c r="A1865" t="s">
        <v>3489</v>
      </c>
      <c r="B1865" t="s">
        <v>958</v>
      </c>
      <c r="C1865" t="s">
        <v>995</v>
      </c>
      <c r="D1865" t="s">
        <v>7123</v>
      </c>
      <c r="E1865">
        <v>9.734697529846706</v>
      </c>
    </row>
    <row r="1866" spans="1:5">
      <c r="A1866" t="s">
        <v>3490</v>
      </c>
      <c r="B1866" t="s">
        <v>958</v>
      </c>
      <c r="C1866" t="s">
        <v>995</v>
      </c>
      <c r="D1866" t="s">
        <v>7124</v>
      </c>
      <c r="E1866">
        <v>0.1179821913790728</v>
      </c>
    </row>
    <row r="1867" spans="1:5">
      <c r="A1867" t="s">
        <v>3491</v>
      </c>
      <c r="B1867" t="s">
        <v>958</v>
      </c>
      <c r="C1867" t="s">
        <v>995</v>
      </c>
      <c r="D1867" t="s">
        <v>7125</v>
      </c>
      <c r="E1867">
        <v>6.90212026201687</v>
      </c>
    </row>
    <row r="1868" spans="1:5">
      <c r="A1868" t="s">
        <v>3492</v>
      </c>
      <c r="B1868" t="s">
        <v>958</v>
      </c>
      <c r="C1868" t="s">
        <v>995</v>
      </c>
      <c r="D1868" t="s">
        <v>7126</v>
      </c>
      <c r="E1868">
        <v>0.0821379876490544</v>
      </c>
    </row>
    <row r="1869" spans="1:5">
      <c r="A1869" t="s">
        <v>3493</v>
      </c>
      <c r="B1869" t="s">
        <v>958</v>
      </c>
      <c r="C1869" t="s">
        <v>995</v>
      </c>
      <c r="D1869" t="s">
        <v>998</v>
      </c>
      <c r="E1869">
        <v>306.3226267825464</v>
      </c>
    </row>
    <row r="1870" spans="1:5">
      <c r="A1870" t="s">
        <v>3494</v>
      </c>
      <c r="B1870" t="s">
        <v>958</v>
      </c>
      <c r="C1870" t="s">
        <v>995</v>
      </c>
      <c r="D1870" t="s">
        <v>7127</v>
      </c>
      <c r="E1870">
        <v>7.607866704519803</v>
      </c>
    </row>
    <row r="1871" spans="1:5">
      <c r="A1871" t="s">
        <v>3495</v>
      </c>
      <c r="B1871" t="s">
        <v>958</v>
      </c>
      <c r="C1871" t="s">
        <v>995</v>
      </c>
      <c r="D1871" t="s">
        <v>7128</v>
      </c>
      <c r="E1871">
        <v>0.02567031205019649</v>
      </c>
    </row>
    <row r="1872" spans="1:5">
      <c r="A1872" t="s">
        <v>3496</v>
      </c>
      <c r="B1872" t="s">
        <v>958</v>
      </c>
      <c r="C1872" t="s">
        <v>995</v>
      </c>
      <c r="D1872" t="s">
        <v>7129</v>
      </c>
      <c r="E1872">
        <v>0.5465389859094979</v>
      </c>
    </row>
    <row r="1873" spans="1:5">
      <c r="A1873" t="s">
        <v>3497</v>
      </c>
      <c r="B1873" t="s">
        <v>958</v>
      </c>
      <c r="C1873" t="s">
        <v>995</v>
      </c>
      <c r="D1873" t="s">
        <v>7130</v>
      </c>
      <c r="E1873">
        <v>0.01171099256978836</v>
      </c>
    </row>
    <row r="1874" spans="1:5">
      <c r="A1874" t="s">
        <v>3498</v>
      </c>
      <c r="B1874" t="s">
        <v>958</v>
      </c>
      <c r="C1874" t="s">
        <v>995</v>
      </c>
      <c r="D1874" t="s">
        <v>7131</v>
      </c>
      <c r="E1874">
        <v>2.596998446309027</v>
      </c>
    </row>
    <row r="1875" spans="1:5">
      <c r="A1875" t="s">
        <v>3499</v>
      </c>
      <c r="B1875" t="s">
        <v>958</v>
      </c>
      <c r="C1875" t="s">
        <v>995</v>
      </c>
      <c r="D1875" t="s">
        <v>7132</v>
      </c>
      <c r="E1875">
        <v>114.3302056501536</v>
      </c>
    </row>
    <row r="1876" spans="1:5">
      <c r="A1876" t="s">
        <v>3500</v>
      </c>
      <c r="B1876" t="s">
        <v>958</v>
      </c>
      <c r="C1876" t="s">
        <v>995</v>
      </c>
      <c r="D1876" t="s">
        <v>7133</v>
      </c>
      <c r="E1876">
        <v>0.5419973016523949</v>
      </c>
    </row>
    <row r="1877" spans="1:5">
      <c r="A1877" t="s">
        <v>3501</v>
      </c>
      <c r="B1877" t="s">
        <v>958</v>
      </c>
      <c r="C1877" t="s">
        <v>995</v>
      </c>
      <c r="D1877" t="s">
        <v>7134</v>
      </c>
      <c r="E1877">
        <v>113.4529080038396</v>
      </c>
    </row>
    <row r="1878" spans="1:5">
      <c r="A1878" t="s">
        <v>3502</v>
      </c>
      <c r="B1878" t="s">
        <v>958</v>
      </c>
      <c r="C1878" t="s">
        <v>995</v>
      </c>
      <c r="D1878" t="s">
        <v>7135</v>
      </c>
      <c r="E1878">
        <v>171.1301164270545</v>
      </c>
    </row>
    <row r="1879" spans="1:5">
      <c r="A1879" t="s">
        <v>3503</v>
      </c>
      <c r="B1879" t="s">
        <v>958</v>
      </c>
      <c r="C1879" t="s">
        <v>995</v>
      </c>
      <c r="D1879" t="s">
        <v>7136</v>
      </c>
      <c r="E1879">
        <v>418.3097846485464</v>
      </c>
    </row>
    <row r="1880" spans="1:5">
      <c r="A1880" t="s">
        <v>3504</v>
      </c>
      <c r="B1880" t="s">
        <v>958</v>
      </c>
      <c r="C1880" t="s">
        <v>995</v>
      </c>
      <c r="D1880" t="s">
        <v>7137</v>
      </c>
      <c r="E1880">
        <v>0.5419973016523949</v>
      </c>
    </row>
    <row r="1881" spans="1:5">
      <c r="A1881" t="s">
        <v>3505</v>
      </c>
      <c r="B1881" t="s">
        <v>958</v>
      </c>
      <c r="C1881" t="s">
        <v>995</v>
      </c>
      <c r="D1881" t="s">
        <v>7138</v>
      </c>
      <c r="E1881">
        <v>2.979309187812154</v>
      </c>
    </row>
    <row r="1882" spans="1:5">
      <c r="A1882" t="s">
        <v>3506</v>
      </c>
      <c r="B1882" t="s">
        <v>958</v>
      </c>
      <c r="C1882" t="s">
        <v>995</v>
      </c>
      <c r="D1882" t="s">
        <v>7139</v>
      </c>
      <c r="E1882">
        <v>1.2829764259766</v>
      </c>
    </row>
    <row r="1883" spans="1:5">
      <c r="A1883" t="s">
        <v>3507</v>
      </c>
      <c r="B1883" t="s">
        <v>958</v>
      </c>
      <c r="C1883" t="s">
        <v>995</v>
      </c>
      <c r="D1883" t="s">
        <v>7007</v>
      </c>
      <c r="E1883">
        <v>18.7690397752616</v>
      </c>
    </row>
    <row r="1884" spans="1:5">
      <c r="A1884" t="s">
        <v>3508</v>
      </c>
      <c r="B1884" t="s">
        <v>958</v>
      </c>
      <c r="C1884" t="s">
        <v>995</v>
      </c>
      <c r="D1884" t="s">
        <v>7140</v>
      </c>
      <c r="E1884">
        <v>17.19635194082775</v>
      </c>
    </row>
    <row r="1885" spans="1:5">
      <c r="A1885" t="s">
        <v>3509</v>
      </c>
      <c r="B1885" t="s">
        <v>958</v>
      </c>
      <c r="C1885" t="s">
        <v>995</v>
      </c>
      <c r="D1885" t="s">
        <v>7141</v>
      </c>
      <c r="E1885">
        <v>11.39308532149781</v>
      </c>
    </row>
    <row r="1886" spans="1:5">
      <c r="A1886" t="s">
        <v>3510</v>
      </c>
      <c r="B1886" t="s">
        <v>958</v>
      </c>
      <c r="C1886" t="s">
        <v>995</v>
      </c>
      <c r="D1886" t="s">
        <v>7142</v>
      </c>
      <c r="E1886">
        <v>11.39308532149781</v>
      </c>
    </row>
    <row r="1887" spans="1:5">
      <c r="A1887" t="s">
        <v>3346</v>
      </c>
      <c r="B1887" t="s">
        <v>958</v>
      </c>
      <c r="C1887" t="s">
        <v>995</v>
      </c>
      <c r="D1887" t="s">
        <v>996</v>
      </c>
      <c r="E1887">
        <v>355.526924</v>
      </c>
    </row>
    <row r="1888" spans="1:5">
      <c r="A1888" t="s">
        <v>3511</v>
      </c>
      <c r="B1888" t="s">
        <v>959</v>
      </c>
      <c r="C1888" t="s">
        <v>995</v>
      </c>
      <c r="D1888" t="s">
        <v>996</v>
      </c>
      <c r="E1888">
        <v>355.037455</v>
      </c>
    </row>
    <row r="1889" spans="1:5">
      <c r="A1889" t="s">
        <v>3512</v>
      </c>
      <c r="B1889" t="s">
        <v>959</v>
      </c>
      <c r="C1889" t="s">
        <v>995</v>
      </c>
      <c r="D1889" t="s">
        <v>7008</v>
      </c>
      <c r="E1889">
        <v>83.65662343292919</v>
      </c>
    </row>
    <row r="1890" spans="1:5">
      <c r="A1890" t="s">
        <v>3513</v>
      </c>
      <c r="B1890" t="s">
        <v>959</v>
      </c>
      <c r="C1890" t="s">
        <v>995</v>
      </c>
      <c r="D1890" t="s">
        <v>7009</v>
      </c>
      <c r="E1890">
        <v>4.842439878858483</v>
      </c>
    </row>
    <row r="1891" spans="1:5">
      <c r="A1891" t="s">
        <v>3514</v>
      </c>
      <c r="B1891" t="s">
        <v>959</v>
      </c>
      <c r="C1891" t="s">
        <v>995</v>
      </c>
      <c r="D1891" t="s">
        <v>7010</v>
      </c>
      <c r="E1891">
        <v>3.72257440177227</v>
      </c>
    </row>
    <row r="1892" spans="1:5">
      <c r="A1892" t="s">
        <v>3515</v>
      </c>
      <c r="B1892" t="s">
        <v>959</v>
      </c>
      <c r="C1892" t="s">
        <v>995</v>
      </c>
      <c r="D1892" t="s">
        <v>7011</v>
      </c>
      <c r="E1892">
        <v>0.827718998650718</v>
      </c>
    </row>
    <row r="1893" spans="1:5">
      <c r="A1893" t="s">
        <v>3516</v>
      </c>
      <c r="B1893" t="s">
        <v>959</v>
      </c>
      <c r="C1893" t="s">
        <v>995</v>
      </c>
      <c r="D1893" t="s">
        <v>7012</v>
      </c>
      <c r="E1893">
        <v>171.6363216657119</v>
      </c>
    </row>
    <row r="1894" spans="1:5">
      <c r="A1894" t="s">
        <v>3517</v>
      </c>
      <c r="B1894" t="s">
        <v>959</v>
      </c>
      <c r="C1894" t="s">
        <v>995</v>
      </c>
      <c r="D1894" t="s">
        <v>7013</v>
      </c>
      <c r="E1894">
        <v>0.3239655217149042</v>
      </c>
    </row>
    <row r="1895" spans="1:5">
      <c r="A1895" t="s">
        <v>3518</v>
      </c>
      <c r="B1895" t="s">
        <v>959</v>
      </c>
      <c r="C1895" t="s">
        <v>995</v>
      </c>
      <c r="D1895" t="s">
        <v>7014</v>
      </c>
      <c r="E1895">
        <v>0.2129962684098916</v>
      </c>
    </row>
    <row r="1896" spans="1:5">
      <c r="A1896" t="s">
        <v>3519</v>
      </c>
      <c r="B1896" t="s">
        <v>959</v>
      </c>
      <c r="C1896" t="s">
        <v>995</v>
      </c>
      <c r="D1896" t="s">
        <v>6981</v>
      </c>
      <c r="E1896">
        <v>217.309112554245</v>
      </c>
    </row>
    <row r="1897" spans="1:5">
      <c r="A1897" t="s">
        <v>3520</v>
      </c>
      <c r="B1897" t="s">
        <v>959</v>
      </c>
      <c r="C1897" t="s">
        <v>995</v>
      </c>
      <c r="D1897" t="s">
        <v>7015</v>
      </c>
      <c r="E1897">
        <v>171.6363216657119</v>
      </c>
    </row>
    <row r="1898" spans="1:5">
      <c r="A1898" t="s">
        <v>3521</v>
      </c>
      <c r="B1898" t="s">
        <v>959</v>
      </c>
      <c r="C1898" t="s">
        <v>995</v>
      </c>
      <c r="D1898" t="s">
        <v>7016</v>
      </c>
      <c r="E1898">
        <v>179.5635069352249</v>
      </c>
    </row>
    <row r="1899" spans="1:5">
      <c r="A1899" t="s">
        <v>3522</v>
      </c>
      <c r="B1899" t="s">
        <v>959</v>
      </c>
      <c r="C1899" t="s">
        <v>995</v>
      </c>
      <c r="D1899" t="s">
        <v>7017</v>
      </c>
      <c r="E1899">
        <v>181.5277682620678</v>
      </c>
    </row>
    <row r="1900" spans="1:5">
      <c r="A1900" t="s">
        <v>3523</v>
      </c>
      <c r="B1900" t="s">
        <v>959</v>
      </c>
      <c r="C1900" t="s">
        <v>995</v>
      </c>
      <c r="D1900" t="s">
        <v>7018</v>
      </c>
      <c r="E1900">
        <v>153.6144722450096</v>
      </c>
    </row>
    <row r="1901" spans="1:5">
      <c r="A1901" t="s">
        <v>3524</v>
      </c>
      <c r="B1901" t="s">
        <v>959</v>
      </c>
      <c r="C1901" t="s">
        <v>995</v>
      </c>
      <c r="D1901" t="s">
        <v>7019</v>
      </c>
      <c r="E1901">
        <v>2.504888391338053</v>
      </c>
    </row>
    <row r="1902" spans="1:5">
      <c r="A1902" t="s">
        <v>3525</v>
      </c>
      <c r="B1902" t="s">
        <v>959</v>
      </c>
      <c r="C1902" t="s">
        <v>995</v>
      </c>
      <c r="D1902" t="s">
        <v>997</v>
      </c>
      <c r="E1902">
        <v>181.5277682620678</v>
      </c>
    </row>
    <row r="1903" spans="1:5">
      <c r="A1903" t="s">
        <v>3526</v>
      </c>
      <c r="B1903" t="s">
        <v>959</v>
      </c>
      <c r="C1903" t="s">
        <v>995</v>
      </c>
      <c r="D1903" t="s">
        <v>7020</v>
      </c>
      <c r="E1903">
        <v>817.0984672389588</v>
      </c>
    </row>
    <row r="1904" spans="1:5">
      <c r="A1904" t="s">
        <v>3527</v>
      </c>
      <c r="B1904" t="s">
        <v>959</v>
      </c>
      <c r="C1904" t="s">
        <v>995</v>
      </c>
      <c r="D1904" t="s">
        <v>7021</v>
      </c>
      <c r="E1904">
        <v>0.102281523770354</v>
      </c>
    </row>
    <row r="1905" spans="1:5">
      <c r="A1905" t="s">
        <v>3528</v>
      </c>
      <c r="B1905" t="s">
        <v>959</v>
      </c>
      <c r="C1905" t="s">
        <v>995</v>
      </c>
      <c r="D1905" t="s">
        <v>7022</v>
      </c>
      <c r="E1905">
        <v>307.2289444900192</v>
      </c>
    </row>
    <row r="1906" spans="1:5">
      <c r="A1906" t="s">
        <v>3529</v>
      </c>
      <c r="B1906" t="s">
        <v>959</v>
      </c>
      <c r="C1906" t="s">
        <v>995</v>
      </c>
      <c r="D1906" t="s">
        <v>7023</v>
      </c>
      <c r="E1906">
        <v>238.3299165127755</v>
      </c>
    </row>
    <row r="1907" spans="1:5">
      <c r="A1907" t="s">
        <v>3530</v>
      </c>
      <c r="B1907" t="s">
        <v>959</v>
      </c>
      <c r="C1907" t="s">
        <v>995</v>
      </c>
      <c r="D1907" t="s">
        <v>7024</v>
      </c>
      <c r="E1907">
        <v>44.14485332772318</v>
      </c>
    </row>
    <row r="1908" spans="1:5">
      <c r="A1908" t="s">
        <v>3531</v>
      </c>
      <c r="B1908" t="s">
        <v>959</v>
      </c>
      <c r="C1908" t="s">
        <v>995</v>
      </c>
      <c r="D1908" t="s">
        <v>6982</v>
      </c>
      <c r="E1908">
        <v>60.10594374914189</v>
      </c>
    </row>
    <row r="1909" spans="1:5">
      <c r="A1909" t="s">
        <v>3532</v>
      </c>
      <c r="B1909" t="s">
        <v>959</v>
      </c>
      <c r="C1909" t="s">
        <v>995</v>
      </c>
      <c r="D1909" t="s">
        <v>7025</v>
      </c>
      <c r="E1909">
        <v>307.2289444900192</v>
      </c>
    </row>
    <row r="1910" spans="1:5">
      <c r="A1910" t="s">
        <v>3533</v>
      </c>
      <c r="B1910" t="s">
        <v>959</v>
      </c>
      <c r="C1910" t="s">
        <v>995</v>
      </c>
      <c r="D1910" t="s">
        <v>7026</v>
      </c>
      <c r="E1910">
        <v>3.218425879498693</v>
      </c>
    </row>
    <row r="1911" spans="1:5">
      <c r="A1911" t="s">
        <v>3534</v>
      </c>
      <c r="B1911" t="s">
        <v>959</v>
      </c>
      <c r="C1911" t="s">
        <v>995</v>
      </c>
      <c r="D1911" t="s">
        <v>7027</v>
      </c>
      <c r="E1911">
        <v>21.52323931195948</v>
      </c>
    </row>
    <row r="1912" spans="1:5">
      <c r="A1912" t="s">
        <v>3535</v>
      </c>
      <c r="B1912" t="s">
        <v>959</v>
      </c>
      <c r="C1912" t="s">
        <v>995</v>
      </c>
      <c r="D1912" t="s">
        <v>7028</v>
      </c>
      <c r="E1912">
        <v>108.8157028093863</v>
      </c>
    </row>
    <row r="1913" spans="1:5">
      <c r="A1913" t="s">
        <v>3536</v>
      </c>
      <c r="B1913" t="s">
        <v>959</v>
      </c>
      <c r="C1913" t="s">
        <v>995</v>
      </c>
      <c r="D1913" t="s">
        <v>7029</v>
      </c>
      <c r="E1913">
        <v>153.6144722450096</v>
      </c>
    </row>
    <row r="1914" spans="1:5">
      <c r="A1914" t="s">
        <v>3537</v>
      </c>
      <c r="B1914" t="s">
        <v>959</v>
      </c>
      <c r="C1914" t="s">
        <v>995</v>
      </c>
      <c r="D1914" t="s">
        <v>6983</v>
      </c>
      <c r="E1914">
        <v>220.6808030442036</v>
      </c>
    </row>
    <row r="1915" spans="1:5">
      <c r="A1915" t="s">
        <v>3538</v>
      </c>
      <c r="B1915" t="s">
        <v>959</v>
      </c>
      <c r="C1915" t="s">
        <v>995</v>
      </c>
      <c r="D1915" t="s">
        <v>7030</v>
      </c>
      <c r="E1915">
        <v>0.1325488048195909</v>
      </c>
    </row>
    <row r="1916" spans="1:5">
      <c r="A1916" t="s">
        <v>3539</v>
      </c>
      <c r="B1916" t="s">
        <v>959</v>
      </c>
      <c r="C1916" t="s">
        <v>995</v>
      </c>
      <c r="D1916" t="s">
        <v>6984</v>
      </c>
      <c r="E1916">
        <v>386.9196327375763</v>
      </c>
    </row>
    <row r="1917" spans="1:5">
      <c r="A1917" t="s">
        <v>3540</v>
      </c>
      <c r="B1917" t="s">
        <v>959</v>
      </c>
      <c r="C1917" t="s">
        <v>995</v>
      </c>
      <c r="D1917" t="s">
        <v>7031</v>
      </c>
      <c r="E1917">
        <v>13477.48756785484</v>
      </c>
    </row>
    <row r="1918" spans="1:5">
      <c r="A1918" t="s">
        <v>3541</v>
      </c>
      <c r="B1918" t="s">
        <v>959</v>
      </c>
      <c r="C1918" t="s">
        <v>995</v>
      </c>
      <c r="D1918" t="s">
        <v>7032</v>
      </c>
      <c r="E1918">
        <v>0.3409800190576774</v>
      </c>
    </row>
    <row r="1919" spans="1:5">
      <c r="A1919" t="s">
        <v>3542</v>
      </c>
      <c r="B1919" t="s">
        <v>959</v>
      </c>
      <c r="C1919" t="s">
        <v>995</v>
      </c>
      <c r="D1919" t="s">
        <v>7033</v>
      </c>
      <c r="E1919">
        <v>45.30666183957035</v>
      </c>
    </row>
    <row r="1920" spans="1:5">
      <c r="A1920" t="s">
        <v>3543</v>
      </c>
      <c r="B1920" t="s">
        <v>959</v>
      </c>
      <c r="C1920" t="s">
        <v>995</v>
      </c>
      <c r="D1920" t="s">
        <v>6985</v>
      </c>
      <c r="E1920">
        <v>45.24113529762787</v>
      </c>
    </row>
    <row r="1921" spans="1:5">
      <c r="A1921" t="s">
        <v>3544</v>
      </c>
      <c r="B1921" t="s">
        <v>959</v>
      </c>
      <c r="C1921" t="s">
        <v>995</v>
      </c>
      <c r="D1921" t="s">
        <v>7034</v>
      </c>
      <c r="E1921">
        <v>0.08561708131258416</v>
      </c>
    </row>
    <row r="1922" spans="1:5">
      <c r="A1922" t="s">
        <v>3545</v>
      </c>
      <c r="B1922" t="s">
        <v>959</v>
      </c>
      <c r="C1922" t="s">
        <v>995</v>
      </c>
      <c r="D1922" t="s">
        <v>7035</v>
      </c>
      <c r="E1922">
        <v>0.6654730969485249</v>
      </c>
    </row>
    <row r="1923" spans="1:5">
      <c r="A1923" t="s">
        <v>3546</v>
      </c>
      <c r="B1923" t="s">
        <v>959</v>
      </c>
      <c r="C1923" t="s">
        <v>995</v>
      </c>
      <c r="D1923" t="s">
        <v>7036</v>
      </c>
      <c r="E1923">
        <v>12.80120694353634</v>
      </c>
    </row>
    <row r="1924" spans="1:5">
      <c r="A1924" t="s">
        <v>3547</v>
      </c>
      <c r="B1924" t="s">
        <v>959</v>
      </c>
      <c r="C1924" t="s">
        <v>995</v>
      </c>
      <c r="D1924" t="s">
        <v>7037</v>
      </c>
      <c r="E1924">
        <v>3.21985630073006</v>
      </c>
    </row>
    <row r="1925" spans="1:5">
      <c r="A1925" t="s">
        <v>3548</v>
      </c>
      <c r="B1925" t="s">
        <v>959</v>
      </c>
      <c r="C1925" t="s">
        <v>995</v>
      </c>
      <c r="D1925" t="s">
        <v>6986</v>
      </c>
      <c r="E1925">
        <v>14.67717426321847</v>
      </c>
    </row>
    <row r="1926" spans="1:5">
      <c r="A1926" t="s">
        <v>3549</v>
      </c>
      <c r="B1926" t="s">
        <v>959</v>
      </c>
      <c r="C1926" t="s">
        <v>995</v>
      </c>
      <c r="D1926" t="s">
        <v>7038</v>
      </c>
      <c r="E1926">
        <v>1.728715066299478</v>
      </c>
    </row>
    <row r="1927" spans="1:5">
      <c r="A1927" t="s">
        <v>3550</v>
      </c>
      <c r="B1927" t="s">
        <v>959</v>
      </c>
      <c r="C1927" t="s">
        <v>995</v>
      </c>
      <c r="D1927" t="s">
        <v>6987</v>
      </c>
      <c r="E1927">
        <v>47.58183849425667</v>
      </c>
    </row>
    <row r="1928" spans="1:5">
      <c r="A1928" t="s">
        <v>3551</v>
      </c>
      <c r="B1928" t="s">
        <v>959</v>
      </c>
      <c r="C1928" t="s">
        <v>995</v>
      </c>
      <c r="D1928" t="s">
        <v>7039</v>
      </c>
      <c r="E1928">
        <v>5.253762436489453</v>
      </c>
    </row>
    <row r="1929" spans="1:5">
      <c r="A1929" t="s">
        <v>3552</v>
      </c>
      <c r="B1929" t="s">
        <v>959</v>
      </c>
      <c r="C1929" t="s">
        <v>995</v>
      </c>
      <c r="D1929" t="s">
        <v>7040</v>
      </c>
      <c r="E1929">
        <v>2.291716530448497</v>
      </c>
    </row>
    <row r="1930" spans="1:5">
      <c r="A1930" t="s">
        <v>3553</v>
      </c>
      <c r="B1930" t="s">
        <v>959</v>
      </c>
      <c r="C1930" t="s">
        <v>995</v>
      </c>
      <c r="D1930" t="s">
        <v>7041</v>
      </c>
      <c r="E1930">
        <v>5.900704429894529</v>
      </c>
    </row>
    <row r="1931" spans="1:5">
      <c r="A1931" t="s">
        <v>3554</v>
      </c>
      <c r="B1931" t="s">
        <v>959</v>
      </c>
      <c r="C1931" t="s">
        <v>995</v>
      </c>
      <c r="D1931" t="s">
        <v>7042</v>
      </c>
      <c r="E1931">
        <v>20.48193081426009</v>
      </c>
    </row>
    <row r="1932" spans="1:5">
      <c r="A1932" t="s">
        <v>3555</v>
      </c>
      <c r="B1932" t="s">
        <v>959</v>
      </c>
      <c r="C1932" t="s">
        <v>995</v>
      </c>
      <c r="D1932" t="s">
        <v>7043</v>
      </c>
      <c r="E1932">
        <v>1.905772666723372</v>
      </c>
    </row>
    <row r="1933" spans="1:5">
      <c r="A1933" t="s">
        <v>3556</v>
      </c>
      <c r="B1933" t="s">
        <v>959</v>
      </c>
      <c r="C1933" t="s">
        <v>995</v>
      </c>
      <c r="D1933" t="s">
        <v>7044</v>
      </c>
      <c r="E1933">
        <v>138.7283411247454</v>
      </c>
    </row>
    <row r="1934" spans="1:5">
      <c r="A1934" t="s">
        <v>3557</v>
      </c>
      <c r="B1934" t="s">
        <v>959</v>
      </c>
      <c r="C1934" t="s">
        <v>995</v>
      </c>
      <c r="D1934" t="s">
        <v>7045</v>
      </c>
      <c r="E1934">
        <v>410.7855763523544</v>
      </c>
    </row>
    <row r="1935" spans="1:5">
      <c r="A1935" t="s">
        <v>3558</v>
      </c>
      <c r="B1935" t="s">
        <v>959</v>
      </c>
      <c r="C1935" t="s">
        <v>995</v>
      </c>
      <c r="D1935" t="s">
        <v>7046</v>
      </c>
      <c r="E1935">
        <v>47.58184487113783</v>
      </c>
    </row>
    <row r="1936" spans="1:5">
      <c r="A1936" t="s">
        <v>3559</v>
      </c>
      <c r="B1936" t="s">
        <v>959</v>
      </c>
      <c r="C1936" t="s">
        <v>995</v>
      </c>
      <c r="D1936" t="s">
        <v>6988</v>
      </c>
      <c r="E1936">
        <v>410.7841504954345</v>
      </c>
    </row>
    <row r="1937" spans="1:5">
      <c r="A1937" t="s">
        <v>3560</v>
      </c>
      <c r="B1937" t="s">
        <v>959</v>
      </c>
      <c r="C1937" t="s">
        <v>995</v>
      </c>
      <c r="D1937" t="s">
        <v>7047</v>
      </c>
      <c r="E1937">
        <v>114.5864655708838</v>
      </c>
    </row>
    <row r="1938" spans="1:5">
      <c r="A1938" t="s">
        <v>3561</v>
      </c>
      <c r="B1938" t="s">
        <v>959</v>
      </c>
      <c r="C1938" t="s">
        <v>995</v>
      </c>
      <c r="D1938" t="s">
        <v>7048</v>
      </c>
      <c r="E1938">
        <v>410.7855763523544</v>
      </c>
    </row>
    <row r="1939" spans="1:5">
      <c r="A1939" t="s">
        <v>3562</v>
      </c>
      <c r="B1939" t="s">
        <v>959</v>
      </c>
      <c r="C1939" t="s">
        <v>995</v>
      </c>
      <c r="D1939" t="s">
        <v>7049</v>
      </c>
      <c r="E1939">
        <v>25.99525362101308</v>
      </c>
    </row>
    <row r="1940" spans="1:5">
      <c r="A1940" t="s">
        <v>3563</v>
      </c>
      <c r="B1940" t="s">
        <v>959</v>
      </c>
      <c r="C1940" t="s">
        <v>995</v>
      </c>
      <c r="D1940" t="s">
        <v>7050</v>
      </c>
      <c r="E1940">
        <v>410.7855763523544</v>
      </c>
    </row>
    <row r="1941" spans="1:5">
      <c r="A1941" t="s">
        <v>3564</v>
      </c>
      <c r="B1941" t="s">
        <v>959</v>
      </c>
      <c r="C1941" t="s">
        <v>995</v>
      </c>
      <c r="D1941" t="s">
        <v>7051</v>
      </c>
      <c r="E1941">
        <v>4.130643652760509</v>
      </c>
    </row>
    <row r="1942" spans="1:5">
      <c r="A1942" t="s">
        <v>3565</v>
      </c>
      <c r="B1942" t="s">
        <v>959</v>
      </c>
      <c r="C1942" t="s">
        <v>995</v>
      </c>
      <c r="D1942" t="s">
        <v>7052</v>
      </c>
      <c r="E1942">
        <v>0.03495125715148908</v>
      </c>
    </row>
    <row r="1943" spans="1:5">
      <c r="A1943" t="s">
        <v>3566</v>
      </c>
      <c r="B1943" t="s">
        <v>959</v>
      </c>
      <c r="C1943" t="s">
        <v>995</v>
      </c>
      <c r="D1943" t="s">
        <v>7053</v>
      </c>
      <c r="E1943">
        <v>40.08900570558804</v>
      </c>
    </row>
    <row r="1944" spans="1:5">
      <c r="A1944" t="s">
        <v>3567</v>
      </c>
      <c r="B1944" t="s">
        <v>959</v>
      </c>
      <c r="C1944" t="s">
        <v>995</v>
      </c>
      <c r="D1944" t="s">
        <v>7054</v>
      </c>
      <c r="E1944">
        <v>1.462023283834818</v>
      </c>
    </row>
    <row r="1945" spans="1:5">
      <c r="A1945" t="s">
        <v>3568</v>
      </c>
      <c r="B1945" t="s">
        <v>959</v>
      </c>
      <c r="C1945" t="s">
        <v>995</v>
      </c>
      <c r="D1945" t="s">
        <v>6989</v>
      </c>
      <c r="E1945">
        <v>39.18604653729572</v>
      </c>
    </row>
    <row r="1946" spans="1:5">
      <c r="A1946" t="s">
        <v>3569</v>
      </c>
      <c r="B1946" t="s">
        <v>959</v>
      </c>
      <c r="C1946" t="s">
        <v>995</v>
      </c>
      <c r="D1946" t="s">
        <v>7055</v>
      </c>
      <c r="E1946">
        <v>11.48245103833421</v>
      </c>
    </row>
    <row r="1947" spans="1:5">
      <c r="A1947" t="s">
        <v>3570</v>
      </c>
      <c r="B1947" t="s">
        <v>959</v>
      </c>
      <c r="C1947" t="s">
        <v>995</v>
      </c>
      <c r="D1947" t="s">
        <v>7056</v>
      </c>
      <c r="E1947">
        <v>47.12156811998142</v>
      </c>
    </row>
    <row r="1948" spans="1:5">
      <c r="A1948" t="s">
        <v>3571</v>
      </c>
      <c r="B1948" t="s">
        <v>959</v>
      </c>
      <c r="C1948" t="s">
        <v>995</v>
      </c>
      <c r="D1948" t="s">
        <v>7057</v>
      </c>
      <c r="E1948">
        <v>2.340034533552354</v>
      </c>
    </row>
    <row r="1949" spans="1:5">
      <c r="A1949" t="s">
        <v>3572</v>
      </c>
      <c r="B1949" t="s">
        <v>959</v>
      </c>
      <c r="C1949" t="s">
        <v>995</v>
      </c>
      <c r="D1949" t="s">
        <v>6990</v>
      </c>
      <c r="E1949">
        <v>0.01695322424000941</v>
      </c>
    </row>
    <row r="1950" spans="1:5">
      <c r="A1950" t="s">
        <v>3573</v>
      </c>
      <c r="B1950" t="s">
        <v>959</v>
      </c>
      <c r="C1950" t="s">
        <v>995</v>
      </c>
      <c r="D1950" t="s">
        <v>6991</v>
      </c>
      <c r="E1950">
        <v>104.7790295829349</v>
      </c>
    </row>
    <row r="1951" spans="1:5">
      <c r="A1951" t="s">
        <v>3574</v>
      </c>
      <c r="B1951" t="s">
        <v>959</v>
      </c>
      <c r="C1951" t="s">
        <v>995</v>
      </c>
      <c r="D1951" t="s">
        <v>7058</v>
      </c>
      <c r="E1951">
        <v>410.7855763523544</v>
      </c>
    </row>
    <row r="1952" spans="1:5">
      <c r="A1952" t="s">
        <v>3575</v>
      </c>
      <c r="B1952" t="s">
        <v>959</v>
      </c>
      <c r="C1952" t="s">
        <v>995</v>
      </c>
      <c r="D1952" t="s">
        <v>6992</v>
      </c>
      <c r="E1952">
        <v>3.218363766838244</v>
      </c>
    </row>
    <row r="1953" spans="1:5">
      <c r="A1953" t="s">
        <v>3576</v>
      </c>
      <c r="B1953" t="s">
        <v>959</v>
      </c>
      <c r="C1953" t="s">
        <v>995</v>
      </c>
      <c r="D1953" t="s">
        <v>7059</v>
      </c>
      <c r="E1953">
        <v>0.2332061679088445</v>
      </c>
    </row>
    <row r="1954" spans="1:5">
      <c r="A1954" t="s">
        <v>3577</v>
      </c>
      <c r="B1954" t="s">
        <v>959</v>
      </c>
      <c r="C1954" t="s">
        <v>995</v>
      </c>
      <c r="D1954" t="s">
        <v>7060</v>
      </c>
      <c r="E1954">
        <v>0.0002219689065188057</v>
      </c>
    </row>
    <row r="1955" spans="1:5">
      <c r="A1955" t="s">
        <v>3578</v>
      </c>
      <c r="B1955" t="s">
        <v>959</v>
      </c>
      <c r="C1955" t="s">
        <v>995</v>
      </c>
      <c r="D1955" t="s">
        <v>6993</v>
      </c>
      <c r="E1955">
        <v>2.472429952132539</v>
      </c>
    </row>
    <row r="1956" spans="1:5">
      <c r="A1956" t="s">
        <v>3579</v>
      </c>
      <c r="B1956" t="s">
        <v>959</v>
      </c>
      <c r="C1956" t="s">
        <v>995</v>
      </c>
      <c r="D1956" t="s">
        <v>7061</v>
      </c>
      <c r="E1956">
        <v>410.7855763523544</v>
      </c>
    </row>
    <row r="1957" spans="1:5">
      <c r="A1957" t="s">
        <v>3580</v>
      </c>
      <c r="B1957" t="s">
        <v>959</v>
      </c>
      <c r="C1957" t="s">
        <v>995</v>
      </c>
      <c r="D1957" t="s">
        <v>7062</v>
      </c>
      <c r="E1957">
        <v>1.925720666964553</v>
      </c>
    </row>
    <row r="1958" spans="1:5">
      <c r="A1958" t="s">
        <v>3581</v>
      </c>
      <c r="B1958" t="s">
        <v>959</v>
      </c>
      <c r="C1958" t="s">
        <v>995</v>
      </c>
      <c r="D1958" t="s">
        <v>7063</v>
      </c>
      <c r="E1958">
        <v>433.3270944882947</v>
      </c>
    </row>
    <row r="1959" spans="1:5">
      <c r="A1959" t="s">
        <v>3582</v>
      </c>
      <c r="B1959" t="s">
        <v>959</v>
      </c>
      <c r="C1959" t="s">
        <v>995</v>
      </c>
      <c r="D1959" t="s">
        <v>6994</v>
      </c>
      <c r="E1959">
        <v>1.917963560797263</v>
      </c>
    </row>
    <row r="1960" spans="1:5">
      <c r="A1960" t="s">
        <v>3583</v>
      </c>
      <c r="B1960" t="s">
        <v>959</v>
      </c>
      <c r="C1960" t="s">
        <v>995</v>
      </c>
      <c r="D1960" t="s">
        <v>7064</v>
      </c>
      <c r="E1960">
        <v>2.366703947098402</v>
      </c>
    </row>
    <row r="1961" spans="1:5">
      <c r="A1961" t="s">
        <v>3584</v>
      </c>
      <c r="B1961" t="s">
        <v>959</v>
      </c>
      <c r="C1961" t="s">
        <v>995</v>
      </c>
      <c r="D1961" t="s">
        <v>7065</v>
      </c>
      <c r="E1961">
        <v>3.488409444657232</v>
      </c>
    </row>
    <row r="1962" spans="1:5">
      <c r="A1962" t="s">
        <v>3585</v>
      </c>
      <c r="B1962" t="s">
        <v>959</v>
      </c>
      <c r="C1962" t="s">
        <v>995</v>
      </c>
      <c r="D1962" t="s">
        <v>7066</v>
      </c>
      <c r="E1962">
        <v>0.07574217417858377</v>
      </c>
    </row>
    <row r="1963" spans="1:5">
      <c r="A1963" t="s">
        <v>3586</v>
      </c>
      <c r="B1963" t="s">
        <v>959</v>
      </c>
      <c r="C1963" t="s">
        <v>995</v>
      </c>
      <c r="D1963" t="s">
        <v>7067</v>
      </c>
      <c r="E1963">
        <v>217.2895619598553</v>
      </c>
    </row>
    <row r="1964" spans="1:5">
      <c r="A1964" t="s">
        <v>3587</v>
      </c>
      <c r="B1964" t="s">
        <v>959</v>
      </c>
      <c r="C1964" t="s">
        <v>995</v>
      </c>
      <c r="D1964" t="s">
        <v>7068</v>
      </c>
      <c r="E1964">
        <v>0.7216681479629509</v>
      </c>
    </row>
    <row r="1965" spans="1:5">
      <c r="A1965" t="s">
        <v>3588</v>
      </c>
      <c r="B1965" t="s">
        <v>959</v>
      </c>
      <c r="C1965" t="s">
        <v>995</v>
      </c>
      <c r="D1965" t="s">
        <v>6995</v>
      </c>
      <c r="E1965">
        <v>0.1979988403087318</v>
      </c>
    </row>
    <row r="1966" spans="1:5">
      <c r="A1966" t="s">
        <v>3589</v>
      </c>
      <c r="B1966" t="s">
        <v>959</v>
      </c>
      <c r="C1966" t="s">
        <v>995</v>
      </c>
      <c r="D1966" t="s">
        <v>7069</v>
      </c>
      <c r="E1966">
        <v>995.6321737545395</v>
      </c>
    </row>
    <row r="1967" spans="1:5">
      <c r="A1967" t="s">
        <v>3590</v>
      </c>
      <c r="B1967" t="s">
        <v>959</v>
      </c>
      <c r="C1967" t="s">
        <v>995</v>
      </c>
      <c r="D1967" t="s">
        <v>7070</v>
      </c>
      <c r="E1967">
        <v>368.674733388023</v>
      </c>
    </row>
    <row r="1968" spans="1:5">
      <c r="A1968" t="s">
        <v>3591</v>
      </c>
      <c r="B1968" t="s">
        <v>959</v>
      </c>
      <c r="C1968" t="s">
        <v>995</v>
      </c>
      <c r="D1968" t="s">
        <v>7071</v>
      </c>
      <c r="E1968">
        <v>0.6300232644288243</v>
      </c>
    </row>
    <row r="1969" spans="1:5">
      <c r="A1969" t="s">
        <v>3592</v>
      </c>
      <c r="B1969" t="s">
        <v>959</v>
      </c>
      <c r="C1969" t="s">
        <v>995</v>
      </c>
      <c r="D1969" t="s">
        <v>7072</v>
      </c>
      <c r="E1969">
        <v>0.0139363235882349</v>
      </c>
    </row>
    <row r="1970" spans="1:5">
      <c r="A1970" t="s">
        <v>3593</v>
      </c>
      <c r="B1970" t="s">
        <v>959</v>
      </c>
      <c r="C1970" t="s">
        <v>995</v>
      </c>
      <c r="D1970" t="s">
        <v>7073</v>
      </c>
      <c r="E1970">
        <v>0.003432725921030245</v>
      </c>
    </row>
    <row r="1971" spans="1:5">
      <c r="A1971" t="s">
        <v>3594</v>
      </c>
      <c r="B1971" t="s">
        <v>959</v>
      </c>
      <c r="C1971" t="s">
        <v>995</v>
      </c>
      <c r="D1971" t="s">
        <v>7074</v>
      </c>
      <c r="E1971">
        <v>0.9116706473326293</v>
      </c>
    </row>
    <row r="1972" spans="1:5">
      <c r="A1972" t="s">
        <v>3595</v>
      </c>
      <c r="B1972" t="s">
        <v>959</v>
      </c>
      <c r="C1972" t="s">
        <v>995</v>
      </c>
      <c r="D1972" t="s">
        <v>7075</v>
      </c>
      <c r="E1972">
        <v>1.674491628804785</v>
      </c>
    </row>
    <row r="1973" spans="1:5">
      <c r="A1973" t="s">
        <v>3596</v>
      </c>
      <c r="B1973" t="s">
        <v>959</v>
      </c>
      <c r="C1973" t="s">
        <v>995</v>
      </c>
      <c r="D1973" t="s">
        <v>7076</v>
      </c>
      <c r="E1973">
        <v>18.65875739689129</v>
      </c>
    </row>
    <row r="1974" spans="1:5">
      <c r="A1974" t="s">
        <v>3597</v>
      </c>
      <c r="B1974" t="s">
        <v>959</v>
      </c>
      <c r="C1974" t="s">
        <v>995</v>
      </c>
      <c r="D1974" t="s">
        <v>7077</v>
      </c>
      <c r="E1974">
        <v>48.00060771822425</v>
      </c>
    </row>
    <row r="1975" spans="1:5">
      <c r="A1975" t="s">
        <v>3598</v>
      </c>
      <c r="B1975" t="s">
        <v>959</v>
      </c>
      <c r="C1975" t="s">
        <v>995</v>
      </c>
      <c r="D1975" t="s">
        <v>7078</v>
      </c>
      <c r="E1975">
        <v>33.26007100041829</v>
      </c>
    </row>
    <row r="1976" spans="1:5">
      <c r="A1976" t="s">
        <v>3599</v>
      </c>
      <c r="B1976" t="s">
        <v>959</v>
      </c>
      <c r="C1976" t="s">
        <v>995</v>
      </c>
      <c r="D1976" t="s">
        <v>7079</v>
      </c>
      <c r="E1976">
        <v>17.63858014969849</v>
      </c>
    </row>
    <row r="1977" spans="1:5">
      <c r="A1977" t="s">
        <v>3600</v>
      </c>
      <c r="B1977" t="s">
        <v>959</v>
      </c>
      <c r="C1977" t="s">
        <v>995</v>
      </c>
      <c r="D1977" t="s">
        <v>7080</v>
      </c>
      <c r="E1977">
        <v>0.07331050698609384</v>
      </c>
    </row>
    <row r="1978" spans="1:5">
      <c r="A1978" t="s">
        <v>3601</v>
      </c>
      <c r="B1978" t="s">
        <v>959</v>
      </c>
      <c r="C1978" t="s">
        <v>995</v>
      </c>
      <c r="D1978" t="s">
        <v>7081</v>
      </c>
      <c r="E1978">
        <v>5.756614219444927</v>
      </c>
    </row>
    <row r="1979" spans="1:5">
      <c r="A1979" t="s">
        <v>3602</v>
      </c>
      <c r="B1979" t="s">
        <v>959</v>
      </c>
      <c r="C1979" t="s">
        <v>995</v>
      </c>
      <c r="D1979" t="s">
        <v>7082</v>
      </c>
      <c r="E1979">
        <v>0.1454993273154868</v>
      </c>
    </row>
    <row r="1980" spans="1:5">
      <c r="A1980" t="s">
        <v>3603</v>
      </c>
      <c r="B1980" t="s">
        <v>959</v>
      </c>
      <c r="C1980" t="s">
        <v>995</v>
      </c>
      <c r="D1980" t="s">
        <v>7083</v>
      </c>
      <c r="E1980">
        <v>0.08683534361978172</v>
      </c>
    </row>
    <row r="1981" spans="1:5">
      <c r="A1981" t="s">
        <v>3604</v>
      </c>
      <c r="B1981" t="s">
        <v>959</v>
      </c>
      <c r="C1981" t="s">
        <v>995</v>
      </c>
      <c r="D1981" t="s">
        <v>7084</v>
      </c>
      <c r="E1981">
        <v>38.0216901032271</v>
      </c>
    </row>
    <row r="1982" spans="1:5">
      <c r="A1982" t="s">
        <v>3605</v>
      </c>
      <c r="B1982" t="s">
        <v>959</v>
      </c>
      <c r="C1982" t="s">
        <v>995</v>
      </c>
      <c r="D1982" t="s">
        <v>7085</v>
      </c>
      <c r="E1982">
        <v>7.645973203540372</v>
      </c>
    </row>
    <row r="1983" spans="1:5">
      <c r="A1983" t="s">
        <v>3606</v>
      </c>
      <c r="B1983" t="s">
        <v>959</v>
      </c>
      <c r="C1983" t="s">
        <v>995</v>
      </c>
      <c r="D1983" t="s">
        <v>7086</v>
      </c>
      <c r="E1983">
        <v>6.427651595468112</v>
      </c>
    </row>
    <row r="1984" spans="1:5">
      <c r="A1984" t="s">
        <v>3607</v>
      </c>
      <c r="B1984" t="s">
        <v>959</v>
      </c>
      <c r="C1984" t="s">
        <v>995</v>
      </c>
      <c r="D1984" t="s">
        <v>7087</v>
      </c>
      <c r="E1984">
        <v>19.78315684811443</v>
      </c>
    </row>
    <row r="1985" spans="1:5">
      <c r="A1985" t="s">
        <v>3608</v>
      </c>
      <c r="B1985" t="s">
        <v>959</v>
      </c>
      <c r="C1985" t="s">
        <v>995</v>
      </c>
      <c r="D1985" t="s">
        <v>7088</v>
      </c>
      <c r="E1985">
        <v>0.1754282802554065</v>
      </c>
    </row>
    <row r="1986" spans="1:5">
      <c r="A1986" t="s">
        <v>3609</v>
      </c>
      <c r="B1986" t="s">
        <v>959</v>
      </c>
      <c r="C1986" t="s">
        <v>995</v>
      </c>
      <c r="D1986" t="s">
        <v>6996</v>
      </c>
      <c r="E1986">
        <v>17.62647185992336</v>
      </c>
    </row>
    <row r="1987" spans="1:5">
      <c r="A1987" t="s">
        <v>3610</v>
      </c>
      <c r="B1987" t="s">
        <v>959</v>
      </c>
      <c r="C1987" t="s">
        <v>995</v>
      </c>
      <c r="D1987" t="s">
        <v>6997</v>
      </c>
      <c r="E1987">
        <v>76.15971065795263</v>
      </c>
    </row>
    <row r="1988" spans="1:5">
      <c r="A1988" t="s">
        <v>3611</v>
      </c>
      <c r="B1988" t="s">
        <v>959</v>
      </c>
      <c r="C1988" t="s">
        <v>995</v>
      </c>
      <c r="D1988" t="s">
        <v>7089</v>
      </c>
      <c r="E1988">
        <v>4.798790116102926</v>
      </c>
    </row>
    <row r="1989" spans="1:5">
      <c r="A1989" t="s">
        <v>3612</v>
      </c>
      <c r="B1989" t="s">
        <v>959</v>
      </c>
      <c r="C1989" t="s">
        <v>995</v>
      </c>
      <c r="D1989" t="s">
        <v>7090</v>
      </c>
      <c r="E1989">
        <v>18.65875739689129</v>
      </c>
    </row>
    <row r="1990" spans="1:5">
      <c r="A1990" t="s">
        <v>3613</v>
      </c>
      <c r="B1990" t="s">
        <v>959</v>
      </c>
      <c r="C1990" t="s">
        <v>995</v>
      </c>
      <c r="D1990" t="s">
        <v>7091</v>
      </c>
      <c r="E1990">
        <v>0.2271918999916817</v>
      </c>
    </row>
    <row r="1991" spans="1:5">
      <c r="A1991" t="s">
        <v>3614</v>
      </c>
      <c r="B1991" t="s">
        <v>959</v>
      </c>
      <c r="C1991" t="s">
        <v>995</v>
      </c>
      <c r="D1991" t="s">
        <v>7092</v>
      </c>
      <c r="E1991">
        <v>8.305715959181269</v>
      </c>
    </row>
    <row r="1992" spans="1:5">
      <c r="A1992" t="s">
        <v>3615</v>
      </c>
      <c r="B1992" t="s">
        <v>959</v>
      </c>
      <c r="C1992" t="s">
        <v>995</v>
      </c>
      <c r="D1992" t="s">
        <v>6998</v>
      </c>
      <c r="E1992">
        <v>32.61356406603229</v>
      </c>
    </row>
    <row r="1993" spans="1:5">
      <c r="A1993" t="s">
        <v>3616</v>
      </c>
      <c r="B1993" t="s">
        <v>959</v>
      </c>
      <c r="C1993" t="s">
        <v>995</v>
      </c>
      <c r="D1993" t="s">
        <v>7093</v>
      </c>
      <c r="E1993">
        <v>2.011516176965991</v>
      </c>
    </row>
    <row r="1994" spans="1:5">
      <c r="A1994" t="s">
        <v>3617</v>
      </c>
      <c r="B1994" t="s">
        <v>959</v>
      </c>
      <c r="C1994" t="s">
        <v>995</v>
      </c>
      <c r="D1994" t="s">
        <v>6999</v>
      </c>
      <c r="E1994">
        <v>178.79127439551</v>
      </c>
    </row>
    <row r="1995" spans="1:5">
      <c r="A1995" t="s">
        <v>3618</v>
      </c>
      <c r="B1995" t="s">
        <v>959</v>
      </c>
      <c r="C1995" t="s">
        <v>995</v>
      </c>
      <c r="D1995" t="s">
        <v>7094</v>
      </c>
      <c r="E1995">
        <v>799.0418248640085</v>
      </c>
    </row>
    <row r="1996" spans="1:5">
      <c r="A1996" t="s">
        <v>3619</v>
      </c>
      <c r="B1996" t="s">
        <v>959</v>
      </c>
      <c r="C1996" t="s">
        <v>995</v>
      </c>
      <c r="D1996" t="s">
        <v>7095</v>
      </c>
      <c r="E1996">
        <v>307.2289444900192</v>
      </c>
    </row>
    <row r="1997" spans="1:5">
      <c r="A1997" t="s">
        <v>3620</v>
      </c>
      <c r="B1997" t="s">
        <v>959</v>
      </c>
      <c r="C1997" t="s">
        <v>995</v>
      </c>
      <c r="D1997" t="s">
        <v>7096</v>
      </c>
      <c r="E1997">
        <v>89.32018284805724</v>
      </c>
    </row>
    <row r="1998" spans="1:5">
      <c r="A1998" t="s">
        <v>3621</v>
      </c>
      <c r="B1998" t="s">
        <v>959</v>
      </c>
      <c r="C1998" t="s">
        <v>995</v>
      </c>
      <c r="D1998" t="s">
        <v>7097</v>
      </c>
      <c r="E1998">
        <v>69.95242653159457</v>
      </c>
    </row>
    <row r="1999" spans="1:5">
      <c r="A1999" t="s">
        <v>3622</v>
      </c>
      <c r="B1999" t="s">
        <v>959</v>
      </c>
      <c r="C1999" t="s">
        <v>995</v>
      </c>
      <c r="D1999" t="s">
        <v>7000</v>
      </c>
      <c r="E1999">
        <v>4.9805780752523</v>
      </c>
    </row>
    <row r="2000" spans="1:5">
      <c r="A2000" t="s">
        <v>3623</v>
      </c>
      <c r="B2000" t="s">
        <v>959</v>
      </c>
      <c r="C2000" t="s">
        <v>995</v>
      </c>
      <c r="D2000" t="s">
        <v>7098</v>
      </c>
      <c r="E2000">
        <v>1.104430098598716</v>
      </c>
    </row>
    <row r="2001" spans="1:5">
      <c r="A2001" t="s">
        <v>3624</v>
      </c>
      <c r="B2001" t="s">
        <v>959</v>
      </c>
      <c r="C2001" t="s">
        <v>995</v>
      </c>
      <c r="D2001" t="s">
        <v>7001</v>
      </c>
      <c r="E2001">
        <v>83.74166769858539</v>
      </c>
    </row>
    <row r="2002" spans="1:5">
      <c r="A2002" t="s">
        <v>3625</v>
      </c>
      <c r="B2002" t="s">
        <v>959</v>
      </c>
      <c r="C2002" t="s">
        <v>995</v>
      </c>
      <c r="D2002" t="s">
        <v>7099</v>
      </c>
      <c r="E2002">
        <v>0.05013228805995317</v>
      </c>
    </row>
    <row r="2003" spans="1:5">
      <c r="A2003" t="s">
        <v>3626</v>
      </c>
      <c r="B2003" t="s">
        <v>959</v>
      </c>
      <c r="C2003" t="s">
        <v>995</v>
      </c>
      <c r="D2003" t="s">
        <v>7100</v>
      </c>
      <c r="E2003">
        <v>84.4035698230351</v>
      </c>
    </row>
    <row r="2004" spans="1:5">
      <c r="A2004" t="s">
        <v>3627</v>
      </c>
      <c r="B2004" t="s">
        <v>959</v>
      </c>
      <c r="C2004" t="s">
        <v>995</v>
      </c>
      <c r="D2004" t="s">
        <v>7002</v>
      </c>
      <c r="E2004">
        <v>67.62908029391737</v>
      </c>
    </row>
    <row r="2005" spans="1:5">
      <c r="A2005" t="s">
        <v>3628</v>
      </c>
      <c r="B2005" t="s">
        <v>959</v>
      </c>
      <c r="C2005" t="s">
        <v>995</v>
      </c>
      <c r="D2005" t="s">
        <v>7101</v>
      </c>
      <c r="E2005">
        <v>3.025280075593007</v>
      </c>
    </row>
    <row r="2006" spans="1:5">
      <c r="A2006" t="s">
        <v>3629</v>
      </c>
      <c r="B2006" t="s">
        <v>959</v>
      </c>
      <c r="C2006" t="s">
        <v>995</v>
      </c>
      <c r="D2006" t="s">
        <v>7102</v>
      </c>
      <c r="E2006">
        <v>4.15034264594961</v>
      </c>
    </row>
    <row r="2007" spans="1:5">
      <c r="A2007" t="s">
        <v>3630</v>
      </c>
      <c r="B2007" t="s">
        <v>959</v>
      </c>
      <c r="C2007" t="s">
        <v>995</v>
      </c>
      <c r="D2007" t="s">
        <v>7103</v>
      </c>
      <c r="E2007">
        <v>0.2090641822707482</v>
      </c>
    </row>
    <row r="2008" spans="1:5">
      <c r="A2008" t="s">
        <v>3631</v>
      </c>
      <c r="B2008" t="s">
        <v>959</v>
      </c>
      <c r="C2008" t="s">
        <v>995</v>
      </c>
      <c r="D2008" t="s">
        <v>7104</v>
      </c>
      <c r="E2008">
        <v>81.92771853067178</v>
      </c>
    </row>
    <row r="2009" spans="1:5">
      <c r="A2009" t="s">
        <v>3632</v>
      </c>
      <c r="B2009" t="s">
        <v>959</v>
      </c>
      <c r="C2009" t="s">
        <v>995</v>
      </c>
      <c r="D2009" t="s">
        <v>7105</v>
      </c>
      <c r="E2009">
        <v>38.63683756784675</v>
      </c>
    </row>
    <row r="2010" spans="1:5">
      <c r="A2010" t="s">
        <v>3633</v>
      </c>
      <c r="B2010" t="s">
        <v>959</v>
      </c>
      <c r="C2010" t="s">
        <v>995</v>
      </c>
      <c r="D2010" t="s">
        <v>7106</v>
      </c>
      <c r="E2010">
        <v>20.77367971593966</v>
      </c>
    </row>
    <row r="2011" spans="1:5">
      <c r="A2011" t="s">
        <v>3634</v>
      </c>
      <c r="B2011" t="s">
        <v>959</v>
      </c>
      <c r="C2011" t="s">
        <v>995</v>
      </c>
      <c r="D2011" t="s">
        <v>7107</v>
      </c>
      <c r="E2011">
        <v>0.684669389614908</v>
      </c>
    </row>
    <row r="2012" spans="1:5">
      <c r="A2012" t="s">
        <v>3635</v>
      </c>
      <c r="B2012" t="s">
        <v>959</v>
      </c>
      <c r="C2012" t="s">
        <v>995</v>
      </c>
      <c r="D2012" t="s">
        <v>7003</v>
      </c>
      <c r="E2012">
        <v>32.55911837008091</v>
      </c>
    </row>
    <row r="2013" spans="1:5">
      <c r="A2013" t="s">
        <v>3636</v>
      </c>
      <c r="B2013" t="s">
        <v>959</v>
      </c>
      <c r="C2013" t="s">
        <v>995</v>
      </c>
      <c r="D2013" t="s">
        <v>7004</v>
      </c>
      <c r="E2013">
        <v>238.3292765690649</v>
      </c>
    </row>
    <row r="2014" spans="1:5">
      <c r="A2014" t="s">
        <v>3637</v>
      </c>
      <c r="B2014" t="s">
        <v>959</v>
      </c>
      <c r="C2014" t="s">
        <v>995</v>
      </c>
      <c r="D2014" t="s">
        <v>7108</v>
      </c>
      <c r="E2014">
        <v>410.7855763523544</v>
      </c>
    </row>
    <row r="2015" spans="1:5">
      <c r="A2015" t="s">
        <v>3638</v>
      </c>
      <c r="B2015" t="s">
        <v>959</v>
      </c>
      <c r="C2015" t="s">
        <v>995</v>
      </c>
      <c r="D2015" t="s">
        <v>7109</v>
      </c>
      <c r="E2015">
        <v>12.50739857878099</v>
      </c>
    </row>
    <row r="2016" spans="1:5">
      <c r="A2016" t="s">
        <v>3639</v>
      </c>
      <c r="B2016" t="s">
        <v>959</v>
      </c>
      <c r="C2016" t="s">
        <v>995</v>
      </c>
      <c r="D2016" t="s">
        <v>7110</v>
      </c>
      <c r="E2016">
        <v>0.0125108236146884</v>
      </c>
    </row>
    <row r="2017" spans="1:5">
      <c r="A2017" t="s">
        <v>3640</v>
      </c>
      <c r="B2017" t="s">
        <v>959</v>
      </c>
      <c r="C2017" t="s">
        <v>995</v>
      </c>
      <c r="D2017" t="s">
        <v>7111</v>
      </c>
      <c r="E2017">
        <v>0.5351782573314566</v>
      </c>
    </row>
    <row r="2018" spans="1:5">
      <c r="A2018" t="s">
        <v>3641</v>
      </c>
      <c r="B2018" t="s">
        <v>959</v>
      </c>
      <c r="C2018" t="s">
        <v>995</v>
      </c>
      <c r="D2018" t="s">
        <v>7112</v>
      </c>
      <c r="E2018">
        <v>8.221015733410445</v>
      </c>
    </row>
    <row r="2019" spans="1:5">
      <c r="A2019" t="s">
        <v>3642</v>
      </c>
      <c r="B2019" t="s">
        <v>959</v>
      </c>
      <c r="C2019" t="s">
        <v>995</v>
      </c>
      <c r="D2019" t="s">
        <v>7113</v>
      </c>
      <c r="E2019">
        <v>0.0650848705251848</v>
      </c>
    </row>
    <row r="2020" spans="1:5">
      <c r="A2020" t="s">
        <v>3643</v>
      </c>
      <c r="B2020" t="s">
        <v>959</v>
      </c>
      <c r="C2020" t="s">
        <v>995</v>
      </c>
      <c r="D2020" t="s">
        <v>7114</v>
      </c>
      <c r="E2020">
        <v>14.49132469387755</v>
      </c>
    </row>
    <row r="2021" spans="1:5">
      <c r="A2021" t="s">
        <v>3644</v>
      </c>
      <c r="B2021" t="s">
        <v>959</v>
      </c>
      <c r="C2021" t="s">
        <v>995</v>
      </c>
      <c r="D2021" t="s">
        <v>7115</v>
      </c>
      <c r="E2021">
        <v>2.696699977854454</v>
      </c>
    </row>
    <row r="2022" spans="1:5">
      <c r="A2022" t="s">
        <v>3645</v>
      </c>
      <c r="B2022" t="s">
        <v>959</v>
      </c>
      <c r="C2022" t="s">
        <v>995</v>
      </c>
      <c r="D2022" t="s">
        <v>7116</v>
      </c>
      <c r="E2022">
        <v>18.65875739689129</v>
      </c>
    </row>
    <row r="2023" spans="1:5">
      <c r="A2023" t="s">
        <v>3646</v>
      </c>
      <c r="B2023" t="s">
        <v>959</v>
      </c>
      <c r="C2023" t="s">
        <v>995</v>
      </c>
      <c r="D2023" t="s">
        <v>7005</v>
      </c>
      <c r="E2023">
        <v>9.369911800428104</v>
      </c>
    </row>
    <row r="2024" spans="1:5">
      <c r="A2024" t="s">
        <v>3647</v>
      </c>
      <c r="B2024" t="s">
        <v>959</v>
      </c>
      <c r="C2024" t="s">
        <v>995</v>
      </c>
      <c r="D2024" t="s">
        <v>7117</v>
      </c>
      <c r="E2024">
        <v>32.88295431159342</v>
      </c>
    </row>
    <row r="2025" spans="1:5">
      <c r="A2025" t="s">
        <v>3648</v>
      </c>
      <c r="B2025" t="s">
        <v>959</v>
      </c>
      <c r="C2025" t="s">
        <v>995</v>
      </c>
      <c r="D2025" t="s">
        <v>7118</v>
      </c>
      <c r="E2025">
        <v>87.13839356824512</v>
      </c>
    </row>
    <row r="2026" spans="1:5">
      <c r="A2026" t="s">
        <v>3649</v>
      </c>
      <c r="B2026" t="s">
        <v>959</v>
      </c>
      <c r="C2026" t="s">
        <v>995</v>
      </c>
      <c r="D2026" t="s">
        <v>7119</v>
      </c>
      <c r="E2026">
        <v>105.1250159891605</v>
      </c>
    </row>
    <row r="2027" spans="1:5">
      <c r="A2027" t="s">
        <v>3650</v>
      </c>
      <c r="B2027" t="s">
        <v>959</v>
      </c>
      <c r="C2027" t="s">
        <v>995</v>
      </c>
      <c r="D2027" t="s">
        <v>7120</v>
      </c>
      <c r="E2027">
        <v>129.3995129260121</v>
      </c>
    </row>
    <row r="2028" spans="1:5">
      <c r="A2028" t="s">
        <v>3651</v>
      </c>
      <c r="B2028" t="s">
        <v>959</v>
      </c>
      <c r="C2028" t="s">
        <v>995</v>
      </c>
      <c r="D2028" t="s">
        <v>7006</v>
      </c>
      <c r="E2028">
        <v>6.667692850932765</v>
      </c>
    </row>
    <row r="2029" spans="1:5">
      <c r="A2029" t="s">
        <v>3652</v>
      </c>
      <c r="B2029" t="s">
        <v>959</v>
      </c>
      <c r="C2029" t="s">
        <v>995</v>
      </c>
      <c r="D2029" t="s">
        <v>7121</v>
      </c>
      <c r="E2029">
        <v>41.54943316753153</v>
      </c>
    </row>
    <row r="2030" spans="1:5">
      <c r="A2030" t="s">
        <v>3653</v>
      </c>
      <c r="B2030" t="s">
        <v>959</v>
      </c>
      <c r="C2030" t="s">
        <v>995</v>
      </c>
      <c r="D2030" t="s">
        <v>7122</v>
      </c>
      <c r="E2030">
        <v>217.2895619598553</v>
      </c>
    </row>
    <row r="2031" spans="1:5">
      <c r="A2031" t="s">
        <v>3654</v>
      </c>
      <c r="B2031" t="s">
        <v>959</v>
      </c>
      <c r="C2031" t="s">
        <v>995</v>
      </c>
      <c r="D2031" t="s">
        <v>7123</v>
      </c>
      <c r="E2031">
        <v>9.743004060483129</v>
      </c>
    </row>
    <row r="2032" spans="1:5">
      <c r="A2032" t="s">
        <v>3655</v>
      </c>
      <c r="B2032" t="s">
        <v>959</v>
      </c>
      <c r="C2032" t="s">
        <v>995</v>
      </c>
      <c r="D2032" t="s">
        <v>7124</v>
      </c>
      <c r="E2032">
        <v>0.1182304684714059</v>
      </c>
    </row>
    <row r="2033" spans="1:5">
      <c r="A2033" t="s">
        <v>3656</v>
      </c>
      <c r="B2033" t="s">
        <v>959</v>
      </c>
      <c r="C2033" t="s">
        <v>995</v>
      </c>
      <c r="D2033" t="s">
        <v>7125</v>
      </c>
      <c r="E2033">
        <v>6.876821499626958</v>
      </c>
    </row>
    <row r="2034" spans="1:5">
      <c r="A2034" t="s">
        <v>3657</v>
      </c>
      <c r="B2034" t="s">
        <v>959</v>
      </c>
      <c r="C2034" t="s">
        <v>995</v>
      </c>
      <c r="D2034" t="s">
        <v>7126</v>
      </c>
      <c r="E2034">
        <v>0.08219443222685584</v>
      </c>
    </row>
    <row r="2035" spans="1:5">
      <c r="A2035" t="s">
        <v>3658</v>
      </c>
      <c r="B2035" t="s">
        <v>959</v>
      </c>
      <c r="C2035" t="s">
        <v>995</v>
      </c>
      <c r="D2035" t="s">
        <v>998</v>
      </c>
      <c r="E2035">
        <v>307.1449562602515</v>
      </c>
    </row>
    <row r="2036" spans="1:5">
      <c r="A2036" t="s">
        <v>3659</v>
      </c>
      <c r="B2036" t="s">
        <v>959</v>
      </c>
      <c r="C2036" t="s">
        <v>995</v>
      </c>
      <c r="D2036" t="s">
        <v>7127</v>
      </c>
      <c r="E2036">
        <v>7.585300686880138</v>
      </c>
    </row>
    <row r="2037" spans="1:5">
      <c r="A2037" t="s">
        <v>3660</v>
      </c>
      <c r="B2037" t="s">
        <v>959</v>
      </c>
      <c r="C2037" t="s">
        <v>995</v>
      </c>
      <c r="D2037" t="s">
        <v>7128</v>
      </c>
      <c r="E2037">
        <v>0.02540811061340286</v>
      </c>
    </row>
    <row r="2038" spans="1:5">
      <c r="A2038" t="s">
        <v>3661</v>
      </c>
      <c r="B2038" t="s">
        <v>959</v>
      </c>
      <c r="C2038" t="s">
        <v>995</v>
      </c>
      <c r="D2038" t="s">
        <v>7129</v>
      </c>
      <c r="E2038">
        <v>0.5417242290931568</v>
      </c>
    </row>
    <row r="2039" spans="1:5">
      <c r="A2039" t="s">
        <v>3662</v>
      </c>
      <c r="B2039" t="s">
        <v>959</v>
      </c>
      <c r="C2039" t="s">
        <v>995</v>
      </c>
      <c r="D2039" t="s">
        <v>7130</v>
      </c>
      <c r="E2039">
        <v>0.01169485276322468</v>
      </c>
    </row>
    <row r="2040" spans="1:5">
      <c r="A2040" t="s">
        <v>3663</v>
      </c>
      <c r="B2040" t="s">
        <v>959</v>
      </c>
      <c r="C2040" t="s">
        <v>995</v>
      </c>
      <c r="D2040" t="s">
        <v>7131</v>
      </c>
      <c r="E2040">
        <v>2.589082535721158</v>
      </c>
    </row>
    <row r="2041" spans="1:5">
      <c r="A2041" t="s">
        <v>3664</v>
      </c>
      <c r="B2041" t="s">
        <v>959</v>
      </c>
      <c r="C2041" t="s">
        <v>995</v>
      </c>
      <c r="D2041" t="s">
        <v>7132</v>
      </c>
      <c r="E2041">
        <v>113.8341534405869</v>
      </c>
    </row>
    <row r="2042" spans="1:5">
      <c r="A2042" t="s">
        <v>3665</v>
      </c>
      <c r="B2042" t="s">
        <v>959</v>
      </c>
      <c r="C2042" t="s">
        <v>995</v>
      </c>
      <c r="D2042" t="s">
        <v>7133</v>
      </c>
      <c r="E2042">
        <v>0.5412511109722131</v>
      </c>
    </row>
    <row r="2043" spans="1:5">
      <c r="A2043" t="s">
        <v>3666</v>
      </c>
      <c r="B2043" t="s">
        <v>959</v>
      </c>
      <c r="C2043" t="s">
        <v>995</v>
      </c>
      <c r="D2043" t="s">
        <v>7134</v>
      </c>
      <c r="E2043">
        <v>113.7885125468246</v>
      </c>
    </row>
    <row r="2044" spans="1:5">
      <c r="A2044" t="s">
        <v>3667</v>
      </c>
      <c r="B2044" t="s">
        <v>959</v>
      </c>
      <c r="C2044" t="s">
        <v>995</v>
      </c>
      <c r="D2044" t="s">
        <v>7135</v>
      </c>
      <c r="E2044">
        <v>171.6363216657119</v>
      </c>
    </row>
    <row r="2045" spans="1:5">
      <c r="A2045" t="s">
        <v>3668</v>
      </c>
      <c r="B2045" t="s">
        <v>959</v>
      </c>
      <c r="C2045" t="s">
        <v>995</v>
      </c>
      <c r="D2045" t="s">
        <v>7136</v>
      </c>
      <c r="E2045">
        <v>417.264041510454</v>
      </c>
    </row>
    <row r="2046" spans="1:5">
      <c r="A2046" t="s">
        <v>3669</v>
      </c>
      <c r="B2046" t="s">
        <v>959</v>
      </c>
      <c r="C2046" t="s">
        <v>995</v>
      </c>
      <c r="D2046" t="s">
        <v>7137</v>
      </c>
      <c r="E2046">
        <v>0.5412511109722131</v>
      </c>
    </row>
    <row r="2047" spans="1:5">
      <c r="A2047" t="s">
        <v>3670</v>
      </c>
      <c r="B2047" t="s">
        <v>959</v>
      </c>
      <c r="C2047" t="s">
        <v>995</v>
      </c>
      <c r="D2047" t="s">
        <v>7138</v>
      </c>
      <c r="E2047">
        <v>2.975207446451916</v>
      </c>
    </row>
    <row r="2048" spans="1:5">
      <c r="A2048" t="s">
        <v>3671</v>
      </c>
      <c r="B2048" t="s">
        <v>959</v>
      </c>
      <c r="C2048" t="s">
        <v>995</v>
      </c>
      <c r="D2048" t="s">
        <v>7139</v>
      </c>
      <c r="E2048">
        <v>1.281567928310344</v>
      </c>
    </row>
    <row r="2049" spans="1:5">
      <c r="A2049" t="s">
        <v>3672</v>
      </c>
      <c r="B2049" t="s">
        <v>959</v>
      </c>
      <c r="C2049" t="s">
        <v>995</v>
      </c>
      <c r="D2049" t="s">
        <v>7007</v>
      </c>
      <c r="E2049">
        <v>18.65859658010867</v>
      </c>
    </row>
    <row r="2050" spans="1:5">
      <c r="A2050" t="s">
        <v>3673</v>
      </c>
      <c r="B2050" t="s">
        <v>959</v>
      </c>
      <c r="C2050" t="s">
        <v>995</v>
      </c>
      <c r="D2050" t="s">
        <v>7140</v>
      </c>
      <c r="E2050">
        <v>17.32234443297116</v>
      </c>
    </row>
    <row r="2051" spans="1:5">
      <c r="A2051" t="s">
        <v>3674</v>
      </c>
      <c r="B2051" t="s">
        <v>959</v>
      </c>
      <c r="C2051" t="s">
        <v>995</v>
      </c>
      <c r="D2051" t="s">
        <v>7141</v>
      </c>
      <c r="E2051">
        <v>11.41100531600329</v>
      </c>
    </row>
    <row r="2052" spans="1:5">
      <c r="A2052" t="s">
        <v>3675</v>
      </c>
      <c r="B2052" t="s">
        <v>959</v>
      </c>
      <c r="C2052" t="s">
        <v>995</v>
      </c>
      <c r="D2052" t="s">
        <v>7142</v>
      </c>
      <c r="E2052">
        <v>11.41100531600329</v>
      </c>
    </row>
    <row r="2053" spans="1:5">
      <c r="A2053" t="s">
        <v>3511</v>
      </c>
      <c r="B2053" t="s">
        <v>959</v>
      </c>
      <c r="C2053" t="s">
        <v>995</v>
      </c>
      <c r="D2053" t="s">
        <v>996</v>
      </c>
      <c r="E2053">
        <v>355.037455</v>
      </c>
    </row>
    <row r="2054" spans="1:5">
      <c r="A2054" t="s">
        <v>3676</v>
      </c>
      <c r="B2054" t="s">
        <v>960</v>
      </c>
      <c r="C2054" t="s">
        <v>995</v>
      </c>
      <c r="D2054" t="s">
        <v>996</v>
      </c>
      <c r="E2054">
        <v>354.930361</v>
      </c>
    </row>
    <row r="2055" spans="1:5">
      <c r="A2055" t="s">
        <v>3677</v>
      </c>
      <c r="B2055" t="s">
        <v>960</v>
      </c>
      <c r="C2055" t="s">
        <v>995</v>
      </c>
      <c r="D2055" t="s">
        <v>7008</v>
      </c>
      <c r="E2055">
        <v>83.56770889374906</v>
      </c>
    </row>
    <row r="2056" spans="1:5">
      <c r="A2056" t="s">
        <v>3678</v>
      </c>
      <c r="B2056" t="s">
        <v>960</v>
      </c>
      <c r="C2056" t="s">
        <v>995</v>
      </c>
      <c r="D2056" t="s">
        <v>7009</v>
      </c>
      <c r="E2056">
        <v>4.841522465682183</v>
      </c>
    </row>
    <row r="2057" spans="1:5">
      <c r="A2057" t="s">
        <v>3679</v>
      </c>
      <c r="B2057" t="s">
        <v>960</v>
      </c>
      <c r="C2057" t="s">
        <v>995</v>
      </c>
      <c r="D2057" t="s">
        <v>7010</v>
      </c>
      <c r="E2057">
        <v>3.721469741356176</v>
      </c>
    </row>
    <row r="2058" spans="1:5">
      <c r="A2058" t="s">
        <v>3680</v>
      </c>
      <c r="B2058" t="s">
        <v>960</v>
      </c>
      <c r="C2058" t="s">
        <v>995</v>
      </c>
      <c r="D2058" t="s">
        <v>7011</v>
      </c>
      <c r="E2058">
        <v>0.8275337370738554</v>
      </c>
    </row>
    <row r="2059" spans="1:5">
      <c r="A2059" t="s">
        <v>3681</v>
      </c>
      <c r="B2059" t="s">
        <v>960</v>
      </c>
      <c r="C2059" t="s">
        <v>995</v>
      </c>
      <c r="D2059" t="s">
        <v>7012</v>
      </c>
      <c r="E2059">
        <v>171.4538375032969</v>
      </c>
    </row>
    <row r="2060" spans="1:5">
      <c r="A2060" t="s">
        <v>3682</v>
      </c>
      <c r="B2060" t="s">
        <v>960</v>
      </c>
      <c r="C2060" t="s">
        <v>995</v>
      </c>
      <c r="D2060" t="s">
        <v>7013</v>
      </c>
      <c r="E2060">
        <v>0.3240917261909951</v>
      </c>
    </row>
    <row r="2061" spans="1:5">
      <c r="A2061" t="s">
        <v>3683</v>
      </c>
      <c r="B2061" t="s">
        <v>960</v>
      </c>
      <c r="C2061" t="s">
        <v>995</v>
      </c>
      <c r="D2061" t="s">
        <v>7014</v>
      </c>
      <c r="E2061">
        <v>0.2127698493672107</v>
      </c>
    </row>
    <row r="2062" spans="1:5">
      <c r="A2062" t="s">
        <v>3684</v>
      </c>
      <c r="B2062" t="s">
        <v>960</v>
      </c>
      <c r="C2062" t="s">
        <v>995</v>
      </c>
      <c r="D2062" t="s">
        <v>6981</v>
      </c>
      <c r="E2062">
        <v>217.3474616490172</v>
      </c>
    </row>
    <row r="2063" spans="1:5">
      <c r="A2063" t="s">
        <v>3685</v>
      </c>
      <c r="B2063" t="s">
        <v>960</v>
      </c>
      <c r="C2063" t="s">
        <v>995</v>
      </c>
      <c r="D2063" t="s">
        <v>7015</v>
      </c>
      <c r="E2063">
        <v>171.4538375032969</v>
      </c>
    </row>
    <row r="2064" spans="1:5">
      <c r="A2064" t="s">
        <v>3686</v>
      </c>
      <c r="B2064" t="s">
        <v>960</v>
      </c>
      <c r="C2064" t="s">
        <v>995</v>
      </c>
      <c r="D2064" t="s">
        <v>7016</v>
      </c>
      <c r="E2064">
        <v>179.5265038168248</v>
      </c>
    </row>
    <row r="2065" spans="1:5">
      <c r="A2065" t="s">
        <v>3687</v>
      </c>
      <c r="B2065" t="s">
        <v>960</v>
      </c>
      <c r="C2065" t="s">
        <v>995</v>
      </c>
      <c r="D2065" t="s">
        <v>7017</v>
      </c>
      <c r="E2065">
        <v>181.4730119693429</v>
      </c>
    </row>
    <row r="2066" spans="1:5">
      <c r="A2066" t="s">
        <v>3688</v>
      </c>
      <c r="B2066" t="s">
        <v>960</v>
      </c>
      <c r="C2066" t="s">
        <v>995</v>
      </c>
      <c r="D2066" t="s">
        <v>7018</v>
      </c>
      <c r="E2066">
        <v>153.4512160692784</v>
      </c>
    </row>
    <row r="2067" spans="1:5">
      <c r="A2067" t="s">
        <v>3689</v>
      </c>
      <c r="B2067" t="s">
        <v>960</v>
      </c>
      <c r="C2067" t="s">
        <v>995</v>
      </c>
      <c r="D2067" t="s">
        <v>7019</v>
      </c>
      <c r="E2067">
        <v>2.502237922533689</v>
      </c>
    </row>
    <row r="2068" spans="1:5">
      <c r="A2068" t="s">
        <v>3690</v>
      </c>
      <c r="B2068" t="s">
        <v>960</v>
      </c>
      <c r="C2068" t="s">
        <v>995</v>
      </c>
      <c r="D2068" t="s">
        <v>997</v>
      </c>
      <c r="E2068">
        <v>181.4730119693429</v>
      </c>
    </row>
    <row r="2069" spans="1:5">
      <c r="A2069" t="s">
        <v>3691</v>
      </c>
      <c r="B2069" t="s">
        <v>960</v>
      </c>
      <c r="C2069" t="s">
        <v>995</v>
      </c>
      <c r="D2069" t="s">
        <v>7020</v>
      </c>
      <c r="E2069">
        <v>816.2302105827188</v>
      </c>
    </row>
    <row r="2070" spans="1:5">
      <c r="A2070" t="s">
        <v>3692</v>
      </c>
      <c r="B2070" t="s">
        <v>960</v>
      </c>
      <c r="C2070" t="s">
        <v>995</v>
      </c>
      <c r="D2070" t="s">
        <v>7021</v>
      </c>
      <c r="E2070">
        <v>0.1022464583298047</v>
      </c>
    </row>
    <row r="2071" spans="1:5">
      <c r="A2071" t="s">
        <v>3693</v>
      </c>
      <c r="B2071" t="s">
        <v>960</v>
      </c>
      <c r="C2071" t="s">
        <v>995</v>
      </c>
      <c r="D2071" t="s">
        <v>7022</v>
      </c>
      <c r="E2071">
        <v>306.9022994518774</v>
      </c>
    </row>
    <row r="2072" spans="1:5">
      <c r="A2072" t="s">
        <v>3694</v>
      </c>
      <c r="B2072" t="s">
        <v>960</v>
      </c>
      <c r="C2072" t="s">
        <v>995</v>
      </c>
      <c r="D2072" t="s">
        <v>7023</v>
      </c>
      <c r="E2072">
        <v>238.2057380591886</v>
      </c>
    </row>
    <row r="2073" spans="1:5">
      <c r="A2073" t="s">
        <v>3695</v>
      </c>
      <c r="B2073" t="s">
        <v>960</v>
      </c>
      <c r="C2073" t="s">
        <v>995</v>
      </c>
      <c r="D2073" t="s">
        <v>7024</v>
      </c>
      <c r="E2073">
        <v>44.13109843588595</v>
      </c>
    </row>
    <row r="2074" spans="1:5">
      <c r="A2074" t="s">
        <v>3696</v>
      </c>
      <c r="B2074" t="s">
        <v>960</v>
      </c>
      <c r="C2074" t="s">
        <v>995</v>
      </c>
      <c r="D2074" t="s">
        <v>6982</v>
      </c>
      <c r="E2074">
        <v>60.13531592907385</v>
      </c>
    </row>
    <row r="2075" spans="1:5">
      <c r="A2075" t="s">
        <v>3697</v>
      </c>
      <c r="B2075" t="s">
        <v>960</v>
      </c>
      <c r="C2075" t="s">
        <v>995</v>
      </c>
      <c r="D2075" t="s">
        <v>7025</v>
      </c>
      <c r="E2075">
        <v>306.9022994518774</v>
      </c>
    </row>
    <row r="2076" spans="1:5">
      <c r="A2076" t="s">
        <v>3698</v>
      </c>
      <c r="B2076" t="s">
        <v>960</v>
      </c>
      <c r="C2076" t="s">
        <v>995</v>
      </c>
      <c r="D2076" t="s">
        <v>7026</v>
      </c>
      <c r="E2076">
        <v>3.213982689443274</v>
      </c>
    </row>
    <row r="2077" spans="1:5">
      <c r="A2077" t="s">
        <v>3699</v>
      </c>
      <c r="B2077" t="s">
        <v>960</v>
      </c>
      <c r="C2077" t="s">
        <v>995</v>
      </c>
      <c r="D2077" t="s">
        <v>7027</v>
      </c>
      <c r="E2077">
        <v>21.42887784833589</v>
      </c>
    </row>
    <row r="2078" spans="1:5">
      <c r="A2078" t="s">
        <v>3700</v>
      </c>
      <c r="B2078" t="s">
        <v>960</v>
      </c>
      <c r="C2078" t="s">
        <v>995</v>
      </c>
      <c r="D2078" t="s">
        <v>7028</v>
      </c>
      <c r="E2078">
        <v>108.7409194240196</v>
      </c>
    </row>
    <row r="2079" spans="1:5">
      <c r="A2079" t="s">
        <v>3701</v>
      </c>
      <c r="B2079" t="s">
        <v>960</v>
      </c>
      <c r="C2079" t="s">
        <v>995</v>
      </c>
      <c r="D2079" t="s">
        <v>7029</v>
      </c>
      <c r="E2079">
        <v>153.4512160692784</v>
      </c>
    </row>
    <row r="2080" spans="1:5">
      <c r="A2080" t="s">
        <v>3702</v>
      </c>
      <c r="B2080" t="s">
        <v>960</v>
      </c>
      <c r="C2080" t="s">
        <v>995</v>
      </c>
      <c r="D2080" t="s">
        <v>6983</v>
      </c>
      <c r="E2080">
        <v>220.562551694781</v>
      </c>
    </row>
    <row r="2081" spans="1:5">
      <c r="A2081" t="s">
        <v>3703</v>
      </c>
      <c r="B2081" t="s">
        <v>960</v>
      </c>
      <c r="C2081" t="s">
        <v>995</v>
      </c>
      <c r="D2081" t="s">
        <v>7030</v>
      </c>
      <c r="E2081">
        <v>0.1325088226106622</v>
      </c>
    </row>
    <row r="2082" spans="1:5">
      <c r="A2082" t="s">
        <v>3704</v>
      </c>
      <c r="B2082" t="s">
        <v>960</v>
      </c>
      <c r="C2082" t="s">
        <v>995</v>
      </c>
      <c r="D2082" t="s">
        <v>6984</v>
      </c>
      <c r="E2082">
        <v>386.8075587218243</v>
      </c>
    </row>
    <row r="2083" spans="1:5">
      <c r="A2083" t="s">
        <v>3705</v>
      </c>
      <c r="B2083" t="s">
        <v>960</v>
      </c>
      <c r="C2083" t="s">
        <v>995</v>
      </c>
      <c r="D2083" t="s">
        <v>7031</v>
      </c>
      <c r="E2083">
        <v>13473.42219944577</v>
      </c>
    </row>
    <row r="2084" spans="1:5">
      <c r="A2084" t="s">
        <v>3706</v>
      </c>
      <c r="B2084" t="s">
        <v>960</v>
      </c>
      <c r="C2084" t="s">
        <v>995</v>
      </c>
      <c r="D2084" t="s">
        <v>7032</v>
      </c>
      <c r="E2084">
        <v>0.3408717482852215</v>
      </c>
    </row>
    <row r="2085" spans="1:5">
      <c r="A2085" t="s">
        <v>3707</v>
      </c>
      <c r="B2085" t="s">
        <v>960</v>
      </c>
      <c r="C2085" t="s">
        <v>995</v>
      </c>
      <c r="D2085" t="s">
        <v>7033</v>
      </c>
      <c r="E2085">
        <v>45.26931035190849</v>
      </c>
    </row>
    <row r="2086" spans="1:5">
      <c r="A2086" t="s">
        <v>3708</v>
      </c>
      <c r="B2086" t="s">
        <v>960</v>
      </c>
      <c r="C2086" t="s">
        <v>995</v>
      </c>
      <c r="D2086" t="s">
        <v>6985</v>
      </c>
      <c r="E2086">
        <v>45.18113692952397</v>
      </c>
    </row>
    <row r="2087" spans="1:5">
      <c r="A2087" t="s">
        <v>3709</v>
      </c>
      <c r="B2087" t="s">
        <v>960</v>
      </c>
      <c r="C2087" t="s">
        <v>995</v>
      </c>
      <c r="D2087" t="s">
        <v>7034</v>
      </c>
      <c r="E2087">
        <v>0.08558992154993432</v>
      </c>
    </row>
    <row r="2088" spans="1:5">
      <c r="A2088" t="s">
        <v>3710</v>
      </c>
      <c r="B2088" t="s">
        <v>960</v>
      </c>
      <c r="C2088" t="s">
        <v>995</v>
      </c>
      <c r="D2088" t="s">
        <v>7035</v>
      </c>
      <c r="E2088">
        <v>0.6652831541511421</v>
      </c>
    </row>
    <row r="2089" spans="1:5">
      <c r="A2089" t="s">
        <v>3711</v>
      </c>
      <c r="B2089" t="s">
        <v>960</v>
      </c>
      <c r="C2089" t="s">
        <v>995</v>
      </c>
      <c r="D2089" t="s">
        <v>7036</v>
      </c>
      <c r="E2089">
        <v>12.78759903551777</v>
      </c>
    </row>
    <row r="2090" spans="1:5">
      <c r="A2090" t="s">
        <v>3712</v>
      </c>
      <c r="B2090" t="s">
        <v>960</v>
      </c>
      <c r="C2090" t="s">
        <v>995</v>
      </c>
      <c r="D2090" t="s">
        <v>7037</v>
      </c>
      <c r="E2090">
        <v>3.21888505872217</v>
      </c>
    </row>
    <row r="2091" spans="1:5">
      <c r="A2091" t="s">
        <v>3713</v>
      </c>
      <c r="B2091" t="s">
        <v>960</v>
      </c>
      <c r="C2091" t="s">
        <v>995</v>
      </c>
      <c r="D2091" t="s">
        <v>6986</v>
      </c>
      <c r="E2091">
        <v>14.67284710407</v>
      </c>
    </row>
    <row r="2092" spans="1:5">
      <c r="A2092" t="s">
        <v>3714</v>
      </c>
      <c r="B2092" t="s">
        <v>960</v>
      </c>
      <c r="C2092" t="s">
        <v>995</v>
      </c>
      <c r="D2092" t="s">
        <v>7038</v>
      </c>
      <c r="E2092">
        <v>1.72687740485363</v>
      </c>
    </row>
    <row r="2093" spans="1:5">
      <c r="A2093" t="s">
        <v>3715</v>
      </c>
      <c r="B2093" t="s">
        <v>960</v>
      </c>
      <c r="C2093" t="s">
        <v>995</v>
      </c>
      <c r="D2093" t="s">
        <v>6987</v>
      </c>
      <c r="E2093">
        <v>47.57195510578057</v>
      </c>
    </row>
    <row r="2094" spans="1:5">
      <c r="A2094" t="s">
        <v>3716</v>
      </c>
      <c r="B2094" t="s">
        <v>960</v>
      </c>
      <c r="C2094" t="s">
        <v>995</v>
      </c>
      <c r="D2094" t="s">
        <v>7039</v>
      </c>
      <c r="E2094">
        <v>5.252128798409657</v>
      </c>
    </row>
    <row r="2095" spans="1:5">
      <c r="A2095" t="s">
        <v>3717</v>
      </c>
      <c r="B2095" t="s">
        <v>960</v>
      </c>
      <c r="C2095" t="s">
        <v>995</v>
      </c>
      <c r="D2095" t="s">
        <v>7040</v>
      </c>
      <c r="E2095">
        <v>2.291003618837054</v>
      </c>
    </row>
    <row r="2096" spans="1:5">
      <c r="A2096" t="s">
        <v>3718</v>
      </c>
      <c r="B2096" t="s">
        <v>960</v>
      </c>
      <c r="C2096" t="s">
        <v>995</v>
      </c>
      <c r="D2096" t="s">
        <v>7041</v>
      </c>
      <c r="E2096">
        <v>5.911148810359404</v>
      </c>
    </row>
    <row r="2097" spans="1:5">
      <c r="A2097" t="s">
        <v>3719</v>
      </c>
      <c r="B2097" t="s">
        <v>960</v>
      </c>
      <c r="C2097" t="s">
        <v>995</v>
      </c>
      <c r="D2097" t="s">
        <v>7042</v>
      </c>
      <c r="E2097">
        <v>20.46015919397673</v>
      </c>
    </row>
    <row r="2098" spans="1:5">
      <c r="A2098" t="s">
        <v>3720</v>
      </c>
      <c r="B2098" t="s">
        <v>960</v>
      </c>
      <c r="C2098" t="s">
        <v>995</v>
      </c>
      <c r="D2098" t="s">
        <v>7043</v>
      </c>
      <c r="E2098">
        <v>1.886889883497999</v>
      </c>
    </row>
    <row r="2099" spans="1:5">
      <c r="A2099" t="s">
        <v>3721</v>
      </c>
      <c r="B2099" t="s">
        <v>960</v>
      </c>
      <c r="C2099" t="s">
        <v>995</v>
      </c>
      <c r="D2099" t="s">
        <v>7044</v>
      </c>
      <c r="E2099">
        <v>138.7195049360612</v>
      </c>
    </row>
    <row r="2100" spans="1:5">
      <c r="A2100" t="s">
        <v>3722</v>
      </c>
      <c r="B2100" t="s">
        <v>960</v>
      </c>
      <c r="C2100" t="s">
        <v>995</v>
      </c>
      <c r="D2100" t="s">
        <v>7045</v>
      </c>
      <c r="E2100">
        <v>410.7267714476157</v>
      </c>
    </row>
    <row r="2101" spans="1:5">
      <c r="A2101" t="s">
        <v>3723</v>
      </c>
      <c r="B2101" t="s">
        <v>960</v>
      </c>
      <c r="C2101" t="s">
        <v>995</v>
      </c>
      <c r="D2101" t="s">
        <v>7046</v>
      </c>
      <c r="E2101">
        <v>47.57195510578057</v>
      </c>
    </row>
    <row r="2102" spans="1:5">
      <c r="A2102" t="s">
        <v>3724</v>
      </c>
      <c r="B2102" t="s">
        <v>960</v>
      </c>
      <c r="C2102" t="s">
        <v>995</v>
      </c>
      <c r="D2102" t="s">
        <v>6988</v>
      </c>
      <c r="E2102">
        <v>410.7258208606336</v>
      </c>
    </row>
    <row r="2103" spans="1:5">
      <c r="A2103" t="s">
        <v>3725</v>
      </c>
      <c r="B2103" t="s">
        <v>960</v>
      </c>
      <c r="C2103" t="s">
        <v>995</v>
      </c>
      <c r="D2103" t="s">
        <v>7047</v>
      </c>
      <c r="E2103">
        <v>114.5651017231067</v>
      </c>
    </row>
    <row r="2104" spans="1:5">
      <c r="A2104" t="s">
        <v>3726</v>
      </c>
      <c r="B2104" t="s">
        <v>960</v>
      </c>
      <c r="C2104" t="s">
        <v>995</v>
      </c>
      <c r="D2104" t="s">
        <v>7048</v>
      </c>
      <c r="E2104">
        <v>410.7267714476157</v>
      </c>
    </row>
    <row r="2105" spans="1:5">
      <c r="A2105" t="s">
        <v>3727</v>
      </c>
      <c r="B2105" t="s">
        <v>960</v>
      </c>
      <c r="C2105" t="s">
        <v>995</v>
      </c>
      <c r="D2105" t="s">
        <v>7049</v>
      </c>
      <c r="E2105">
        <v>25.98720117183539</v>
      </c>
    </row>
    <row r="2106" spans="1:5">
      <c r="A2106" t="s">
        <v>3728</v>
      </c>
      <c r="B2106" t="s">
        <v>960</v>
      </c>
      <c r="C2106" t="s">
        <v>995</v>
      </c>
      <c r="D2106" t="s">
        <v>7050</v>
      </c>
      <c r="E2106">
        <v>410.7267714476157</v>
      </c>
    </row>
    <row r="2107" spans="1:5">
      <c r="A2107" t="s">
        <v>3729</v>
      </c>
      <c r="B2107" t="s">
        <v>960</v>
      </c>
      <c r="C2107" t="s">
        <v>995</v>
      </c>
      <c r="D2107" t="s">
        <v>7051</v>
      </c>
      <c r="E2107">
        <v>4.129054632887537</v>
      </c>
    </row>
    <row r="2108" spans="1:5">
      <c r="A2108" t="s">
        <v>3730</v>
      </c>
      <c r="B2108" t="s">
        <v>960</v>
      </c>
      <c r="C2108" t="s">
        <v>995</v>
      </c>
      <c r="D2108" t="s">
        <v>7052</v>
      </c>
      <c r="E2108">
        <v>0.03493758675006246</v>
      </c>
    </row>
    <row r="2109" spans="1:5">
      <c r="A2109" t="s">
        <v>3731</v>
      </c>
      <c r="B2109" t="s">
        <v>960</v>
      </c>
      <c r="C2109" t="s">
        <v>995</v>
      </c>
      <c r="D2109" t="s">
        <v>7053</v>
      </c>
      <c r="E2109">
        <v>40.07646972876343</v>
      </c>
    </row>
    <row r="2110" spans="1:5">
      <c r="A2110" t="s">
        <v>3732</v>
      </c>
      <c r="B2110" t="s">
        <v>960</v>
      </c>
      <c r="C2110" t="s">
        <v>995</v>
      </c>
      <c r="D2110" t="s">
        <v>7054</v>
      </c>
      <c r="E2110">
        <v>1.461582277063972</v>
      </c>
    </row>
    <row r="2111" spans="1:5">
      <c r="A2111" t="s">
        <v>3733</v>
      </c>
      <c r="B2111" t="s">
        <v>960</v>
      </c>
      <c r="C2111" t="s">
        <v>995</v>
      </c>
      <c r="D2111" t="s">
        <v>6989</v>
      </c>
      <c r="E2111">
        <v>39.13552844762892</v>
      </c>
    </row>
    <row r="2112" spans="1:5">
      <c r="A2112" t="s">
        <v>3734</v>
      </c>
      <c r="B2112" t="s">
        <v>960</v>
      </c>
      <c r="C2112" t="s">
        <v>995</v>
      </c>
      <c r="D2112" t="s">
        <v>7055</v>
      </c>
      <c r="E2112">
        <v>11.47883487470431</v>
      </c>
    </row>
    <row r="2113" spans="1:5">
      <c r="A2113" t="s">
        <v>3735</v>
      </c>
      <c r="B2113" t="s">
        <v>960</v>
      </c>
      <c r="C2113" t="s">
        <v>995</v>
      </c>
      <c r="D2113" t="s">
        <v>7056</v>
      </c>
      <c r="E2113">
        <v>47.10735430353706</v>
      </c>
    </row>
    <row r="2114" spans="1:5">
      <c r="A2114" t="s">
        <v>3736</v>
      </c>
      <c r="B2114" t="s">
        <v>960</v>
      </c>
      <c r="C2114" t="s">
        <v>995</v>
      </c>
      <c r="D2114" t="s">
        <v>7057</v>
      </c>
      <c r="E2114">
        <v>2.339328682226509</v>
      </c>
    </row>
    <row r="2115" spans="1:5">
      <c r="A2115" t="s">
        <v>3737</v>
      </c>
      <c r="B2115" t="s">
        <v>960</v>
      </c>
      <c r="C2115" t="s">
        <v>995</v>
      </c>
      <c r="D2115" t="s">
        <v>6990</v>
      </c>
      <c r="E2115">
        <v>0.01693337928575065</v>
      </c>
    </row>
    <row r="2116" spans="1:5">
      <c r="A2116" t="s">
        <v>3738</v>
      </c>
      <c r="B2116" t="s">
        <v>960</v>
      </c>
      <c r="C2116" t="s">
        <v>995</v>
      </c>
      <c r="D2116" t="s">
        <v>6991</v>
      </c>
      <c r="E2116">
        <v>104.7759954491728</v>
      </c>
    </row>
    <row r="2117" spans="1:5">
      <c r="A2117" t="s">
        <v>3739</v>
      </c>
      <c r="B2117" t="s">
        <v>960</v>
      </c>
      <c r="C2117" t="s">
        <v>995</v>
      </c>
      <c r="D2117" t="s">
        <v>7058</v>
      </c>
      <c r="E2117">
        <v>410.7267714476157</v>
      </c>
    </row>
    <row r="2118" spans="1:5">
      <c r="A2118" t="s">
        <v>3740</v>
      </c>
      <c r="B2118" t="s">
        <v>960</v>
      </c>
      <c r="C2118" t="s">
        <v>995</v>
      </c>
      <c r="D2118" t="s">
        <v>6992</v>
      </c>
      <c r="E2118">
        <v>3.213921166006842</v>
      </c>
    </row>
    <row r="2119" spans="1:5">
      <c r="A2119" t="s">
        <v>3741</v>
      </c>
      <c r="B2119" t="s">
        <v>960</v>
      </c>
      <c r="C2119" t="s">
        <v>995</v>
      </c>
      <c r="D2119" t="s">
        <v>7059</v>
      </c>
      <c r="E2119">
        <v>0.2331358232705695</v>
      </c>
    </row>
    <row r="2120" spans="1:5">
      <c r="A2120" t="s">
        <v>3742</v>
      </c>
      <c r="B2120" t="s">
        <v>960</v>
      </c>
      <c r="C2120" t="s">
        <v>995</v>
      </c>
      <c r="D2120" t="s">
        <v>7060</v>
      </c>
      <c r="E2120">
        <v>0.0002219020242303312</v>
      </c>
    </row>
    <row r="2121" spans="1:5">
      <c r="A2121" t="s">
        <v>3743</v>
      </c>
      <c r="B2121" t="s">
        <v>960</v>
      </c>
      <c r="C2121" t="s">
        <v>995</v>
      </c>
      <c r="D2121" t="s">
        <v>6993</v>
      </c>
      <c r="E2121">
        <v>2.471685111550755</v>
      </c>
    </row>
    <row r="2122" spans="1:5">
      <c r="A2122" t="s">
        <v>3744</v>
      </c>
      <c r="B2122" t="s">
        <v>960</v>
      </c>
      <c r="C2122" t="s">
        <v>995</v>
      </c>
      <c r="D2122" t="s">
        <v>7061</v>
      </c>
      <c r="E2122">
        <v>410.7267714476157</v>
      </c>
    </row>
    <row r="2123" spans="1:5">
      <c r="A2123" t="s">
        <v>3745</v>
      </c>
      <c r="B2123" t="s">
        <v>960</v>
      </c>
      <c r="C2123" t="s">
        <v>995</v>
      </c>
      <c r="D2123" t="s">
        <v>7062</v>
      </c>
      <c r="E2123">
        <v>1.927213672079592</v>
      </c>
    </row>
    <row r="2124" spans="1:5">
      <c r="A2124" t="s">
        <v>3746</v>
      </c>
      <c r="B2124" t="s">
        <v>960</v>
      </c>
      <c r="C2124" t="s">
        <v>995</v>
      </c>
      <c r="D2124" t="s">
        <v>7063</v>
      </c>
      <c r="E2124">
        <v>432.8667143116739</v>
      </c>
    </row>
    <row r="2125" spans="1:5">
      <c r="A2125" t="s">
        <v>3747</v>
      </c>
      <c r="B2125" t="s">
        <v>960</v>
      </c>
      <c r="C2125" t="s">
        <v>995</v>
      </c>
      <c r="D2125" t="s">
        <v>6994</v>
      </c>
      <c r="E2125">
        <v>1.91612478777926</v>
      </c>
    </row>
    <row r="2126" spans="1:5">
      <c r="A2126" t="s">
        <v>3748</v>
      </c>
      <c r="B2126" t="s">
        <v>960</v>
      </c>
      <c r="C2126" t="s">
        <v>995</v>
      </c>
      <c r="D2126" t="s">
        <v>7064</v>
      </c>
      <c r="E2126">
        <v>2.365622214162421</v>
      </c>
    </row>
    <row r="2127" spans="1:5">
      <c r="A2127" t="s">
        <v>3749</v>
      </c>
      <c r="B2127" t="s">
        <v>960</v>
      </c>
      <c r="C2127" t="s">
        <v>995</v>
      </c>
      <c r="D2127" t="s">
        <v>7065</v>
      </c>
      <c r="E2127">
        <v>3.48758555227418</v>
      </c>
    </row>
    <row r="2128" spans="1:5">
      <c r="A2128" t="s">
        <v>3750</v>
      </c>
      <c r="B2128" t="s">
        <v>960</v>
      </c>
      <c r="C2128" t="s">
        <v>995</v>
      </c>
      <c r="D2128" t="s">
        <v>7066</v>
      </c>
      <c r="E2128">
        <v>0.07571932720205425</v>
      </c>
    </row>
    <row r="2129" spans="1:5">
      <c r="A2129" t="s">
        <v>3751</v>
      </c>
      <c r="B2129" t="s">
        <v>960</v>
      </c>
      <c r="C2129" t="s">
        <v>995</v>
      </c>
      <c r="D2129" t="s">
        <v>7067</v>
      </c>
      <c r="E2129">
        <v>217.315390172968</v>
      </c>
    </row>
    <row r="2130" spans="1:5">
      <c r="A2130" t="s">
        <v>3752</v>
      </c>
      <c r="B2130" t="s">
        <v>960</v>
      </c>
      <c r="C2130" t="s">
        <v>995</v>
      </c>
      <c r="D2130" t="s">
        <v>7068</v>
      </c>
      <c r="E2130">
        <v>0.7214504629622571</v>
      </c>
    </row>
    <row r="2131" spans="1:5">
      <c r="A2131" t="s">
        <v>3753</v>
      </c>
      <c r="B2131" t="s">
        <v>960</v>
      </c>
      <c r="C2131" t="s">
        <v>995</v>
      </c>
      <c r="D2131" t="s">
        <v>6995</v>
      </c>
      <c r="E2131">
        <v>0.1980833432120508</v>
      </c>
    </row>
    <row r="2132" spans="1:5">
      <c r="A2132" t="s">
        <v>3754</v>
      </c>
      <c r="B2132" t="s">
        <v>960</v>
      </c>
      <c r="C2132" t="s">
        <v>995</v>
      </c>
      <c r="D2132" t="s">
        <v>7069</v>
      </c>
      <c r="E2132">
        <v>995.5300652971468</v>
      </c>
    </row>
    <row r="2133" spans="1:5">
      <c r="A2133" t="s">
        <v>3755</v>
      </c>
      <c r="B2133" t="s">
        <v>960</v>
      </c>
      <c r="C2133" t="s">
        <v>995</v>
      </c>
      <c r="D2133" t="s">
        <v>7070</v>
      </c>
      <c r="E2133">
        <v>368.2828230318425</v>
      </c>
    </row>
    <row r="2134" spans="1:5">
      <c r="A2134" t="s">
        <v>3756</v>
      </c>
      <c r="B2134" t="s">
        <v>960</v>
      </c>
      <c r="C2134" t="s">
        <v>995</v>
      </c>
      <c r="D2134" t="s">
        <v>7071</v>
      </c>
      <c r="E2134">
        <v>0.62942492806793</v>
      </c>
    </row>
    <row r="2135" spans="1:5">
      <c r="A2135" t="s">
        <v>3757</v>
      </c>
      <c r="B2135" t="s">
        <v>960</v>
      </c>
      <c r="C2135" t="s">
        <v>995</v>
      </c>
      <c r="D2135" t="s">
        <v>7072</v>
      </c>
      <c r="E2135">
        <v>0.0139318830371544</v>
      </c>
    </row>
    <row r="2136" spans="1:5">
      <c r="A2136" t="s">
        <v>3758</v>
      </c>
      <c r="B2136" t="s">
        <v>960</v>
      </c>
      <c r="C2136" t="s">
        <v>995</v>
      </c>
      <c r="D2136" t="s">
        <v>7073</v>
      </c>
      <c r="E2136">
        <v>0.003429076869430535</v>
      </c>
    </row>
    <row r="2137" spans="1:5">
      <c r="A2137" t="s">
        <v>3759</v>
      </c>
      <c r="B2137" t="s">
        <v>960</v>
      </c>
      <c r="C2137" t="s">
        <v>995</v>
      </c>
      <c r="D2137" t="s">
        <v>7074</v>
      </c>
      <c r="E2137">
        <v>0.9113286800456742</v>
      </c>
    </row>
    <row r="2138" spans="1:5">
      <c r="A2138" t="s">
        <v>3760</v>
      </c>
      <c r="B2138" t="s">
        <v>960</v>
      </c>
      <c r="C2138" t="s">
        <v>995</v>
      </c>
      <c r="D2138" t="s">
        <v>7075</v>
      </c>
      <c r="E2138">
        <v>1.673960155478118</v>
      </c>
    </row>
    <row r="2139" spans="1:5">
      <c r="A2139" t="s">
        <v>3761</v>
      </c>
      <c r="B2139" t="s">
        <v>960</v>
      </c>
      <c r="C2139" t="s">
        <v>995</v>
      </c>
      <c r="D2139" t="s">
        <v>7076</v>
      </c>
      <c r="E2139">
        <v>18.66092580768766</v>
      </c>
    </row>
    <row r="2140" spans="1:5">
      <c r="A2140" t="s">
        <v>3762</v>
      </c>
      <c r="B2140" t="s">
        <v>960</v>
      </c>
      <c r="C2140" t="s">
        <v>995</v>
      </c>
      <c r="D2140" t="s">
        <v>7077</v>
      </c>
      <c r="E2140">
        <v>47.98612874703239</v>
      </c>
    </row>
    <row r="2141" spans="1:5">
      <c r="A2141" t="s">
        <v>3763</v>
      </c>
      <c r="B2141" t="s">
        <v>960</v>
      </c>
      <c r="C2141" t="s">
        <v>995</v>
      </c>
      <c r="D2141" t="s">
        <v>7078</v>
      </c>
      <c r="E2141">
        <v>33.24420212731581</v>
      </c>
    </row>
    <row r="2142" spans="1:5">
      <c r="A2142" t="s">
        <v>3764</v>
      </c>
      <c r="B2142" t="s">
        <v>960</v>
      </c>
      <c r="C2142" t="s">
        <v>995</v>
      </c>
      <c r="D2142" t="s">
        <v>7079</v>
      </c>
      <c r="E2142">
        <v>17.63680302573749</v>
      </c>
    </row>
    <row r="2143" spans="1:5">
      <c r="A2143" t="s">
        <v>3765</v>
      </c>
      <c r="B2143" t="s">
        <v>960</v>
      </c>
      <c r="C2143" t="s">
        <v>995</v>
      </c>
      <c r="D2143" t="s">
        <v>7080</v>
      </c>
      <c r="E2143">
        <v>0.07329180217344591</v>
      </c>
    </row>
    <row r="2144" spans="1:5">
      <c r="A2144" t="s">
        <v>3766</v>
      </c>
      <c r="B2144" t="s">
        <v>960</v>
      </c>
      <c r="C2144" t="s">
        <v>995</v>
      </c>
      <c r="D2144" t="s">
        <v>7081</v>
      </c>
      <c r="E2144">
        <v>5.755204390379951</v>
      </c>
    </row>
    <row r="2145" spans="1:5">
      <c r="A2145" t="s">
        <v>3767</v>
      </c>
      <c r="B2145" t="s">
        <v>960</v>
      </c>
      <c r="C2145" t="s">
        <v>995</v>
      </c>
      <c r="D2145" t="s">
        <v>7082</v>
      </c>
      <c r="E2145">
        <v>0.1454553598886865</v>
      </c>
    </row>
    <row r="2146" spans="1:5">
      <c r="A2146" t="s">
        <v>3768</v>
      </c>
      <c r="B2146" t="s">
        <v>960</v>
      </c>
      <c r="C2146" t="s">
        <v>995</v>
      </c>
      <c r="D2146" t="s">
        <v>7083</v>
      </c>
      <c r="E2146">
        <v>0.08672829501577078</v>
      </c>
    </row>
    <row r="2147" spans="1:5">
      <c r="A2147" t="s">
        <v>3769</v>
      </c>
      <c r="B2147" t="s">
        <v>960</v>
      </c>
      <c r="C2147" t="s">
        <v>995</v>
      </c>
      <c r="D2147" t="s">
        <v>7084</v>
      </c>
      <c r="E2147">
        <v>37.97186203688508</v>
      </c>
    </row>
    <row r="2148" spans="1:5">
      <c r="A2148" t="s">
        <v>3770</v>
      </c>
      <c r="B2148" t="s">
        <v>960</v>
      </c>
      <c r="C2148" t="s">
        <v>995</v>
      </c>
      <c r="D2148" t="s">
        <v>7085</v>
      </c>
      <c r="E2148">
        <v>7.643666861370754</v>
      </c>
    </row>
    <row r="2149" spans="1:5">
      <c r="A2149" t="s">
        <v>3771</v>
      </c>
      <c r="B2149" t="s">
        <v>960</v>
      </c>
      <c r="C2149" t="s">
        <v>995</v>
      </c>
      <c r="D2149" t="s">
        <v>7086</v>
      </c>
      <c r="E2149">
        <v>6.426047338011738</v>
      </c>
    </row>
    <row r="2150" spans="1:5">
      <c r="A2150" t="s">
        <v>3772</v>
      </c>
      <c r="B2150" t="s">
        <v>960</v>
      </c>
      <c r="C2150" t="s">
        <v>995</v>
      </c>
      <c r="D2150" t="s">
        <v>7087</v>
      </c>
      <c r="E2150">
        <v>19.77712330825752</v>
      </c>
    </row>
    <row r="2151" spans="1:5">
      <c r="A2151" t="s">
        <v>3773</v>
      </c>
      <c r="B2151" t="s">
        <v>960</v>
      </c>
      <c r="C2151" t="s">
        <v>995</v>
      </c>
      <c r="D2151" t="s">
        <v>7088</v>
      </c>
      <c r="E2151">
        <v>0.1754184539379389</v>
      </c>
    </row>
    <row r="2152" spans="1:5">
      <c r="A2152" t="s">
        <v>3774</v>
      </c>
      <c r="B2152" t="s">
        <v>960</v>
      </c>
      <c r="C2152" t="s">
        <v>995</v>
      </c>
      <c r="D2152" t="s">
        <v>6996</v>
      </c>
      <c r="E2152">
        <v>17.62685199582812</v>
      </c>
    </row>
    <row r="2153" spans="1:5">
      <c r="A2153" t="s">
        <v>3775</v>
      </c>
      <c r="B2153" t="s">
        <v>960</v>
      </c>
      <c r="C2153" t="s">
        <v>995</v>
      </c>
      <c r="D2153" t="s">
        <v>6997</v>
      </c>
      <c r="E2153">
        <v>76.05118777765469</v>
      </c>
    </row>
    <row r="2154" spans="1:5">
      <c r="A2154" t="s">
        <v>3776</v>
      </c>
      <c r="B2154" t="s">
        <v>960</v>
      </c>
      <c r="C2154" t="s">
        <v>995</v>
      </c>
      <c r="D2154" t="s">
        <v>7089</v>
      </c>
      <c r="E2154">
        <v>4.797824882827646</v>
      </c>
    </row>
    <row r="2155" spans="1:5">
      <c r="A2155" t="s">
        <v>3777</v>
      </c>
      <c r="B2155" t="s">
        <v>960</v>
      </c>
      <c r="C2155" t="s">
        <v>995</v>
      </c>
      <c r="D2155" t="s">
        <v>7090</v>
      </c>
      <c r="E2155">
        <v>18.66092580768766</v>
      </c>
    </row>
    <row r="2156" spans="1:5">
      <c r="A2156" t="s">
        <v>3778</v>
      </c>
      <c r="B2156" t="s">
        <v>960</v>
      </c>
      <c r="C2156" t="s">
        <v>995</v>
      </c>
      <c r="D2156" t="s">
        <v>7091</v>
      </c>
      <c r="E2156">
        <v>0.2272757372151016</v>
      </c>
    </row>
    <row r="2157" spans="1:5">
      <c r="A2157" t="s">
        <v>3779</v>
      </c>
      <c r="B2157" t="s">
        <v>960</v>
      </c>
      <c r="C2157" t="s">
        <v>995</v>
      </c>
      <c r="D2157" t="s">
        <v>7092</v>
      </c>
      <c r="E2157">
        <v>8.303108245631019</v>
      </c>
    </row>
    <row r="2158" spans="1:5">
      <c r="A2158" t="s">
        <v>3780</v>
      </c>
      <c r="B2158" t="s">
        <v>960</v>
      </c>
      <c r="C2158" t="s">
        <v>995</v>
      </c>
      <c r="D2158" t="s">
        <v>6998</v>
      </c>
      <c r="E2158">
        <v>32.613978447395</v>
      </c>
    </row>
    <row r="2159" spans="1:5">
      <c r="A2159" t="s">
        <v>3781</v>
      </c>
      <c r="B2159" t="s">
        <v>960</v>
      </c>
      <c r="C2159" t="s">
        <v>995</v>
      </c>
      <c r="D2159" t="s">
        <v>7093</v>
      </c>
      <c r="E2159">
        <v>2.008739180902046</v>
      </c>
    </row>
    <row r="2160" spans="1:5">
      <c r="A2160" t="s">
        <v>3782</v>
      </c>
      <c r="B2160" t="s">
        <v>960</v>
      </c>
      <c r="C2160" t="s">
        <v>995</v>
      </c>
      <c r="D2160" t="s">
        <v>6999</v>
      </c>
      <c r="E2160">
        <v>178.8246952456047</v>
      </c>
    </row>
    <row r="2161" spans="1:5">
      <c r="A2161" t="s">
        <v>3783</v>
      </c>
      <c r="B2161" t="s">
        <v>960</v>
      </c>
      <c r="C2161" t="s">
        <v>995</v>
      </c>
      <c r="D2161" t="s">
        <v>7094</v>
      </c>
      <c r="E2161">
        <v>798.1918217636529</v>
      </c>
    </row>
    <row r="2162" spans="1:5">
      <c r="A2162" t="s">
        <v>3784</v>
      </c>
      <c r="B2162" t="s">
        <v>960</v>
      </c>
      <c r="C2162" t="s">
        <v>995</v>
      </c>
      <c r="D2162" t="s">
        <v>7095</v>
      </c>
      <c r="E2162">
        <v>306.9022994518774</v>
      </c>
    </row>
    <row r="2163" spans="1:5">
      <c r="A2163" t="s">
        <v>3785</v>
      </c>
      <c r="B2163" t="s">
        <v>960</v>
      </c>
      <c r="C2163" t="s">
        <v>995</v>
      </c>
      <c r="D2163" t="s">
        <v>7096</v>
      </c>
      <c r="E2163">
        <v>89.35809692849949</v>
      </c>
    </row>
    <row r="2164" spans="1:5">
      <c r="A2164" t="s">
        <v>3786</v>
      </c>
      <c r="B2164" t="s">
        <v>960</v>
      </c>
      <c r="C2164" t="s">
        <v>995</v>
      </c>
      <c r="D2164" t="s">
        <v>7097</v>
      </c>
      <c r="E2164">
        <v>69.92985171962675</v>
      </c>
    </row>
    <row r="2165" spans="1:5">
      <c r="A2165" t="s">
        <v>3787</v>
      </c>
      <c r="B2165" t="s">
        <v>960</v>
      </c>
      <c r="C2165" t="s">
        <v>995</v>
      </c>
      <c r="D2165" t="s">
        <v>7000</v>
      </c>
      <c r="E2165">
        <v>4.97411468752703</v>
      </c>
    </row>
    <row r="2166" spans="1:5">
      <c r="A2166" t="s">
        <v>3788</v>
      </c>
      <c r="B2166" t="s">
        <v>960</v>
      </c>
      <c r="C2166" t="s">
        <v>995</v>
      </c>
      <c r="D2166" t="s">
        <v>7098</v>
      </c>
      <c r="E2166">
        <v>1.102677603456051</v>
      </c>
    </row>
    <row r="2167" spans="1:5">
      <c r="A2167" t="s">
        <v>3789</v>
      </c>
      <c r="B2167" t="s">
        <v>960</v>
      </c>
      <c r="C2167" t="s">
        <v>995</v>
      </c>
      <c r="D2167" t="s">
        <v>7001</v>
      </c>
      <c r="E2167">
        <v>83.71303132236407</v>
      </c>
    </row>
    <row r="2168" spans="1:5">
      <c r="A2168" t="s">
        <v>3790</v>
      </c>
      <c r="B2168" t="s">
        <v>960</v>
      </c>
      <c r="C2168" t="s">
        <v>995</v>
      </c>
      <c r="D2168" t="s">
        <v>7099</v>
      </c>
      <c r="E2168">
        <v>0.05012161605257092</v>
      </c>
    </row>
    <row r="2169" spans="1:5">
      <c r="A2169" t="s">
        <v>3791</v>
      </c>
      <c r="B2169" t="s">
        <v>960</v>
      </c>
      <c r="C2169" t="s">
        <v>995</v>
      </c>
      <c r="D2169" t="s">
        <v>7100</v>
      </c>
      <c r="E2169">
        <v>84.31384897448305</v>
      </c>
    </row>
    <row r="2170" spans="1:5">
      <c r="A2170" t="s">
        <v>3792</v>
      </c>
      <c r="B2170" t="s">
        <v>960</v>
      </c>
      <c r="C2170" t="s">
        <v>995</v>
      </c>
      <c r="D2170" t="s">
        <v>7002</v>
      </c>
      <c r="E2170">
        <v>67.60334932704328</v>
      </c>
    </row>
    <row r="2171" spans="1:5">
      <c r="A2171" t="s">
        <v>3793</v>
      </c>
      <c r="B2171" t="s">
        <v>960</v>
      </c>
      <c r="C2171" t="s">
        <v>995</v>
      </c>
      <c r="D2171" t="s">
        <v>7101</v>
      </c>
      <c r="E2171">
        <v>3.024258648603648</v>
      </c>
    </row>
    <row r="2172" spans="1:5">
      <c r="A2172" t="s">
        <v>3794</v>
      </c>
      <c r="B2172" t="s">
        <v>960</v>
      </c>
      <c r="C2172" t="s">
        <v>995</v>
      </c>
      <c r="D2172" t="s">
        <v>7102</v>
      </c>
      <c r="E2172">
        <v>4.148749884265157</v>
      </c>
    </row>
    <row r="2173" spans="1:5">
      <c r="A2173" t="s">
        <v>3795</v>
      </c>
      <c r="B2173" t="s">
        <v>960</v>
      </c>
      <c r="C2173" t="s">
        <v>995</v>
      </c>
      <c r="D2173" t="s">
        <v>7103</v>
      </c>
      <c r="E2173">
        <v>0.2090473679314882</v>
      </c>
    </row>
    <row r="2174" spans="1:5">
      <c r="A2174" t="s">
        <v>3796</v>
      </c>
      <c r="B2174" t="s">
        <v>960</v>
      </c>
      <c r="C2174" t="s">
        <v>995</v>
      </c>
      <c r="D2174" t="s">
        <v>7104</v>
      </c>
      <c r="E2174">
        <v>81.84062734040944</v>
      </c>
    </row>
    <row r="2175" spans="1:5">
      <c r="A2175" t="s">
        <v>3797</v>
      </c>
      <c r="B2175" t="s">
        <v>960</v>
      </c>
      <c r="C2175" t="s">
        <v>995</v>
      </c>
      <c r="D2175" t="s">
        <v>7105</v>
      </c>
      <c r="E2175">
        <v>38.62593971952283</v>
      </c>
    </row>
    <row r="2176" spans="1:5">
      <c r="A2176" t="s">
        <v>3798</v>
      </c>
      <c r="B2176" t="s">
        <v>960</v>
      </c>
      <c r="C2176" t="s">
        <v>995</v>
      </c>
      <c r="D2176" t="s">
        <v>7106</v>
      </c>
      <c r="E2176">
        <v>20.78146502241121</v>
      </c>
    </row>
    <row r="2177" spans="1:5">
      <c r="A2177" t="s">
        <v>3799</v>
      </c>
      <c r="B2177" t="s">
        <v>960</v>
      </c>
      <c r="C2177" t="s">
        <v>995</v>
      </c>
      <c r="D2177" t="s">
        <v>7107</v>
      </c>
      <c r="E2177">
        <v>0.6844628649720039</v>
      </c>
    </row>
    <row r="2178" spans="1:5">
      <c r="A2178" t="s">
        <v>3800</v>
      </c>
      <c r="B2178" t="s">
        <v>960</v>
      </c>
      <c r="C2178" t="s">
        <v>995</v>
      </c>
      <c r="D2178" t="s">
        <v>7003</v>
      </c>
      <c r="E2178">
        <v>32.54309858798506</v>
      </c>
    </row>
    <row r="2179" spans="1:5">
      <c r="A2179" t="s">
        <v>3801</v>
      </c>
      <c r="B2179" t="s">
        <v>960</v>
      </c>
      <c r="C2179" t="s">
        <v>995</v>
      </c>
      <c r="D2179" t="s">
        <v>7004</v>
      </c>
      <c r="E2179">
        <v>238.2049387223402</v>
      </c>
    </row>
    <row r="2180" spans="1:5">
      <c r="A2180" t="s">
        <v>3802</v>
      </c>
      <c r="B2180" t="s">
        <v>960</v>
      </c>
      <c r="C2180" t="s">
        <v>995</v>
      </c>
      <c r="D2180" t="s">
        <v>7108</v>
      </c>
      <c r="E2180">
        <v>410.7267714476157</v>
      </c>
    </row>
    <row r="2181" spans="1:5">
      <c r="A2181" t="s">
        <v>3803</v>
      </c>
      <c r="B2181" t="s">
        <v>960</v>
      </c>
      <c r="C2181" t="s">
        <v>995</v>
      </c>
      <c r="D2181" t="s">
        <v>7109</v>
      </c>
      <c r="E2181">
        <v>12.49382529050675</v>
      </c>
    </row>
    <row r="2182" spans="1:5">
      <c r="A2182" t="s">
        <v>3804</v>
      </c>
      <c r="B2182" t="s">
        <v>960</v>
      </c>
      <c r="C2182" t="s">
        <v>995</v>
      </c>
      <c r="D2182" t="s">
        <v>7110</v>
      </c>
      <c r="E2182">
        <v>0.01249752350131816</v>
      </c>
    </row>
    <row r="2183" spans="1:5">
      <c r="A2183" t="s">
        <v>3805</v>
      </c>
      <c r="B2183" t="s">
        <v>960</v>
      </c>
      <c r="C2183" t="s">
        <v>995</v>
      </c>
      <c r="D2183" t="s">
        <v>7111</v>
      </c>
      <c r="E2183">
        <v>0.5350168254050964</v>
      </c>
    </row>
    <row r="2184" spans="1:5">
      <c r="A2184" t="s">
        <v>3806</v>
      </c>
      <c r="B2184" t="s">
        <v>960</v>
      </c>
      <c r="C2184" t="s">
        <v>995</v>
      </c>
      <c r="D2184" t="s">
        <v>7112</v>
      </c>
      <c r="E2184">
        <v>8.218535934598924</v>
      </c>
    </row>
    <row r="2185" spans="1:5">
      <c r="A2185" t="s">
        <v>3807</v>
      </c>
      <c r="B2185" t="s">
        <v>960</v>
      </c>
      <c r="C2185" t="s">
        <v>995</v>
      </c>
      <c r="D2185" t="s">
        <v>7113</v>
      </c>
      <c r="E2185">
        <v>0.06506523823280025</v>
      </c>
    </row>
    <row r="2186" spans="1:5">
      <c r="A2186" t="s">
        <v>3808</v>
      </c>
      <c r="B2186" t="s">
        <v>960</v>
      </c>
      <c r="C2186" t="s">
        <v>995</v>
      </c>
      <c r="D2186" t="s">
        <v>7114</v>
      </c>
      <c r="E2186">
        <v>14.48695351020408</v>
      </c>
    </row>
    <row r="2187" spans="1:5">
      <c r="A2187" t="s">
        <v>3809</v>
      </c>
      <c r="B2187" t="s">
        <v>960</v>
      </c>
      <c r="C2187" t="s">
        <v>995</v>
      </c>
      <c r="D2187" t="s">
        <v>7115</v>
      </c>
      <c r="E2187">
        <v>2.696598335791847</v>
      </c>
    </row>
    <row r="2188" spans="1:5">
      <c r="A2188" t="s">
        <v>3810</v>
      </c>
      <c r="B2188" t="s">
        <v>960</v>
      </c>
      <c r="C2188" t="s">
        <v>995</v>
      </c>
      <c r="D2188" t="s">
        <v>7116</v>
      </c>
      <c r="E2188">
        <v>18.66092580768766</v>
      </c>
    </row>
    <row r="2189" spans="1:5">
      <c r="A2189" t="s">
        <v>3811</v>
      </c>
      <c r="B2189" t="s">
        <v>960</v>
      </c>
      <c r="C2189" t="s">
        <v>995</v>
      </c>
      <c r="D2189" t="s">
        <v>7005</v>
      </c>
      <c r="E2189">
        <v>9.362726447014984</v>
      </c>
    </row>
    <row r="2190" spans="1:5">
      <c r="A2190" t="s">
        <v>3812</v>
      </c>
      <c r="B2190" t="s">
        <v>960</v>
      </c>
      <c r="C2190" t="s">
        <v>995</v>
      </c>
      <c r="D2190" t="s">
        <v>7117</v>
      </c>
      <c r="E2190">
        <v>32.87304458468707</v>
      </c>
    </row>
    <row r="2191" spans="1:5">
      <c r="A2191" t="s">
        <v>3813</v>
      </c>
      <c r="B2191" t="s">
        <v>960</v>
      </c>
      <c r="C2191" t="s">
        <v>995</v>
      </c>
      <c r="D2191" t="s">
        <v>7118</v>
      </c>
      <c r="E2191">
        <v>87.71969097827387</v>
      </c>
    </row>
    <row r="2192" spans="1:5">
      <c r="A2192" t="s">
        <v>3814</v>
      </c>
      <c r="B2192" t="s">
        <v>960</v>
      </c>
      <c r="C2192" t="s">
        <v>995</v>
      </c>
      <c r="D2192" t="s">
        <v>7119</v>
      </c>
      <c r="E2192">
        <v>105.0888874084733</v>
      </c>
    </row>
    <row r="2193" spans="1:5">
      <c r="A2193" t="s">
        <v>3815</v>
      </c>
      <c r="B2193" t="s">
        <v>960</v>
      </c>
      <c r="C2193" t="s">
        <v>995</v>
      </c>
      <c r="D2193" t="s">
        <v>7120</v>
      </c>
      <c r="E2193">
        <v>129.3587362342589</v>
      </c>
    </row>
    <row r="2194" spans="1:5">
      <c r="A2194" t="s">
        <v>3816</v>
      </c>
      <c r="B2194" t="s">
        <v>960</v>
      </c>
      <c r="C2194" t="s">
        <v>995</v>
      </c>
      <c r="D2194" t="s">
        <v>7006</v>
      </c>
      <c r="E2194">
        <v>6.664372690013196</v>
      </c>
    </row>
    <row r="2195" spans="1:5">
      <c r="A2195" t="s">
        <v>3817</v>
      </c>
      <c r="B2195" t="s">
        <v>960</v>
      </c>
      <c r="C2195" t="s">
        <v>995</v>
      </c>
      <c r="D2195" t="s">
        <v>7121</v>
      </c>
      <c r="E2195">
        <v>41.87320135535344</v>
      </c>
    </row>
    <row r="2196" spans="1:5">
      <c r="A2196" t="s">
        <v>3818</v>
      </c>
      <c r="B2196" t="s">
        <v>960</v>
      </c>
      <c r="C2196" t="s">
        <v>995</v>
      </c>
      <c r="D2196" t="s">
        <v>7122</v>
      </c>
      <c r="E2196">
        <v>217.315390172968</v>
      </c>
    </row>
    <row r="2197" spans="1:5">
      <c r="A2197" t="s">
        <v>3819</v>
      </c>
      <c r="B2197" t="s">
        <v>960</v>
      </c>
      <c r="C2197" t="s">
        <v>995</v>
      </c>
      <c r="D2197" t="s">
        <v>7123</v>
      </c>
      <c r="E2197">
        <v>9.734470021411807</v>
      </c>
    </row>
    <row r="2198" spans="1:5">
      <c r="A2198" t="s">
        <v>3820</v>
      </c>
      <c r="B2198" t="s">
        <v>960</v>
      </c>
      <c r="C2198" t="s">
        <v>995</v>
      </c>
      <c r="D2198" t="s">
        <v>7124</v>
      </c>
      <c r="E2198">
        <v>0.1183482791717396</v>
      </c>
    </row>
    <row r="2199" spans="1:5">
      <c r="A2199" t="s">
        <v>3821</v>
      </c>
      <c r="B2199" t="s">
        <v>960</v>
      </c>
      <c r="C2199" t="s">
        <v>995</v>
      </c>
      <c r="D2199" t="s">
        <v>7125</v>
      </c>
      <c r="E2199">
        <v>6.874868209067372</v>
      </c>
    </row>
    <row r="2200" spans="1:5">
      <c r="A2200" t="s">
        <v>3822</v>
      </c>
      <c r="B2200" t="s">
        <v>960</v>
      </c>
      <c r="C2200" t="s">
        <v>995</v>
      </c>
      <c r="D2200" t="s">
        <v>7126</v>
      </c>
      <c r="E2200">
        <v>0.08224354435530315</v>
      </c>
    </row>
    <row r="2201" spans="1:5">
      <c r="A2201" t="s">
        <v>3823</v>
      </c>
      <c r="B2201" t="s">
        <v>960</v>
      </c>
      <c r="C2201" t="s">
        <v>995</v>
      </c>
      <c r="D2201" t="s">
        <v>998</v>
      </c>
      <c r="E2201">
        <v>306.8115686333833</v>
      </c>
    </row>
    <row r="2202" spans="1:5">
      <c r="A2202" t="s">
        <v>3824</v>
      </c>
      <c r="B2202" t="s">
        <v>960</v>
      </c>
      <c r="C2202" t="s">
        <v>995</v>
      </c>
      <c r="D2202" t="s">
        <v>7127</v>
      </c>
      <c r="E2202">
        <v>7.582883202694858</v>
      </c>
    </row>
    <row r="2203" spans="1:5">
      <c r="A2203" t="s">
        <v>3825</v>
      </c>
      <c r="B2203" t="s">
        <v>960</v>
      </c>
      <c r="C2203" t="s">
        <v>995</v>
      </c>
      <c r="D2203" t="s">
        <v>7128</v>
      </c>
      <c r="E2203">
        <v>0.02541347487163821</v>
      </c>
    </row>
    <row r="2204" spans="1:5">
      <c r="A2204" t="s">
        <v>3826</v>
      </c>
      <c r="B2204" t="s">
        <v>960</v>
      </c>
      <c r="C2204" t="s">
        <v>995</v>
      </c>
      <c r="D2204" t="s">
        <v>7129</v>
      </c>
      <c r="E2204">
        <v>0.5415608226306174</v>
      </c>
    </row>
    <row r="2205" spans="1:5">
      <c r="A2205" t="s">
        <v>3827</v>
      </c>
      <c r="B2205" t="s">
        <v>960</v>
      </c>
      <c r="C2205" t="s">
        <v>995</v>
      </c>
      <c r="D2205" t="s">
        <v>7130</v>
      </c>
      <c r="E2205">
        <v>0.01168842139203689</v>
      </c>
    </row>
    <row r="2206" spans="1:5">
      <c r="A2206" t="s">
        <v>3828</v>
      </c>
      <c r="B2206" t="s">
        <v>960</v>
      </c>
      <c r="C2206" t="s">
        <v>995</v>
      </c>
      <c r="D2206" t="s">
        <v>7131</v>
      </c>
      <c r="E2206">
        <v>2.588290160763481</v>
      </c>
    </row>
    <row r="2207" spans="1:5">
      <c r="A2207" t="s">
        <v>3829</v>
      </c>
      <c r="B2207" t="s">
        <v>960</v>
      </c>
      <c r="C2207" t="s">
        <v>995</v>
      </c>
      <c r="D2207" t="s">
        <v>7132</v>
      </c>
      <c r="E2207">
        <v>113.8035016673079</v>
      </c>
    </row>
    <row r="2208" spans="1:5">
      <c r="A2208" t="s">
        <v>3830</v>
      </c>
      <c r="B2208" t="s">
        <v>960</v>
      </c>
      <c r="C2208" t="s">
        <v>995</v>
      </c>
      <c r="D2208" t="s">
        <v>7133</v>
      </c>
      <c r="E2208">
        <v>0.5410878472216929</v>
      </c>
    </row>
    <row r="2209" spans="1:5">
      <c r="A2209" t="s">
        <v>3831</v>
      </c>
      <c r="B2209" t="s">
        <v>960</v>
      </c>
      <c r="C2209" t="s">
        <v>995</v>
      </c>
      <c r="D2209" t="s">
        <v>7134</v>
      </c>
      <c r="E2209">
        <v>113.6675583581263</v>
      </c>
    </row>
    <row r="2210" spans="1:5">
      <c r="A2210" t="s">
        <v>3832</v>
      </c>
      <c r="B2210" t="s">
        <v>960</v>
      </c>
      <c r="C2210" t="s">
        <v>995</v>
      </c>
      <c r="D2210" t="s">
        <v>7135</v>
      </c>
      <c r="E2210">
        <v>171.4538375032969</v>
      </c>
    </row>
    <row r="2211" spans="1:5">
      <c r="A2211" t="s">
        <v>3833</v>
      </c>
      <c r="B2211" t="s">
        <v>960</v>
      </c>
      <c r="C2211" t="s">
        <v>995</v>
      </c>
      <c r="D2211" t="s">
        <v>7136</v>
      </c>
      <c r="E2211">
        <v>417.1376871464652</v>
      </c>
    </row>
    <row r="2212" spans="1:5">
      <c r="A2212" t="s">
        <v>3834</v>
      </c>
      <c r="B2212" t="s">
        <v>960</v>
      </c>
      <c r="C2212" t="s">
        <v>995</v>
      </c>
      <c r="D2212" t="s">
        <v>7137</v>
      </c>
      <c r="E2212">
        <v>0.5410878472216929</v>
      </c>
    </row>
    <row r="2213" spans="1:5">
      <c r="A2213" t="s">
        <v>3835</v>
      </c>
      <c r="B2213" t="s">
        <v>960</v>
      </c>
      <c r="C2213" t="s">
        <v>995</v>
      </c>
      <c r="D2213" t="s">
        <v>7138</v>
      </c>
      <c r="E2213">
        <v>2.974310000670399</v>
      </c>
    </row>
    <row r="2214" spans="1:5">
      <c r="A2214" t="s">
        <v>3836</v>
      </c>
      <c r="B2214" t="s">
        <v>960</v>
      </c>
      <c r="C2214" t="s">
        <v>995</v>
      </c>
      <c r="D2214" t="s">
        <v>7139</v>
      </c>
      <c r="E2214">
        <v>1.281165750997876</v>
      </c>
    </row>
    <row r="2215" spans="1:5">
      <c r="A2215" t="s">
        <v>3837</v>
      </c>
      <c r="B2215" t="s">
        <v>960</v>
      </c>
      <c r="C2215" t="s">
        <v>995</v>
      </c>
      <c r="D2215" t="s">
        <v>7007</v>
      </c>
      <c r="E2215">
        <v>18.66074332069307</v>
      </c>
    </row>
    <row r="2216" spans="1:5">
      <c r="A2216" t="s">
        <v>3838</v>
      </c>
      <c r="B2216" t="s">
        <v>960</v>
      </c>
      <c r="C2216" t="s">
        <v>995</v>
      </c>
      <c r="D2216" t="s">
        <v>7140</v>
      </c>
      <c r="E2216">
        <v>17.30629522248146</v>
      </c>
    </row>
    <row r="2217" spans="1:5">
      <c r="A2217" t="s">
        <v>3839</v>
      </c>
      <c r="B2217" t="s">
        <v>960</v>
      </c>
      <c r="C2217" t="s">
        <v>995</v>
      </c>
      <c r="D2217" t="s">
        <v>7141</v>
      </c>
      <c r="E2217">
        <v>11.40756328422298</v>
      </c>
    </row>
    <row r="2218" spans="1:5">
      <c r="A2218" t="s">
        <v>3840</v>
      </c>
      <c r="B2218" t="s">
        <v>960</v>
      </c>
      <c r="C2218" t="s">
        <v>995</v>
      </c>
      <c r="D2218" t="s">
        <v>7142</v>
      </c>
      <c r="E2218">
        <v>11.40756328422298</v>
      </c>
    </row>
    <row r="2219" spans="1:5">
      <c r="A2219" t="s">
        <v>3676</v>
      </c>
      <c r="B2219" t="s">
        <v>960</v>
      </c>
      <c r="C2219" t="s">
        <v>995</v>
      </c>
      <c r="D2219" t="s">
        <v>996</v>
      </c>
      <c r="E2219">
        <v>354.930361</v>
      </c>
    </row>
    <row r="2220" spans="1:5">
      <c r="A2220" t="s">
        <v>3841</v>
      </c>
      <c r="B2220" t="s">
        <v>6979</v>
      </c>
      <c r="C2220" t="s">
        <v>995</v>
      </c>
      <c r="D2220" t="s">
        <v>996</v>
      </c>
      <c r="E2220">
        <v>355.795207</v>
      </c>
    </row>
    <row r="2221" spans="1:5">
      <c r="A2221" t="s">
        <v>3842</v>
      </c>
      <c r="B2221" t="s">
        <v>6979</v>
      </c>
      <c r="C2221" t="s">
        <v>995</v>
      </c>
      <c r="D2221" t="s">
        <v>7008</v>
      </c>
      <c r="E2221">
        <v>84.01946382674849</v>
      </c>
    </row>
    <row r="2222" spans="1:5">
      <c r="A2222" t="s">
        <v>3843</v>
      </c>
      <c r="B2222" t="s">
        <v>6979</v>
      </c>
      <c r="C2222" t="s">
        <v>995</v>
      </c>
      <c r="D2222" t="s">
        <v>7009</v>
      </c>
      <c r="E2222">
        <v>4.899927844216443</v>
      </c>
    </row>
    <row r="2223" spans="1:5">
      <c r="A2223" t="s">
        <v>3844</v>
      </c>
      <c r="B2223" t="s">
        <v>6979</v>
      </c>
      <c r="C2223" t="s">
        <v>995</v>
      </c>
      <c r="D2223" t="s">
        <v>7010</v>
      </c>
      <c r="E2223">
        <v>3.735362162045826</v>
      </c>
    </row>
    <row r="2224" spans="1:5">
      <c r="A2224" t="s">
        <v>3845</v>
      </c>
      <c r="B2224" t="s">
        <v>6979</v>
      </c>
      <c r="C2224" t="s">
        <v>995</v>
      </c>
      <c r="D2224" t="s">
        <v>7011</v>
      </c>
      <c r="E2224">
        <v>0.8375347191712846</v>
      </c>
    </row>
    <row r="2225" spans="1:5">
      <c r="A2225" t="s">
        <v>3846</v>
      </c>
      <c r="B2225" t="s">
        <v>6979</v>
      </c>
      <c r="C2225" t="s">
        <v>995</v>
      </c>
      <c r="D2225" t="s">
        <v>7012</v>
      </c>
      <c r="E2225">
        <v>172.3807305979434</v>
      </c>
    </row>
    <row r="2226" spans="1:5">
      <c r="A2226" t="s">
        <v>3847</v>
      </c>
      <c r="B2226" t="s">
        <v>6979</v>
      </c>
      <c r="C2226" t="s">
        <v>995</v>
      </c>
      <c r="D2226" t="s">
        <v>7013</v>
      </c>
      <c r="E2226">
        <v>0.3232229647882845</v>
      </c>
    </row>
    <row r="2227" spans="1:5">
      <c r="A2227" t="s">
        <v>3848</v>
      </c>
      <c r="B2227" t="s">
        <v>6979</v>
      </c>
      <c r="C2227" t="s">
        <v>995</v>
      </c>
      <c r="D2227" t="s">
        <v>7014</v>
      </c>
      <c r="E2227">
        <v>0.2134785974158008</v>
      </c>
    </row>
    <row r="2228" spans="1:5">
      <c r="A2228" t="s">
        <v>3849</v>
      </c>
      <c r="B2228" t="s">
        <v>6979</v>
      </c>
      <c r="C2228" t="s">
        <v>995</v>
      </c>
      <c r="D2228" t="s">
        <v>6981</v>
      </c>
      <c r="E2228">
        <v>217.5340471660276</v>
      </c>
    </row>
    <row r="2229" spans="1:5">
      <c r="A2229" t="s">
        <v>3850</v>
      </c>
      <c r="B2229" t="s">
        <v>6979</v>
      </c>
      <c r="C2229" t="s">
        <v>995</v>
      </c>
      <c r="D2229" t="s">
        <v>7015</v>
      </c>
      <c r="E2229">
        <v>172.3807305979434</v>
      </c>
    </row>
    <row r="2230" spans="1:5">
      <c r="A2230" t="s">
        <v>3851</v>
      </c>
      <c r="B2230" t="s">
        <v>6979</v>
      </c>
      <c r="C2230" t="s">
        <v>995</v>
      </c>
      <c r="D2230" t="s">
        <v>7016</v>
      </c>
      <c r="E2230">
        <v>181.673598406071</v>
      </c>
    </row>
    <row r="2231" spans="1:5">
      <c r="A2231" t="s">
        <v>3852</v>
      </c>
      <c r="B2231" t="s">
        <v>6979</v>
      </c>
      <c r="C2231" t="s">
        <v>995</v>
      </c>
      <c r="D2231" t="s">
        <v>7017</v>
      </c>
      <c r="E2231">
        <v>181.915200707628</v>
      </c>
    </row>
    <row r="2232" spans="1:5">
      <c r="A2232" t="s">
        <v>3853</v>
      </c>
      <c r="B2232" t="s">
        <v>6979</v>
      </c>
      <c r="C2232" t="s">
        <v>995</v>
      </c>
      <c r="D2232" t="s">
        <v>7018</v>
      </c>
      <c r="E2232">
        <v>154.2807665923438</v>
      </c>
    </row>
    <row r="2233" spans="1:5">
      <c r="A2233" t="s">
        <v>3854</v>
      </c>
      <c r="B2233" t="s">
        <v>6979</v>
      </c>
      <c r="C2233" t="s">
        <v>995</v>
      </c>
      <c r="D2233" t="s">
        <v>7019</v>
      </c>
      <c r="E2233">
        <v>2.513069724307099</v>
      </c>
    </row>
    <row r="2234" spans="1:5">
      <c r="A2234" t="s">
        <v>3855</v>
      </c>
      <c r="B2234" t="s">
        <v>6979</v>
      </c>
      <c r="C2234" t="s">
        <v>995</v>
      </c>
      <c r="D2234" t="s">
        <v>997</v>
      </c>
      <c r="E2234">
        <v>181.915200707628</v>
      </c>
    </row>
    <row r="2235" spans="1:5">
      <c r="A2235" t="s">
        <v>3856</v>
      </c>
      <c r="B2235" t="s">
        <v>6979</v>
      </c>
      <c r="C2235" t="s">
        <v>995</v>
      </c>
      <c r="D2235" t="s">
        <v>7020</v>
      </c>
      <c r="E2235">
        <v>820.6422846361609</v>
      </c>
    </row>
    <row r="2236" spans="1:5">
      <c r="A2236" t="s">
        <v>3857</v>
      </c>
      <c r="B2236" t="s">
        <v>6979</v>
      </c>
      <c r="C2236" t="s">
        <v>995</v>
      </c>
      <c r="D2236" t="s">
        <v>7021</v>
      </c>
      <c r="E2236">
        <v>0.1033435961887445</v>
      </c>
    </row>
    <row r="2237" spans="1:5">
      <c r="A2237" t="s">
        <v>3858</v>
      </c>
      <c r="B2237" t="s">
        <v>6979</v>
      </c>
      <c r="C2237" t="s">
        <v>995</v>
      </c>
      <c r="D2237" t="s">
        <v>7022</v>
      </c>
      <c r="E2237">
        <v>308.5615331846876</v>
      </c>
    </row>
    <row r="2238" spans="1:5">
      <c r="A2238" t="s">
        <v>3859</v>
      </c>
      <c r="B2238" t="s">
        <v>6979</v>
      </c>
      <c r="C2238" t="s">
        <v>995</v>
      </c>
      <c r="D2238" t="s">
        <v>7023</v>
      </c>
      <c r="E2238">
        <v>239.4042716541658</v>
      </c>
    </row>
    <row r="2239" spans="1:5">
      <c r="A2239" t="s">
        <v>3860</v>
      </c>
      <c r="B2239" t="s">
        <v>6979</v>
      </c>
      <c r="C2239" t="s">
        <v>995</v>
      </c>
      <c r="D2239" t="s">
        <v>7024</v>
      </c>
      <c r="E2239">
        <v>44.60520564054089</v>
      </c>
    </row>
    <row r="2240" spans="1:5">
      <c r="A2240" t="s">
        <v>3861</v>
      </c>
      <c r="B2240" t="s">
        <v>6979</v>
      </c>
      <c r="C2240" t="s">
        <v>995</v>
      </c>
      <c r="D2240" t="s">
        <v>6982</v>
      </c>
      <c r="E2240">
        <v>59.73640193637198</v>
      </c>
    </row>
    <row r="2241" spans="1:5">
      <c r="A2241" t="s">
        <v>3862</v>
      </c>
      <c r="B2241" t="s">
        <v>6979</v>
      </c>
      <c r="C2241" t="s">
        <v>995</v>
      </c>
      <c r="D2241" t="s">
        <v>7025</v>
      </c>
      <c r="E2241">
        <v>308.5615331846876</v>
      </c>
    </row>
    <row r="2242" spans="1:5">
      <c r="A2242" t="s">
        <v>3863</v>
      </c>
      <c r="B2242" t="s">
        <v>6979</v>
      </c>
      <c r="C2242" t="s">
        <v>995</v>
      </c>
      <c r="D2242" t="s">
        <v>7026</v>
      </c>
      <c r="E2242">
        <v>3.224162578639862</v>
      </c>
    </row>
    <row r="2243" spans="1:5">
      <c r="A2243" t="s">
        <v>3864</v>
      </c>
      <c r="B2243" t="s">
        <v>6979</v>
      </c>
      <c r="C2243" t="s">
        <v>995</v>
      </c>
      <c r="D2243" t="s">
        <v>7027</v>
      </c>
      <c r="E2243">
        <v>21.90504735906717</v>
      </c>
    </row>
    <row r="2244" spans="1:5">
      <c r="A2244" t="s">
        <v>3865</v>
      </c>
      <c r="B2244" t="s">
        <v>6979</v>
      </c>
      <c r="C2244" t="s">
        <v>995</v>
      </c>
      <c r="D2244" t="s">
        <v>7028</v>
      </c>
      <c r="E2244">
        <v>110.2435575746834</v>
      </c>
    </row>
    <row r="2245" spans="1:5">
      <c r="A2245" t="s">
        <v>3866</v>
      </c>
      <c r="B2245" t="s">
        <v>6979</v>
      </c>
      <c r="C2245" t="s">
        <v>995</v>
      </c>
      <c r="D2245" t="s">
        <v>7029</v>
      </c>
      <c r="E2245">
        <v>154.2807665923438</v>
      </c>
    </row>
    <row r="2246" spans="1:5">
      <c r="A2246" t="s">
        <v>3867</v>
      </c>
      <c r="B2246" t="s">
        <v>6979</v>
      </c>
      <c r="C2246" t="s">
        <v>995</v>
      </c>
      <c r="D2246" t="s">
        <v>6983</v>
      </c>
      <c r="E2246">
        <v>221.1527615564441</v>
      </c>
    </row>
    <row r="2247" spans="1:5">
      <c r="A2247" t="s">
        <v>3868</v>
      </c>
      <c r="B2247" t="s">
        <v>6979</v>
      </c>
      <c r="C2247" t="s">
        <v>995</v>
      </c>
      <c r="D2247" t="s">
        <v>7030</v>
      </c>
      <c r="E2247">
        <v>0.1335303783128408</v>
      </c>
    </row>
    <row r="2248" spans="1:5">
      <c r="A2248" t="s">
        <v>3869</v>
      </c>
      <c r="B2248" t="s">
        <v>6979</v>
      </c>
      <c r="C2248" t="s">
        <v>995</v>
      </c>
      <c r="D2248" t="s">
        <v>6984</v>
      </c>
      <c r="E2248">
        <v>386.7612461750015</v>
      </c>
    </row>
    <row r="2249" spans="1:5">
      <c r="A2249" t="s">
        <v>3870</v>
      </c>
      <c r="B2249" t="s">
        <v>6979</v>
      </c>
      <c r="C2249" t="s">
        <v>995</v>
      </c>
      <c r="D2249" t="s">
        <v>7031</v>
      </c>
      <c r="E2249">
        <v>13344.65557722601</v>
      </c>
    </row>
    <row r="2250" spans="1:5">
      <c r="A2250" t="s">
        <v>3871</v>
      </c>
      <c r="B2250" t="s">
        <v>6979</v>
      </c>
      <c r="C2250" t="s">
        <v>995</v>
      </c>
      <c r="D2250" t="s">
        <v>7032</v>
      </c>
      <c r="E2250">
        <v>0.3376173131943911</v>
      </c>
    </row>
    <row r="2251" spans="1:5">
      <c r="A2251" t="s">
        <v>3872</v>
      </c>
      <c r="B2251" t="s">
        <v>6979</v>
      </c>
      <c r="C2251" t="s">
        <v>995</v>
      </c>
      <c r="D2251" t="s">
        <v>7033</v>
      </c>
      <c r="E2251">
        <v>45.47217986572618</v>
      </c>
    </row>
    <row r="2252" spans="1:5">
      <c r="A2252" t="s">
        <v>3873</v>
      </c>
      <c r="B2252" t="s">
        <v>6979</v>
      </c>
      <c r="C2252" t="s">
        <v>995</v>
      </c>
      <c r="D2252" t="s">
        <v>6985</v>
      </c>
      <c r="E2252">
        <v>45.43995446747947</v>
      </c>
    </row>
    <row r="2253" spans="1:5">
      <c r="A2253" t="s">
        <v>3874</v>
      </c>
      <c r="B2253" t="s">
        <v>6979</v>
      </c>
      <c r="C2253" t="s">
        <v>995</v>
      </c>
      <c r="D2253" t="s">
        <v>7034</v>
      </c>
      <c r="E2253">
        <v>0.08557793315376271</v>
      </c>
    </row>
    <row r="2254" spans="1:5">
      <c r="A2254" t="s">
        <v>3875</v>
      </c>
      <c r="B2254" t="s">
        <v>6979</v>
      </c>
      <c r="C2254" t="s">
        <v>995</v>
      </c>
      <c r="D2254" t="s">
        <v>7035</v>
      </c>
      <c r="E2254">
        <v>0.6706839068934557</v>
      </c>
    </row>
    <row r="2255" spans="1:5">
      <c r="A2255" t="s">
        <v>3876</v>
      </c>
      <c r="B2255" t="s">
        <v>6979</v>
      </c>
      <c r="C2255" t="s">
        <v>995</v>
      </c>
      <c r="D2255" t="s">
        <v>7036</v>
      </c>
      <c r="E2255">
        <v>12.85672915562059</v>
      </c>
    </row>
    <row r="2256" spans="1:5">
      <c r="A2256" t="s">
        <v>3877</v>
      </c>
      <c r="B2256" t="s">
        <v>6979</v>
      </c>
      <c r="C2256" t="s">
        <v>995</v>
      </c>
      <c r="D2256" t="s">
        <v>7037</v>
      </c>
      <c r="E2256">
        <v>3.226728399764204</v>
      </c>
    </row>
    <row r="2257" spans="1:5">
      <c r="A2257" t="s">
        <v>3878</v>
      </c>
      <c r="B2257" t="s">
        <v>6979</v>
      </c>
      <c r="C2257" t="s">
        <v>995</v>
      </c>
      <c r="D2257" t="s">
        <v>6986</v>
      </c>
      <c r="E2257">
        <v>14.69646463891275</v>
      </c>
    </row>
    <row r="2258" spans="1:5">
      <c r="A2258" t="s">
        <v>3879</v>
      </c>
      <c r="B2258" t="s">
        <v>6979</v>
      </c>
      <c r="C2258" t="s">
        <v>995</v>
      </c>
      <c r="D2258" t="s">
        <v>7038</v>
      </c>
      <c r="E2258">
        <v>1.73621291132947</v>
      </c>
    </row>
    <row r="2259" spans="1:5">
      <c r="A2259" t="s">
        <v>3880</v>
      </c>
      <c r="B2259" t="s">
        <v>6979</v>
      </c>
      <c r="C2259" t="s">
        <v>995</v>
      </c>
      <c r="D2259" t="s">
        <v>6987</v>
      </c>
      <c r="E2259">
        <v>47.67175118601492</v>
      </c>
    </row>
    <row r="2260" spans="1:5">
      <c r="A2260" t="s">
        <v>3881</v>
      </c>
      <c r="B2260" t="s">
        <v>6979</v>
      </c>
      <c r="C2260" t="s">
        <v>995</v>
      </c>
      <c r="D2260" t="s">
        <v>7039</v>
      </c>
      <c r="E2260">
        <v>5.301950079932668</v>
      </c>
    </row>
    <row r="2261" spans="1:5">
      <c r="A2261" t="s">
        <v>3882</v>
      </c>
      <c r="B2261" t="s">
        <v>6979</v>
      </c>
      <c r="C2261" t="s">
        <v>995</v>
      </c>
      <c r="D2261" t="s">
        <v>7040</v>
      </c>
      <c r="E2261">
        <v>2.307963959418312</v>
      </c>
    </row>
    <row r="2262" spans="1:5">
      <c r="A2262" t="s">
        <v>3883</v>
      </c>
      <c r="B2262" t="s">
        <v>6979</v>
      </c>
      <c r="C2262" t="s">
        <v>995</v>
      </c>
      <c r="D2262" t="s">
        <v>7041</v>
      </c>
      <c r="E2262">
        <v>5.925014007567934</v>
      </c>
    </row>
    <row r="2263" spans="1:5">
      <c r="A2263" t="s">
        <v>3884</v>
      </c>
      <c r="B2263" t="s">
        <v>6979</v>
      </c>
      <c r="C2263" t="s">
        <v>995</v>
      </c>
      <c r="D2263" t="s">
        <v>7042</v>
      </c>
      <c r="E2263">
        <v>20.57076650032721</v>
      </c>
    </row>
    <row r="2264" spans="1:5">
      <c r="A2264" t="s">
        <v>3885</v>
      </c>
      <c r="B2264" t="s">
        <v>6979</v>
      </c>
      <c r="C2264" t="s">
        <v>995</v>
      </c>
      <c r="D2264" t="s">
        <v>7043</v>
      </c>
      <c r="E2264">
        <v>1.927807841588108</v>
      </c>
    </row>
    <row r="2265" spans="1:5">
      <c r="A2265" t="s">
        <v>3886</v>
      </c>
      <c r="B2265" t="s">
        <v>6979</v>
      </c>
      <c r="C2265" t="s">
        <v>995</v>
      </c>
      <c r="D2265" t="s">
        <v>7044</v>
      </c>
      <c r="E2265">
        <v>139.4461065675768</v>
      </c>
    </row>
    <row r="2266" spans="1:5">
      <c r="A2266" t="s">
        <v>3887</v>
      </c>
      <c r="B2266" t="s">
        <v>6979</v>
      </c>
      <c r="C2266" t="s">
        <v>995</v>
      </c>
      <c r="D2266" t="s">
        <v>7045</v>
      </c>
      <c r="E2266">
        <v>411.6046864335211</v>
      </c>
    </row>
    <row r="2267" spans="1:5">
      <c r="A2267" t="s">
        <v>3888</v>
      </c>
      <c r="B2267" t="s">
        <v>6979</v>
      </c>
      <c r="C2267" t="s">
        <v>995</v>
      </c>
      <c r="D2267" t="s">
        <v>7046</v>
      </c>
      <c r="E2267">
        <v>47.67176396075963</v>
      </c>
    </row>
    <row r="2268" spans="1:5">
      <c r="A2268" t="s">
        <v>3889</v>
      </c>
      <c r="B2268" t="s">
        <v>6979</v>
      </c>
      <c r="C2268" t="s">
        <v>995</v>
      </c>
      <c r="D2268" t="s">
        <v>6988</v>
      </c>
      <c r="E2268">
        <v>411.6046864335211</v>
      </c>
    </row>
    <row r="2269" spans="1:5">
      <c r="A2269" t="s">
        <v>3890</v>
      </c>
      <c r="B2269" t="s">
        <v>6979</v>
      </c>
      <c r="C2269" t="s">
        <v>995</v>
      </c>
      <c r="D2269" t="s">
        <v>7047</v>
      </c>
      <c r="E2269">
        <v>115.9626108430739</v>
      </c>
    </row>
    <row r="2270" spans="1:5">
      <c r="A2270" t="s">
        <v>3891</v>
      </c>
      <c r="B2270" t="s">
        <v>6979</v>
      </c>
      <c r="C2270" t="s">
        <v>995</v>
      </c>
      <c r="D2270" t="s">
        <v>7048</v>
      </c>
      <c r="E2270">
        <v>411.6046864335211</v>
      </c>
    </row>
    <row r="2271" spans="1:5">
      <c r="A2271" t="s">
        <v>3892</v>
      </c>
      <c r="B2271" t="s">
        <v>6979</v>
      </c>
      <c r="C2271" t="s">
        <v>995</v>
      </c>
      <c r="D2271" t="s">
        <v>7049</v>
      </c>
      <c r="E2271">
        <v>26.10174867198779</v>
      </c>
    </row>
    <row r="2272" spans="1:5">
      <c r="A2272" t="s">
        <v>3893</v>
      </c>
      <c r="B2272" t="s">
        <v>6979</v>
      </c>
      <c r="C2272" t="s">
        <v>995</v>
      </c>
      <c r="D2272" t="s">
        <v>7050</v>
      </c>
      <c r="E2272">
        <v>411.6046864335211</v>
      </c>
    </row>
    <row r="2273" spans="1:5">
      <c r="A2273" t="s">
        <v>3894</v>
      </c>
      <c r="B2273" t="s">
        <v>6979</v>
      </c>
      <c r="C2273" t="s">
        <v>995</v>
      </c>
      <c r="D2273" t="s">
        <v>7051</v>
      </c>
      <c r="E2273">
        <v>4.15599312151679</v>
      </c>
    </row>
    <row r="2274" spans="1:5">
      <c r="A2274" t="s">
        <v>3895</v>
      </c>
      <c r="B2274" t="s">
        <v>6979</v>
      </c>
      <c r="C2274" t="s">
        <v>995</v>
      </c>
      <c r="D2274" t="s">
        <v>7052</v>
      </c>
      <c r="E2274">
        <v>0.03514614864337857</v>
      </c>
    </row>
    <row r="2275" spans="1:5">
      <c r="A2275" t="s">
        <v>3896</v>
      </c>
      <c r="B2275" t="s">
        <v>6979</v>
      </c>
      <c r="C2275" t="s">
        <v>995</v>
      </c>
      <c r="D2275" t="s">
        <v>7053</v>
      </c>
      <c r="E2275">
        <v>40.51378813918394</v>
      </c>
    </row>
    <row r="2276" spans="1:5">
      <c r="A2276" t="s">
        <v>3897</v>
      </c>
      <c r="B2276" t="s">
        <v>6979</v>
      </c>
      <c r="C2276" t="s">
        <v>995</v>
      </c>
      <c r="D2276" t="s">
        <v>7054</v>
      </c>
      <c r="E2276">
        <v>1.474858085485717</v>
      </c>
    </row>
    <row r="2277" spans="1:5">
      <c r="A2277" t="s">
        <v>3898</v>
      </c>
      <c r="B2277" t="s">
        <v>6979</v>
      </c>
      <c r="C2277" t="s">
        <v>995</v>
      </c>
      <c r="D2277" t="s">
        <v>6989</v>
      </c>
      <c r="E2277">
        <v>39.36883831482726</v>
      </c>
    </row>
    <row r="2278" spans="1:5">
      <c r="A2278" t="s">
        <v>3899</v>
      </c>
      <c r="B2278" t="s">
        <v>6979</v>
      </c>
      <c r="C2278" t="s">
        <v>995</v>
      </c>
      <c r="D2278" t="s">
        <v>7055</v>
      </c>
      <c r="E2278">
        <v>11.59530570206676</v>
      </c>
    </row>
    <row r="2279" spans="1:5">
      <c r="A2279" t="s">
        <v>3900</v>
      </c>
      <c r="B2279" t="s">
        <v>6979</v>
      </c>
      <c r="C2279" t="s">
        <v>995</v>
      </c>
      <c r="D2279" t="s">
        <v>7056</v>
      </c>
      <c r="E2279">
        <v>47.22213909350322</v>
      </c>
    </row>
    <row r="2280" spans="1:5">
      <c r="A2280" t="s">
        <v>3901</v>
      </c>
      <c r="B2280" t="s">
        <v>6979</v>
      </c>
      <c r="C2280" t="s">
        <v>995</v>
      </c>
      <c r="D2280" t="s">
        <v>7057</v>
      </c>
      <c r="E2280">
        <v>2.359371347314214</v>
      </c>
    </row>
    <row r="2281" spans="1:5">
      <c r="A2281" t="s">
        <v>3902</v>
      </c>
      <c r="B2281" t="s">
        <v>6979</v>
      </c>
      <c r="C2281" t="s">
        <v>995</v>
      </c>
      <c r="D2281" t="s">
        <v>6990</v>
      </c>
      <c r="E2281">
        <v>0.01700173471819844</v>
      </c>
    </row>
    <row r="2282" spans="1:5">
      <c r="A2282" t="s">
        <v>3903</v>
      </c>
      <c r="B2282" t="s">
        <v>6979</v>
      </c>
      <c r="C2282" t="s">
        <v>995</v>
      </c>
      <c r="D2282" t="s">
        <v>6991</v>
      </c>
      <c r="E2282">
        <v>105.061569330349</v>
      </c>
    </row>
    <row r="2283" spans="1:5">
      <c r="A2283" t="s">
        <v>3904</v>
      </c>
      <c r="B2283" t="s">
        <v>6979</v>
      </c>
      <c r="C2283" t="s">
        <v>995</v>
      </c>
      <c r="D2283" t="s">
        <v>7058</v>
      </c>
      <c r="E2283">
        <v>411.6046864335211</v>
      </c>
    </row>
    <row r="2284" spans="1:5">
      <c r="A2284" t="s">
        <v>3905</v>
      </c>
      <c r="B2284" t="s">
        <v>6979</v>
      </c>
      <c r="C2284" t="s">
        <v>995</v>
      </c>
      <c r="D2284" t="s">
        <v>6992</v>
      </c>
      <c r="E2284">
        <v>3.224155362087719</v>
      </c>
    </row>
    <row r="2285" spans="1:5">
      <c r="A2285" t="s">
        <v>3906</v>
      </c>
      <c r="B2285" t="s">
        <v>6979</v>
      </c>
      <c r="C2285" t="s">
        <v>995</v>
      </c>
      <c r="D2285" t="s">
        <v>7059</v>
      </c>
      <c r="E2285">
        <v>0.2349331468948844</v>
      </c>
    </row>
    <row r="2286" spans="1:5">
      <c r="A2286" t="s">
        <v>3907</v>
      </c>
      <c r="B2286" t="s">
        <v>6979</v>
      </c>
      <c r="C2286" t="s">
        <v>995</v>
      </c>
      <c r="D2286" t="s">
        <v>7060</v>
      </c>
      <c r="E2286">
        <v>0.0002247441360311081</v>
      </c>
    </row>
    <row r="2287" spans="1:5">
      <c r="A2287" t="s">
        <v>3908</v>
      </c>
      <c r="B2287" t="s">
        <v>6979</v>
      </c>
      <c r="C2287" t="s">
        <v>995</v>
      </c>
      <c r="D2287" t="s">
        <v>6993</v>
      </c>
      <c r="E2287">
        <v>2.477757488398639</v>
      </c>
    </row>
    <row r="2288" spans="1:5">
      <c r="A2288" t="s">
        <v>3909</v>
      </c>
      <c r="B2288" t="s">
        <v>6979</v>
      </c>
      <c r="C2288" t="s">
        <v>995</v>
      </c>
      <c r="D2288" t="s">
        <v>7061</v>
      </c>
      <c r="E2288">
        <v>411.6046864335211</v>
      </c>
    </row>
    <row r="2289" spans="1:5">
      <c r="A2289" t="s">
        <v>3910</v>
      </c>
      <c r="B2289" t="s">
        <v>6979</v>
      </c>
      <c r="C2289" t="s">
        <v>995</v>
      </c>
      <c r="D2289" t="s">
        <v>7062</v>
      </c>
      <c r="E2289">
        <v>1.956530019002353</v>
      </c>
    </row>
    <row r="2290" spans="1:5">
      <c r="A2290" t="s">
        <v>3911</v>
      </c>
      <c r="B2290" t="s">
        <v>6979</v>
      </c>
      <c r="C2290" t="s">
        <v>995</v>
      </c>
      <c r="D2290" t="s">
        <v>7063</v>
      </c>
      <c r="E2290">
        <v>435.2064591967042</v>
      </c>
    </row>
    <row r="2291" spans="1:5">
      <c r="A2291" t="s">
        <v>3912</v>
      </c>
      <c r="B2291" t="s">
        <v>6979</v>
      </c>
      <c r="C2291" t="s">
        <v>995</v>
      </c>
      <c r="D2291" t="s">
        <v>6994</v>
      </c>
      <c r="E2291">
        <v>1.926168005874036</v>
      </c>
    </row>
    <row r="2292" spans="1:5">
      <c r="A2292" t="s">
        <v>3913</v>
      </c>
      <c r="B2292" t="s">
        <v>6979</v>
      </c>
      <c r="C2292" t="s">
        <v>995</v>
      </c>
      <c r="D2292" t="s">
        <v>7064</v>
      </c>
      <c r="E2292">
        <v>2.383574129929626</v>
      </c>
    </row>
    <row r="2293" spans="1:5">
      <c r="A2293" t="s">
        <v>3914</v>
      </c>
      <c r="B2293" t="s">
        <v>6979</v>
      </c>
      <c r="C2293" t="s">
        <v>995</v>
      </c>
      <c r="D2293" t="s">
        <v>7065</v>
      </c>
      <c r="E2293">
        <v>3.528968300451561</v>
      </c>
    </row>
    <row r="2294" spans="1:5">
      <c r="A2294" t="s">
        <v>3915</v>
      </c>
      <c r="B2294" t="s">
        <v>6979</v>
      </c>
      <c r="C2294" t="s">
        <v>995</v>
      </c>
      <c r="D2294" t="s">
        <v>7066</v>
      </c>
      <c r="E2294">
        <v>0.07630307332162331</v>
      </c>
    </row>
    <row r="2295" spans="1:5">
      <c r="A2295" t="s">
        <v>3916</v>
      </c>
      <c r="B2295" t="s">
        <v>6979</v>
      </c>
      <c r="C2295" t="s">
        <v>995</v>
      </c>
      <c r="D2295" t="s">
        <v>7067</v>
      </c>
      <c r="E2295">
        <v>217.4691621151148</v>
      </c>
    </row>
    <row r="2296" spans="1:5">
      <c r="A2296" t="s">
        <v>3917</v>
      </c>
      <c r="B2296" t="s">
        <v>6979</v>
      </c>
      <c r="C2296" t="s">
        <v>995</v>
      </c>
      <c r="D2296" t="s">
        <v>7068</v>
      </c>
      <c r="E2296">
        <v>0.7232083952657465</v>
      </c>
    </row>
    <row r="2297" spans="1:5">
      <c r="A2297" t="s">
        <v>3918</v>
      </c>
      <c r="B2297" t="s">
        <v>6979</v>
      </c>
      <c r="C2297" t="s">
        <v>995</v>
      </c>
      <c r="D2297" t="s">
        <v>6995</v>
      </c>
      <c r="E2297">
        <v>0.2018802122301867</v>
      </c>
    </row>
    <row r="2298" spans="1:5">
      <c r="A2298" t="s">
        <v>3919</v>
      </c>
      <c r="B2298" t="s">
        <v>6979</v>
      </c>
      <c r="C2298" t="s">
        <v>995</v>
      </c>
      <c r="D2298" t="s">
        <v>7069</v>
      </c>
      <c r="E2298">
        <v>1000.059608065795</v>
      </c>
    </row>
    <row r="2299" spans="1:5">
      <c r="A2299" t="s">
        <v>3920</v>
      </c>
      <c r="B2299" t="s">
        <v>6979</v>
      </c>
      <c r="C2299" t="s">
        <v>995</v>
      </c>
      <c r="D2299" t="s">
        <v>7070</v>
      </c>
      <c r="E2299">
        <v>370.2740324925564</v>
      </c>
    </row>
    <row r="2300" spans="1:5">
      <c r="A2300" t="s">
        <v>3921</v>
      </c>
      <c r="B2300" t="s">
        <v>6979</v>
      </c>
      <c r="C2300" t="s">
        <v>995</v>
      </c>
      <c r="D2300" t="s">
        <v>7071</v>
      </c>
      <c r="E2300">
        <v>0.6341901947684572</v>
      </c>
    </row>
    <row r="2301" spans="1:5">
      <c r="A2301" t="s">
        <v>3922</v>
      </c>
      <c r="B2301" t="s">
        <v>6979</v>
      </c>
      <c r="C2301" t="s">
        <v>995</v>
      </c>
      <c r="D2301" t="s">
        <v>7072</v>
      </c>
      <c r="E2301">
        <v>0.01406786253989083</v>
      </c>
    </row>
    <row r="2302" spans="1:5">
      <c r="A2302" t="s">
        <v>3923</v>
      </c>
      <c r="B2302" t="s">
        <v>6979</v>
      </c>
      <c r="C2302" t="s">
        <v>995</v>
      </c>
      <c r="D2302" t="s">
        <v>7073</v>
      </c>
      <c r="E2302">
        <v>0.003447614470814346</v>
      </c>
    </row>
    <row r="2303" spans="1:5">
      <c r="A2303" t="s">
        <v>3924</v>
      </c>
      <c r="B2303" t="s">
        <v>6979</v>
      </c>
      <c r="C2303" t="s">
        <v>995</v>
      </c>
      <c r="D2303" t="s">
        <v>7074</v>
      </c>
      <c r="E2303">
        <v>0.9168594607831519</v>
      </c>
    </row>
    <row r="2304" spans="1:5">
      <c r="A2304" t="s">
        <v>3925</v>
      </c>
      <c r="B2304" t="s">
        <v>6979</v>
      </c>
      <c r="C2304" t="s">
        <v>995</v>
      </c>
      <c r="D2304" t="s">
        <v>7075</v>
      </c>
      <c r="E2304">
        <v>1.692352297261966</v>
      </c>
    </row>
    <row r="2305" spans="1:5">
      <c r="A2305" t="s">
        <v>3926</v>
      </c>
      <c r="B2305" t="s">
        <v>6979</v>
      </c>
      <c r="C2305" t="s">
        <v>995</v>
      </c>
      <c r="D2305" t="s">
        <v>7076</v>
      </c>
      <c r="E2305">
        <v>18.68160229609331</v>
      </c>
    </row>
    <row r="2306" spans="1:5">
      <c r="A2306" t="s">
        <v>3927</v>
      </c>
      <c r="B2306" t="s">
        <v>6979</v>
      </c>
      <c r="C2306" t="s">
        <v>995</v>
      </c>
      <c r="D2306" t="s">
        <v>7077</v>
      </c>
      <c r="E2306">
        <v>48.51168918395641</v>
      </c>
    </row>
    <row r="2307" spans="1:5">
      <c r="A2307" t="s">
        <v>3928</v>
      </c>
      <c r="B2307" t="s">
        <v>6979</v>
      </c>
      <c r="C2307" t="s">
        <v>995</v>
      </c>
      <c r="D2307" t="s">
        <v>7078</v>
      </c>
      <c r="E2307">
        <v>33.3511908963333</v>
      </c>
    </row>
    <row r="2308" spans="1:5">
      <c r="A2308" t="s">
        <v>3929</v>
      </c>
      <c r="B2308" t="s">
        <v>6979</v>
      </c>
      <c r="C2308" t="s">
        <v>995</v>
      </c>
      <c r="D2308" t="s">
        <v>7079</v>
      </c>
      <c r="E2308">
        <v>17.81886479280934</v>
      </c>
    </row>
    <row r="2309" spans="1:5">
      <c r="A2309" t="s">
        <v>3930</v>
      </c>
      <c r="B2309" t="s">
        <v>6979</v>
      </c>
      <c r="C2309" t="s">
        <v>995</v>
      </c>
      <c r="D2309" t="s">
        <v>7080</v>
      </c>
      <c r="E2309">
        <v>0.07333089767322032</v>
      </c>
    </row>
    <row r="2310" spans="1:5">
      <c r="A2310" t="s">
        <v>3931</v>
      </c>
      <c r="B2310" t="s">
        <v>6979</v>
      </c>
      <c r="C2310" t="s">
        <v>995</v>
      </c>
      <c r="D2310" t="s">
        <v>7081</v>
      </c>
      <c r="E2310">
        <v>5.769227889193011</v>
      </c>
    </row>
    <row r="2311" spans="1:5">
      <c r="A2311" t="s">
        <v>3932</v>
      </c>
      <c r="B2311" t="s">
        <v>6979</v>
      </c>
      <c r="C2311" t="s">
        <v>995</v>
      </c>
      <c r="D2311" t="s">
        <v>7082</v>
      </c>
      <c r="E2311">
        <v>0.1469717752819151</v>
      </c>
    </row>
    <row r="2312" spans="1:5">
      <c r="A2312" t="s">
        <v>3933</v>
      </c>
      <c r="B2312" t="s">
        <v>6979</v>
      </c>
      <c r="C2312" t="s">
        <v>995</v>
      </c>
      <c r="D2312" t="s">
        <v>7083</v>
      </c>
      <c r="E2312">
        <v>0.08678587824767135</v>
      </c>
    </row>
    <row r="2313" spans="1:5">
      <c r="A2313" t="s">
        <v>3934</v>
      </c>
      <c r="B2313" t="s">
        <v>6979</v>
      </c>
      <c r="C2313" t="s">
        <v>995</v>
      </c>
      <c r="D2313" t="s">
        <v>7084</v>
      </c>
      <c r="E2313">
        <v>38.22218745152334</v>
      </c>
    </row>
    <row r="2314" spans="1:5">
      <c r="A2314" t="s">
        <v>3935</v>
      </c>
      <c r="B2314" t="s">
        <v>6979</v>
      </c>
      <c r="C2314" t="s">
        <v>995</v>
      </c>
      <c r="D2314" t="s">
        <v>7085</v>
      </c>
      <c r="E2314">
        <v>7.713638290790824</v>
      </c>
    </row>
    <row r="2315" spans="1:5">
      <c r="A2315" t="s">
        <v>3936</v>
      </c>
      <c r="B2315" t="s">
        <v>6979</v>
      </c>
      <c r="C2315" t="s">
        <v>995</v>
      </c>
      <c r="D2315" t="s">
        <v>7086</v>
      </c>
      <c r="E2315">
        <v>6.452017244563091</v>
      </c>
    </row>
    <row r="2316" spans="1:5">
      <c r="A2316" t="s">
        <v>3937</v>
      </c>
      <c r="B2316" t="s">
        <v>6979</v>
      </c>
      <c r="C2316" t="s">
        <v>995</v>
      </c>
      <c r="D2316" t="s">
        <v>7087</v>
      </c>
      <c r="E2316">
        <v>19.98350339010829</v>
      </c>
    </row>
    <row r="2317" spans="1:5">
      <c r="A2317" t="s">
        <v>3938</v>
      </c>
      <c r="B2317" t="s">
        <v>6979</v>
      </c>
      <c r="C2317" t="s">
        <v>995</v>
      </c>
      <c r="D2317" t="s">
        <v>7088</v>
      </c>
      <c r="E2317">
        <v>0.1767377391111768</v>
      </c>
    </row>
    <row r="2318" spans="1:5">
      <c r="A2318" t="s">
        <v>3939</v>
      </c>
      <c r="B2318" t="s">
        <v>6979</v>
      </c>
      <c r="C2318" t="s">
        <v>995</v>
      </c>
      <c r="D2318" t="s">
        <v>6996</v>
      </c>
      <c r="E2318">
        <v>17.67360499954176</v>
      </c>
    </row>
    <row r="2319" spans="1:5">
      <c r="A2319" t="s">
        <v>3940</v>
      </c>
      <c r="B2319" t="s">
        <v>6979</v>
      </c>
      <c r="C2319" t="s">
        <v>995</v>
      </c>
      <c r="D2319" t="s">
        <v>6997</v>
      </c>
      <c r="E2319">
        <v>75.73507585955572</v>
      </c>
    </row>
    <row r="2320" spans="1:5">
      <c r="A2320" t="s">
        <v>3941</v>
      </c>
      <c r="B2320" t="s">
        <v>6979</v>
      </c>
      <c r="C2320" t="s">
        <v>995</v>
      </c>
      <c r="D2320" t="s">
        <v>7089</v>
      </c>
      <c r="E2320">
        <v>4.833266391646753</v>
      </c>
    </row>
    <row r="2321" spans="1:5">
      <c r="A2321" t="s">
        <v>3942</v>
      </c>
      <c r="B2321" t="s">
        <v>6979</v>
      </c>
      <c r="C2321" t="s">
        <v>995</v>
      </c>
      <c r="D2321" t="s">
        <v>7090</v>
      </c>
      <c r="E2321">
        <v>18.68160229609331</v>
      </c>
    </row>
    <row r="2322" spans="1:5">
      <c r="A2322" t="s">
        <v>3943</v>
      </c>
      <c r="B2322" t="s">
        <v>6979</v>
      </c>
      <c r="C2322" t="s">
        <v>995</v>
      </c>
      <c r="D2322" t="s">
        <v>7091</v>
      </c>
      <c r="E2322">
        <v>0.228299142527733</v>
      </c>
    </row>
    <row r="2323" spans="1:5">
      <c r="A2323" t="s">
        <v>3944</v>
      </c>
      <c r="B2323" t="s">
        <v>6979</v>
      </c>
      <c r="C2323" t="s">
        <v>995</v>
      </c>
      <c r="D2323" t="s">
        <v>7092</v>
      </c>
      <c r="E2323">
        <v>8.402578558909553</v>
      </c>
    </row>
    <row r="2324" spans="1:5">
      <c r="A2324" t="s">
        <v>3945</v>
      </c>
      <c r="B2324" t="s">
        <v>6979</v>
      </c>
      <c r="C2324" t="s">
        <v>995</v>
      </c>
      <c r="D2324" t="s">
        <v>6998</v>
      </c>
      <c r="E2324">
        <v>32.58298420015343</v>
      </c>
    </row>
    <row r="2325" spans="1:5">
      <c r="A2325" t="s">
        <v>3946</v>
      </c>
      <c r="B2325" t="s">
        <v>6979</v>
      </c>
      <c r="C2325" t="s">
        <v>995</v>
      </c>
      <c r="D2325" t="s">
        <v>7093</v>
      </c>
      <c r="E2325">
        <v>2.015101611649913</v>
      </c>
    </row>
    <row r="2326" spans="1:5">
      <c r="A2326" t="s">
        <v>3947</v>
      </c>
      <c r="B2326" t="s">
        <v>6979</v>
      </c>
      <c r="C2326" t="s">
        <v>995</v>
      </c>
      <c r="D2326" t="s">
        <v>6999</v>
      </c>
      <c r="E2326">
        <v>179.2362292783655</v>
      </c>
    </row>
    <row r="2327" spans="1:5">
      <c r="A2327" t="s">
        <v>3948</v>
      </c>
      <c r="B2327" t="s">
        <v>6979</v>
      </c>
      <c r="C2327" t="s">
        <v>995</v>
      </c>
      <c r="D2327" t="s">
        <v>7094</v>
      </c>
      <c r="E2327">
        <v>802.5063594636352</v>
      </c>
    </row>
    <row r="2328" spans="1:5">
      <c r="A2328" t="s">
        <v>3949</v>
      </c>
      <c r="B2328" t="s">
        <v>6979</v>
      </c>
      <c r="C2328" t="s">
        <v>995</v>
      </c>
      <c r="D2328" t="s">
        <v>7095</v>
      </c>
      <c r="E2328">
        <v>308.5615331846876</v>
      </c>
    </row>
    <row r="2329" spans="1:5">
      <c r="A2329" t="s">
        <v>3950</v>
      </c>
      <c r="B2329" t="s">
        <v>6979</v>
      </c>
      <c r="C2329" t="s">
        <v>995</v>
      </c>
      <c r="D2329" t="s">
        <v>7096</v>
      </c>
      <c r="E2329">
        <v>88.73300308649365</v>
      </c>
    </row>
    <row r="2330" spans="1:5">
      <c r="A2330" t="s">
        <v>3951</v>
      </c>
      <c r="B2330" t="s">
        <v>6979</v>
      </c>
      <c r="C2330" t="s">
        <v>995</v>
      </c>
      <c r="D2330" t="s">
        <v>7097</v>
      </c>
      <c r="E2330">
        <v>70.05959615750035</v>
      </c>
    </row>
    <row r="2331" spans="1:5">
      <c r="A2331" t="s">
        <v>3952</v>
      </c>
      <c r="B2331" t="s">
        <v>6979</v>
      </c>
      <c r="C2331" t="s">
        <v>995</v>
      </c>
      <c r="D2331" t="s">
        <v>7000</v>
      </c>
      <c r="E2331">
        <v>5.002126171264394</v>
      </c>
    </row>
    <row r="2332" spans="1:5">
      <c r="A2332" t="s">
        <v>3953</v>
      </c>
      <c r="B2332" t="s">
        <v>6979</v>
      </c>
      <c r="C2332" t="s">
        <v>995</v>
      </c>
      <c r="D2332" t="s">
        <v>7098</v>
      </c>
      <c r="E2332">
        <v>1.109058892624752</v>
      </c>
    </row>
    <row r="2333" spans="1:5">
      <c r="A2333" t="s">
        <v>3954</v>
      </c>
      <c r="B2333" t="s">
        <v>6979</v>
      </c>
      <c r="C2333" t="s">
        <v>995</v>
      </c>
      <c r="D2333" t="s">
        <v>7001</v>
      </c>
      <c r="E2333">
        <v>83.8875512073439</v>
      </c>
    </row>
    <row r="2334" spans="1:5">
      <c r="A2334" t="s">
        <v>3955</v>
      </c>
      <c r="B2334" t="s">
        <v>6979</v>
      </c>
      <c r="C2334" t="s">
        <v>995</v>
      </c>
      <c r="D2334" t="s">
        <v>7099</v>
      </c>
      <c r="E2334">
        <v>0.0505115454034236</v>
      </c>
    </row>
    <row r="2335" spans="1:5">
      <c r="A2335" t="s">
        <v>3956</v>
      </c>
      <c r="B2335" t="s">
        <v>6979</v>
      </c>
      <c r="C2335" t="s">
        <v>995</v>
      </c>
      <c r="D2335" t="s">
        <v>7100</v>
      </c>
      <c r="E2335">
        <v>84.76963743218398</v>
      </c>
    </row>
    <row r="2336" spans="1:5">
      <c r="A2336" t="s">
        <v>3957</v>
      </c>
      <c r="B2336" t="s">
        <v>6979</v>
      </c>
      <c r="C2336" t="s">
        <v>995</v>
      </c>
      <c r="D2336" t="s">
        <v>7002</v>
      </c>
      <c r="E2336">
        <v>67.84504178208709</v>
      </c>
    </row>
    <row r="2337" spans="1:5">
      <c r="A2337" t="s">
        <v>3958</v>
      </c>
      <c r="B2337" t="s">
        <v>6979</v>
      </c>
      <c r="C2337" t="s">
        <v>995</v>
      </c>
      <c r="D2337" t="s">
        <v>7101</v>
      </c>
      <c r="E2337">
        <v>3.030462907997109</v>
      </c>
    </row>
    <row r="2338" spans="1:5">
      <c r="A2338" t="s">
        <v>3959</v>
      </c>
      <c r="B2338" t="s">
        <v>6979</v>
      </c>
      <c r="C2338" t="s">
        <v>995</v>
      </c>
      <c r="D2338" t="s">
        <v>7102</v>
      </c>
      <c r="E2338">
        <v>4.217420047549859</v>
      </c>
    </row>
    <row r="2339" spans="1:5">
      <c r="A2339" t="s">
        <v>3960</v>
      </c>
      <c r="B2339" t="s">
        <v>6979</v>
      </c>
      <c r="C2339" t="s">
        <v>995</v>
      </c>
      <c r="D2339" t="s">
        <v>7103</v>
      </c>
      <c r="E2339">
        <v>0.2106477367037714</v>
      </c>
    </row>
    <row r="2340" spans="1:5">
      <c r="A2340" t="s">
        <v>3961</v>
      </c>
      <c r="B2340" t="s">
        <v>6979</v>
      </c>
      <c r="C2340" t="s">
        <v>995</v>
      </c>
      <c r="D2340" t="s">
        <v>7104</v>
      </c>
      <c r="E2340">
        <v>82.2830707586125</v>
      </c>
    </row>
    <row r="2341" spans="1:5">
      <c r="A2341" t="s">
        <v>3962</v>
      </c>
      <c r="B2341" t="s">
        <v>6979</v>
      </c>
      <c r="C2341" t="s">
        <v>995</v>
      </c>
      <c r="D2341" t="s">
        <v>7105</v>
      </c>
      <c r="E2341">
        <v>38.6433678485455</v>
      </c>
    </row>
    <row r="2342" spans="1:5">
      <c r="A2342" t="s">
        <v>3963</v>
      </c>
      <c r="B2342" t="s">
        <v>6979</v>
      </c>
      <c r="C2342" t="s">
        <v>995</v>
      </c>
      <c r="D2342" t="s">
        <v>7106</v>
      </c>
      <c r="E2342">
        <v>21.55881591425608</v>
      </c>
    </row>
    <row r="2343" spans="1:5">
      <c r="A2343" t="s">
        <v>3964</v>
      </c>
      <c r="B2343" t="s">
        <v>6979</v>
      </c>
      <c r="C2343" t="s">
        <v>995</v>
      </c>
      <c r="D2343" t="s">
        <v>7107</v>
      </c>
      <c r="E2343">
        <v>0.6897396227702316</v>
      </c>
    </row>
    <row r="2344" spans="1:5">
      <c r="A2344" t="s">
        <v>3965</v>
      </c>
      <c r="B2344" t="s">
        <v>6979</v>
      </c>
      <c r="C2344" t="s">
        <v>995</v>
      </c>
      <c r="D2344" t="s">
        <v>7003</v>
      </c>
      <c r="E2344">
        <v>32.69600147694551</v>
      </c>
    </row>
    <row r="2345" spans="1:5">
      <c r="A2345" t="s">
        <v>3966</v>
      </c>
      <c r="B2345" t="s">
        <v>6979</v>
      </c>
      <c r="C2345" t="s">
        <v>995</v>
      </c>
      <c r="D2345" t="s">
        <v>7004</v>
      </c>
      <c r="E2345">
        <v>239.4042716541658</v>
      </c>
    </row>
    <row r="2346" spans="1:5">
      <c r="A2346" t="s">
        <v>3967</v>
      </c>
      <c r="B2346" t="s">
        <v>6979</v>
      </c>
      <c r="C2346" t="s">
        <v>995</v>
      </c>
      <c r="D2346" t="s">
        <v>7108</v>
      </c>
      <c r="E2346">
        <v>411.6046864335211</v>
      </c>
    </row>
    <row r="2347" spans="1:5">
      <c r="A2347" t="s">
        <v>3968</v>
      </c>
      <c r="B2347" t="s">
        <v>6979</v>
      </c>
      <c r="C2347" t="s">
        <v>995</v>
      </c>
      <c r="D2347" t="s">
        <v>7109</v>
      </c>
      <c r="E2347">
        <v>12.56506719470325</v>
      </c>
    </row>
    <row r="2348" spans="1:5">
      <c r="A2348" t="s">
        <v>3969</v>
      </c>
      <c r="B2348" t="s">
        <v>6979</v>
      </c>
      <c r="C2348" t="s">
        <v>995</v>
      </c>
      <c r="D2348" t="s">
        <v>7110</v>
      </c>
      <c r="E2348">
        <v>0.01256496804245132</v>
      </c>
    </row>
    <row r="2349" spans="1:5">
      <c r="A2349" t="s">
        <v>3970</v>
      </c>
      <c r="B2349" t="s">
        <v>6979</v>
      </c>
      <c r="C2349" t="s">
        <v>995</v>
      </c>
      <c r="D2349" t="s">
        <v>7111</v>
      </c>
      <c r="E2349">
        <v>0.5401454403242208</v>
      </c>
    </row>
    <row r="2350" spans="1:5">
      <c r="A2350" t="s">
        <v>3971</v>
      </c>
      <c r="B2350" t="s">
        <v>6979</v>
      </c>
      <c r="C2350" t="s">
        <v>995</v>
      </c>
      <c r="D2350" t="s">
        <v>7112</v>
      </c>
      <c r="E2350">
        <v>8.262819706398414</v>
      </c>
    </row>
    <row r="2351" spans="1:5">
      <c r="A2351" t="s">
        <v>3972</v>
      </c>
      <c r="B2351" t="s">
        <v>6979</v>
      </c>
      <c r="C2351" t="s">
        <v>995</v>
      </c>
      <c r="D2351" t="s">
        <v>7113</v>
      </c>
      <c r="E2351">
        <v>0.06541526132634135</v>
      </c>
    </row>
    <row r="2352" spans="1:5">
      <c r="A2352" t="s">
        <v>3973</v>
      </c>
      <c r="B2352" t="s">
        <v>6979</v>
      </c>
      <c r="C2352" t="s">
        <v>995</v>
      </c>
      <c r="D2352" t="s">
        <v>7114</v>
      </c>
      <c r="E2352">
        <v>14.52225334693878</v>
      </c>
    </row>
    <row r="2353" spans="1:5">
      <c r="A2353" t="s">
        <v>3974</v>
      </c>
      <c r="B2353" t="s">
        <v>6979</v>
      </c>
      <c r="C2353" t="s">
        <v>995</v>
      </c>
      <c r="D2353" t="s">
        <v>7115</v>
      </c>
      <c r="E2353">
        <v>2.750096337759912</v>
      </c>
    </row>
    <row r="2354" spans="1:5">
      <c r="A2354" t="s">
        <v>3975</v>
      </c>
      <c r="B2354" t="s">
        <v>6979</v>
      </c>
      <c r="C2354" t="s">
        <v>995</v>
      </c>
      <c r="D2354" t="s">
        <v>7116</v>
      </c>
      <c r="E2354">
        <v>18.68160229609331</v>
      </c>
    </row>
    <row r="2355" spans="1:5">
      <c r="A2355" t="s">
        <v>3976</v>
      </c>
      <c r="B2355" t="s">
        <v>6979</v>
      </c>
      <c r="C2355" t="s">
        <v>995</v>
      </c>
      <c r="D2355" t="s">
        <v>7005</v>
      </c>
      <c r="E2355">
        <v>9.396310527791375</v>
      </c>
    </row>
    <row r="2356" spans="1:5">
      <c r="A2356" t="s">
        <v>3977</v>
      </c>
      <c r="B2356" t="s">
        <v>6979</v>
      </c>
      <c r="C2356" t="s">
        <v>995</v>
      </c>
      <c r="D2356" t="s">
        <v>7117</v>
      </c>
      <c r="E2356">
        <v>33.13775834853642</v>
      </c>
    </row>
    <row r="2357" spans="1:5">
      <c r="A2357" t="s">
        <v>3978</v>
      </c>
      <c r="B2357" t="s">
        <v>6979</v>
      </c>
      <c r="C2357" t="s">
        <v>995</v>
      </c>
      <c r="D2357" t="s">
        <v>7118</v>
      </c>
      <c r="E2357">
        <v>88.28135059879779</v>
      </c>
    </row>
    <row r="2358" spans="1:5">
      <c r="A2358" t="s">
        <v>3979</v>
      </c>
      <c r="B2358" t="s">
        <v>6979</v>
      </c>
      <c r="C2358" t="s">
        <v>995</v>
      </c>
      <c r="D2358" t="s">
        <v>7119</v>
      </c>
      <c r="E2358">
        <v>105.4546725526065</v>
      </c>
    </row>
    <row r="2359" spans="1:5">
      <c r="A2359" t="s">
        <v>3980</v>
      </c>
      <c r="B2359" t="s">
        <v>6979</v>
      </c>
      <c r="C2359" t="s">
        <v>995</v>
      </c>
      <c r="D2359" t="s">
        <v>7120</v>
      </c>
      <c r="E2359">
        <v>130.5748589732156</v>
      </c>
    </row>
    <row r="2360" spans="1:5">
      <c r="A2360" t="s">
        <v>3981</v>
      </c>
      <c r="B2360" t="s">
        <v>6979</v>
      </c>
      <c r="C2360" t="s">
        <v>995</v>
      </c>
      <c r="D2360" t="s">
        <v>7006</v>
      </c>
      <c r="E2360">
        <v>6.692503948498852</v>
      </c>
    </row>
    <row r="2361" spans="1:5">
      <c r="A2361" t="s">
        <v>3982</v>
      </c>
      <c r="B2361" t="s">
        <v>6979</v>
      </c>
      <c r="C2361" t="s">
        <v>995</v>
      </c>
      <c r="D2361" t="s">
        <v>7121</v>
      </c>
      <c r="E2361">
        <v>41.3415774754852</v>
      </c>
    </row>
    <row r="2362" spans="1:5">
      <c r="A2362" t="s">
        <v>3983</v>
      </c>
      <c r="B2362" t="s">
        <v>6979</v>
      </c>
      <c r="C2362" t="s">
        <v>995</v>
      </c>
      <c r="D2362" t="s">
        <v>7122</v>
      </c>
      <c r="E2362">
        <v>217.4691621151148</v>
      </c>
    </row>
    <row r="2363" spans="1:5">
      <c r="A2363" t="s">
        <v>3984</v>
      </c>
      <c r="B2363" t="s">
        <v>6979</v>
      </c>
      <c r="C2363" t="s">
        <v>995</v>
      </c>
      <c r="D2363" t="s">
        <v>7123</v>
      </c>
      <c r="E2363">
        <v>9.769534643997122</v>
      </c>
    </row>
    <row r="2364" spans="1:5">
      <c r="A2364" t="s">
        <v>3985</v>
      </c>
      <c r="B2364" t="s">
        <v>6979</v>
      </c>
      <c r="C2364" t="s">
        <v>995</v>
      </c>
      <c r="D2364" t="s">
        <v>7124</v>
      </c>
      <c r="E2364">
        <v>0.118524267182075</v>
      </c>
    </row>
    <row r="2365" spans="1:5">
      <c r="A2365" t="s">
        <v>3986</v>
      </c>
      <c r="B2365" t="s">
        <v>6979</v>
      </c>
      <c r="C2365" t="s">
        <v>995</v>
      </c>
      <c r="D2365" t="s">
        <v>7125</v>
      </c>
      <c r="E2365">
        <v>6.937813384306474</v>
      </c>
    </row>
    <row r="2366" spans="1:5">
      <c r="A2366" t="s">
        <v>3987</v>
      </c>
      <c r="B2366" t="s">
        <v>6979</v>
      </c>
      <c r="C2366" t="s">
        <v>995</v>
      </c>
      <c r="D2366" t="s">
        <v>7126</v>
      </c>
      <c r="E2366">
        <v>0.08270753175737529</v>
      </c>
    </row>
    <row r="2367" spans="1:5">
      <c r="A2367" t="s">
        <v>3988</v>
      </c>
      <c r="B2367" t="s">
        <v>6979</v>
      </c>
      <c r="C2367" t="s">
        <v>995</v>
      </c>
      <c r="D2367" t="s">
        <v>998</v>
      </c>
      <c r="E2367">
        <v>308.5609979888629</v>
      </c>
    </row>
    <row r="2368" spans="1:5">
      <c r="A2368" t="s">
        <v>3989</v>
      </c>
      <c r="B2368" t="s">
        <v>6979</v>
      </c>
      <c r="C2368" t="s">
        <v>995</v>
      </c>
      <c r="D2368" t="s">
        <v>7127</v>
      </c>
      <c r="E2368">
        <v>7.654891314462159</v>
      </c>
    </row>
    <row r="2369" spans="1:5">
      <c r="A2369" t="s">
        <v>3990</v>
      </c>
      <c r="B2369" t="s">
        <v>6979</v>
      </c>
      <c r="C2369" t="s">
        <v>995</v>
      </c>
      <c r="D2369" t="s">
        <v>7128</v>
      </c>
      <c r="E2369">
        <v>0.02580921310580438</v>
      </c>
    </row>
    <row r="2370" spans="1:5">
      <c r="A2370" t="s">
        <v>3991</v>
      </c>
      <c r="B2370" t="s">
        <v>6979</v>
      </c>
      <c r="C2370" t="s">
        <v>995</v>
      </c>
      <c r="D2370" t="s">
        <v>7129</v>
      </c>
      <c r="E2370">
        <v>0.5428804243403421</v>
      </c>
    </row>
    <row r="2371" spans="1:5">
      <c r="A2371" t="s">
        <v>3992</v>
      </c>
      <c r="B2371" t="s">
        <v>6979</v>
      </c>
      <c r="C2371" t="s">
        <v>995</v>
      </c>
      <c r="D2371" t="s">
        <v>7130</v>
      </c>
      <c r="E2371">
        <v>0.01176227881895392</v>
      </c>
    </row>
    <row r="2372" spans="1:5">
      <c r="A2372" t="s">
        <v>3993</v>
      </c>
      <c r="B2372" t="s">
        <v>6979</v>
      </c>
      <c r="C2372" t="s">
        <v>995</v>
      </c>
      <c r="D2372" t="s">
        <v>7131</v>
      </c>
      <c r="E2372">
        <v>2.59771178081302</v>
      </c>
    </row>
    <row r="2373" spans="1:5">
      <c r="A2373" t="s">
        <v>3994</v>
      </c>
      <c r="B2373" t="s">
        <v>6979</v>
      </c>
      <c r="C2373" t="s">
        <v>995</v>
      </c>
      <c r="D2373" t="s">
        <v>7132</v>
      </c>
      <c r="E2373">
        <v>114.084460512393</v>
      </c>
    </row>
    <row r="2374" spans="1:5">
      <c r="A2374" t="s">
        <v>3995</v>
      </c>
      <c r="B2374" t="s">
        <v>6979</v>
      </c>
      <c r="C2374" t="s">
        <v>995</v>
      </c>
      <c r="D2374" t="s">
        <v>7133</v>
      </c>
      <c r="E2374">
        <v>0.5424062964493099</v>
      </c>
    </row>
    <row r="2375" spans="1:5">
      <c r="A2375" t="s">
        <v>3996</v>
      </c>
      <c r="B2375" t="s">
        <v>6979</v>
      </c>
      <c r="C2375" t="s">
        <v>995</v>
      </c>
      <c r="D2375" t="s">
        <v>7134</v>
      </c>
      <c r="E2375">
        <v>114.2820456569026</v>
      </c>
    </row>
    <row r="2376" spans="1:5">
      <c r="A2376" t="s">
        <v>3997</v>
      </c>
      <c r="B2376" t="s">
        <v>6979</v>
      </c>
      <c r="C2376" t="s">
        <v>995</v>
      </c>
      <c r="D2376" t="s">
        <v>7135</v>
      </c>
      <c r="E2376">
        <v>172.3807305979434</v>
      </c>
    </row>
    <row r="2377" spans="1:5">
      <c r="A2377" t="s">
        <v>3998</v>
      </c>
      <c r="B2377" t="s">
        <v>6979</v>
      </c>
      <c r="C2377" t="s">
        <v>995</v>
      </c>
      <c r="D2377" t="s">
        <v>7136</v>
      </c>
      <c r="E2377">
        <v>419.9838602679056</v>
      </c>
    </row>
    <row r="2378" spans="1:5">
      <c r="A2378" t="s">
        <v>3999</v>
      </c>
      <c r="B2378" t="s">
        <v>6979</v>
      </c>
      <c r="C2378" t="s">
        <v>995</v>
      </c>
      <c r="D2378" t="s">
        <v>7137</v>
      </c>
      <c r="E2378">
        <v>0.5424062964493099</v>
      </c>
    </row>
    <row r="2379" spans="1:5">
      <c r="A2379" t="s">
        <v>4000</v>
      </c>
      <c r="B2379" t="s">
        <v>6979</v>
      </c>
      <c r="C2379" t="s">
        <v>995</v>
      </c>
      <c r="D2379" t="s">
        <v>7138</v>
      </c>
      <c r="E2379">
        <v>2.981557394496028</v>
      </c>
    </row>
    <row r="2380" spans="1:5">
      <c r="A2380" t="s">
        <v>4001</v>
      </c>
      <c r="B2380" t="s">
        <v>6979</v>
      </c>
      <c r="C2380" t="s">
        <v>995</v>
      </c>
      <c r="D2380" t="s">
        <v>7139</v>
      </c>
      <c r="E2380">
        <v>1.294480802332775</v>
      </c>
    </row>
    <row r="2381" spans="1:5">
      <c r="A2381" t="s">
        <v>4002</v>
      </c>
      <c r="B2381" t="s">
        <v>6979</v>
      </c>
      <c r="C2381" t="s">
        <v>995</v>
      </c>
      <c r="D2381" t="s">
        <v>7007</v>
      </c>
      <c r="E2381">
        <v>18.68159150611465</v>
      </c>
    </row>
    <row r="2382" spans="1:5">
      <c r="A2382" t="s">
        <v>4003</v>
      </c>
      <c r="B2382" t="s">
        <v>6979</v>
      </c>
      <c r="C2382" t="s">
        <v>995</v>
      </c>
      <c r="D2382" t="s">
        <v>7140</v>
      </c>
      <c r="E2382">
        <v>17.4703962651541</v>
      </c>
    </row>
    <row r="2383" spans="1:5">
      <c r="A2383" t="s">
        <v>4004</v>
      </c>
      <c r="B2383" t="s">
        <v>6979</v>
      </c>
      <c r="C2383" t="s">
        <v>995</v>
      </c>
      <c r="D2383" t="s">
        <v>7141</v>
      </c>
      <c r="E2383">
        <v>11.50926793212093</v>
      </c>
    </row>
    <row r="2384" spans="1:5">
      <c r="A2384" t="s">
        <v>4005</v>
      </c>
      <c r="B2384" t="s">
        <v>6979</v>
      </c>
      <c r="C2384" t="s">
        <v>995</v>
      </c>
      <c r="D2384" t="s">
        <v>7142</v>
      </c>
      <c r="E2384">
        <v>11.50926793212093</v>
      </c>
    </row>
    <row r="2385" spans="1:5">
      <c r="A2385" t="s">
        <v>3841</v>
      </c>
      <c r="B2385" t="s">
        <v>6979</v>
      </c>
      <c r="C2385" t="s">
        <v>995</v>
      </c>
      <c r="D2385" t="s">
        <v>996</v>
      </c>
      <c r="E2385">
        <v>355.795207</v>
      </c>
    </row>
    <row r="2386" spans="1:5">
      <c r="A2386" t="s">
        <v>4006</v>
      </c>
      <c r="B2386" t="s">
        <v>961</v>
      </c>
      <c r="C2386" t="s">
        <v>995</v>
      </c>
      <c r="D2386" t="s">
        <v>996</v>
      </c>
      <c r="E2386">
        <v>355.628718</v>
      </c>
    </row>
    <row r="2387" spans="1:5">
      <c r="A2387" t="s">
        <v>4007</v>
      </c>
      <c r="B2387" t="s">
        <v>961</v>
      </c>
      <c r="C2387" t="s">
        <v>995</v>
      </c>
      <c r="D2387" t="s">
        <v>7008</v>
      </c>
      <c r="E2387">
        <v>83.84649832391277</v>
      </c>
    </row>
    <row r="2388" spans="1:5">
      <c r="A2388" t="s">
        <v>4008</v>
      </c>
      <c r="B2388" t="s">
        <v>961</v>
      </c>
      <c r="C2388" t="s">
        <v>995</v>
      </c>
      <c r="D2388" t="s">
        <v>7009</v>
      </c>
      <c r="E2388">
        <v>4.793114855659576</v>
      </c>
    </row>
    <row r="2389" spans="1:5">
      <c r="A2389" t="s">
        <v>4009</v>
      </c>
      <c r="B2389" t="s">
        <v>961</v>
      </c>
      <c r="C2389" t="s">
        <v>995</v>
      </c>
      <c r="D2389" t="s">
        <v>7010</v>
      </c>
      <c r="E2389">
        <v>3.733740280959116</v>
      </c>
    </row>
    <row r="2390" spans="1:5">
      <c r="A2390" t="s">
        <v>4010</v>
      </c>
      <c r="B2390" t="s">
        <v>961</v>
      </c>
      <c r="C2390" t="s">
        <v>995</v>
      </c>
      <c r="D2390" t="s">
        <v>7011</v>
      </c>
      <c r="E2390">
        <v>0.8346741974486422</v>
      </c>
    </row>
    <row r="2391" spans="1:5">
      <c r="A2391" t="s">
        <v>4011</v>
      </c>
      <c r="B2391" t="s">
        <v>961</v>
      </c>
      <c r="C2391" t="s">
        <v>995</v>
      </c>
      <c r="D2391" t="s">
        <v>7012</v>
      </c>
      <c r="E2391">
        <v>172.0258608096172</v>
      </c>
    </row>
    <row r="2392" spans="1:5">
      <c r="A2392" t="s">
        <v>4012</v>
      </c>
      <c r="B2392" t="s">
        <v>961</v>
      </c>
      <c r="C2392" t="s">
        <v>995</v>
      </c>
      <c r="D2392" t="s">
        <v>7013</v>
      </c>
      <c r="E2392">
        <v>0.3256996498660734</v>
      </c>
    </row>
    <row r="2393" spans="1:5">
      <c r="A2393" t="s">
        <v>4013</v>
      </c>
      <c r="B2393" t="s">
        <v>961</v>
      </c>
      <c r="C2393" t="s">
        <v>995</v>
      </c>
      <c r="D2393" t="s">
        <v>7014</v>
      </c>
      <c r="E2393">
        <v>0.212925833781381</v>
      </c>
    </row>
    <row r="2394" spans="1:5">
      <c r="A2394" t="s">
        <v>4014</v>
      </c>
      <c r="B2394" t="s">
        <v>961</v>
      </c>
      <c r="C2394" t="s">
        <v>995</v>
      </c>
      <c r="D2394" t="s">
        <v>6981</v>
      </c>
      <c r="E2394">
        <v>216.5933386482525</v>
      </c>
    </row>
    <row r="2395" spans="1:5">
      <c r="A2395" t="s">
        <v>4015</v>
      </c>
      <c r="B2395" t="s">
        <v>961</v>
      </c>
      <c r="C2395" t="s">
        <v>995</v>
      </c>
      <c r="D2395" t="s">
        <v>7015</v>
      </c>
      <c r="E2395">
        <v>172.0258608096172</v>
      </c>
    </row>
    <row r="2396" spans="1:5">
      <c r="A2396" t="s">
        <v>4016</v>
      </c>
      <c r="B2396" t="s">
        <v>961</v>
      </c>
      <c r="C2396" t="s">
        <v>995</v>
      </c>
      <c r="D2396" t="s">
        <v>7016</v>
      </c>
      <c r="E2396">
        <v>180.9912071637416</v>
      </c>
    </row>
    <row r="2397" spans="1:5">
      <c r="A2397" t="s">
        <v>4017</v>
      </c>
      <c r="B2397" t="s">
        <v>961</v>
      </c>
      <c r="C2397" t="s">
        <v>995</v>
      </c>
      <c r="D2397" t="s">
        <v>7017</v>
      </c>
      <c r="E2397">
        <v>181.8300762336195</v>
      </c>
    </row>
    <row r="2398" spans="1:5">
      <c r="A2398" t="s">
        <v>4018</v>
      </c>
      <c r="B2398" t="s">
        <v>961</v>
      </c>
      <c r="C2398" t="s">
        <v>995</v>
      </c>
      <c r="D2398" t="s">
        <v>7018</v>
      </c>
      <c r="E2398">
        <v>153.96315659594</v>
      </c>
    </row>
    <row r="2399" spans="1:5">
      <c r="A2399" t="s">
        <v>4019</v>
      </c>
      <c r="B2399" t="s">
        <v>961</v>
      </c>
      <c r="C2399" t="s">
        <v>995</v>
      </c>
      <c r="D2399" t="s">
        <v>7019</v>
      </c>
      <c r="E2399">
        <v>2.506932140338656</v>
      </c>
    </row>
    <row r="2400" spans="1:5">
      <c r="A2400" t="s">
        <v>4020</v>
      </c>
      <c r="B2400" t="s">
        <v>961</v>
      </c>
      <c r="C2400" t="s">
        <v>995</v>
      </c>
      <c r="D2400" t="s">
        <v>997</v>
      </c>
      <c r="E2400">
        <v>181.8300762336195</v>
      </c>
    </row>
    <row r="2401" spans="1:5">
      <c r="A2401" t="s">
        <v>4021</v>
      </c>
      <c r="B2401" t="s">
        <v>961</v>
      </c>
      <c r="C2401" t="s">
        <v>995</v>
      </c>
      <c r="D2401" t="s">
        <v>7020</v>
      </c>
      <c r="E2401">
        <v>818.9530360531309</v>
      </c>
    </row>
    <row r="2402" spans="1:5">
      <c r="A2402" t="s">
        <v>4022</v>
      </c>
      <c r="B2402" t="s">
        <v>961</v>
      </c>
      <c r="C2402" t="s">
        <v>995</v>
      </c>
      <c r="D2402" t="s">
        <v>7021</v>
      </c>
      <c r="E2402">
        <v>0.1031037136391153</v>
      </c>
    </row>
    <row r="2403" spans="1:5">
      <c r="A2403" t="s">
        <v>4023</v>
      </c>
      <c r="B2403" t="s">
        <v>961</v>
      </c>
      <c r="C2403" t="s">
        <v>995</v>
      </c>
      <c r="D2403" t="s">
        <v>7022</v>
      </c>
      <c r="E2403">
        <v>307.92631319188</v>
      </c>
    </row>
    <row r="2404" spans="1:5">
      <c r="A2404" t="s">
        <v>4024</v>
      </c>
      <c r="B2404" t="s">
        <v>961</v>
      </c>
      <c r="C2404" t="s">
        <v>995</v>
      </c>
      <c r="D2404" t="s">
        <v>7023</v>
      </c>
      <c r="E2404">
        <v>239.3048056949406</v>
      </c>
    </row>
    <row r="2405" spans="1:5">
      <c r="A2405" t="s">
        <v>4025</v>
      </c>
      <c r="B2405" t="s">
        <v>961</v>
      </c>
      <c r="C2405" t="s">
        <v>995</v>
      </c>
      <c r="D2405" t="s">
        <v>7024</v>
      </c>
      <c r="E2405">
        <v>44.45539575045236</v>
      </c>
    </row>
    <row r="2406" spans="1:5">
      <c r="A2406" t="s">
        <v>4026</v>
      </c>
      <c r="B2406" t="s">
        <v>961</v>
      </c>
      <c r="C2406" t="s">
        <v>995</v>
      </c>
      <c r="D2406" t="s">
        <v>6982</v>
      </c>
      <c r="E2406">
        <v>59.49244761206294</v>
      </c>
    </row>
    <row r="2407" spans="1:5">
      <c r="A2407" t="s">
        <v>4027</v>
      </c>
      <c r="B2407" t="s">
        <v>961</v>
      </c>
      <c r="C2407" t="s">
        <v>995</v>
      </c>
      <c r="D2407" t="s">
        <v>7025</v>
      </c>
      <c r="E2407">
        <v>307.92631319188</v>
      </c>
    </row>
    <row r="2408" spans="1:5">
      <c r="A2408" t="s">
        <v>4028</v>
      </c>
      <c r="B2408" t="s">
        <v>961</v>
      </c>
      <c r="C2408" t="s">
        <v>995</v>
      </c>
      <c r="D2408" t="s">
        <v>7026</v>
      </c>
      <c r="E2408">
        <v>3.227038742135817</v>
      </c>
    </row>
    <row r="2409" spans="1:5">
      <c r="A2409" t="s">
        <v>4029</v>
      </c>
      <c r="B2409" t="s">
        <v>961</v>
      </c>
      <c r="C2409" t="s">
        <v>995</v>
      </c>
      <c r="D2409" t="s">
        <v>7027</v>
      </c>
      <c r="E2409">
        <v>21.84801582464808</v>
      </c>
    </row>
    <row r="2410" spans="1:5">
      <c r="A2410" t="s">
        <v>4030</v>
      </c>
      <c r="B2410" t="s">
        <v>961</v>
      </c>
      <c r="C2410" t="s">
        <v>995</v>
      </c>
      <c r="D2410" t="s">
        <v>7028</v>
      </c>
      <c r="E2410">
        <v>111.6285586577028</v>
      </c>
    </row>
    <row r="2411" spans="1:5">
      <c r="A2411" t="s">
        <v>4031</v>
      </c>
      <c r="B2411" t="s">
        <v>961</v>
      </c>
      <c r="C2411" t="s">
        <v>995</v>
      </c>
      <c r="D2411" t="s">
        <v>7029</v>
      </c>
      <c r="E2411">
        <v>153.96315659594</v>
      </c>
    </row>
    <row r="2412" spans="1:5">
      <c r="A2412" t="s">
        <v>4032</v>
      </c>
      <c r="B2412" t="s">
        <v>961</v>
      </c>
      <c r="C2412" t="s">
        <v>995</v>
      </c>
      <c r="D2412" t="s">
        <v>6983</v>
      </c>
      <c r="E2412">
        <v>220.8273264788834</v>
      </c>
    </row>
    <row r="2413" spans="1:5">
      <c r="A2413" t="s">
        <v>4033</v>
      </c>
      <c r="B2413" t="s">
        <v>961</v>
      </c>
      <c r="C2413" t="s">
        <v>995</v>
      </c>
      <c r="D2413" t="s">
        <v>7030</v>
      </c>
      <c r="E2413">
        <v>0.1333753101597519</v>
      </c>
    </row>
    <row r="2414" spans="1:5">
      <c r="A2414" t="s">
        <v>4034</v>
      </c>
      <c r="B2414" t="s">
        <v>961</v>
      </c>
      <c r="C2414" t="s">
        <v>995</v>
      </c>
      <c r="D2414" t="s">
        <v>6984</v>
      </c>
      <c r="E2414">
        <v>385.9375517517176</v>
      </c>
    </row>
    <row r="2415" spans="1:5">
      <c r="A2415" t="s">
        <v>4035</v>
      </c>
      <c r="B2415" t="s">
        <v>961</v>
      </c>
      <c r="C2415" t="s">
        <v>995</v>
      </c>
      <c r="D2415" t="s">
        <v>7031</v>
      </c>
      <c r="E2415">
        <v>13180.70931396168</v>
      </c>
    </row>
    <row r="2416" spans="1:5">
      <c r="A2416" t="s">
        <v>4036</v>
      </c>
      <c r="B2416" t="s">
        <v>961</v>
      </c>
      <c r="C2416" t="s">
        <v>995</v>
      </c>
      <c r="D2416" t="s">
        <v>7032</v>
      </c>
      <c r="E2416">
        <v>0.3334678430482138</v>
      </c>
    </row>
    <row r="2417" spans="1:5">
      <c r="A2417" t="s">
        <v>4037</v>
      </c>
      <c r="B2417" t="s">
        <v>961</v>
      </c>
      <c r="C2417" t="s">
        <v>995</v>
      </c>
      <c r="D2417" t="s">
        <v>7033</v>
      </c>
      <c r="E2417">
        <v>45.44670245369373</v>
      </c>
    </row>
    <row r="2418" spans="1:5">
      <c r="A2418" t="s">
        <v>4038</v>
      </c>
      <c r="B2418" t="s">
        <v>961</v>
      </c>
      <c r="C2418" t="s">
        <v>995</v>
      </c>
      <c r="D2418" t="s">
        <v>6985</v>
      </c>
      <c r="E2418">
        <v>45.42434200694492</v>
      </c>
    </row>
    <row r="2419" spans="1:5">
      <c r="A2419" t="s">
        <v>4039</v>
      </c>
      <c r="B2419" t="s">
        <v>961</v>
      </c>
      <c r="C2419" t="s">
        <v>995</v>
      </c>
      <c r="D2419" t="s">
        <v>7034</v>
      </c>
      <c r="E2419">
        <v>0.08561746987418821</v>
      </c>
    </row>
    <row r="2420" spans="1:5">
      <c r="A2420" t="s">
        <v>4040</v>
      </c>
      <c r="B2420" t="s">
        <v>961</v>
      </c>
      <c r="C2420" t="s">
        <v>995</v>
      </c>
      <c r="D2420" t="s">
        <v>7035</v>
      </c>
      <c r="E2420">
        <v>0.6672003350531078</v>
      </c>
    </row>
    <row r="2421" spans="1:5">
      <c r="A2421" t="s">
        <v>4041</v>
      </c>
      <c r="B2421" t="s">
        <v>961</v>
      </c>
      <c r="C2421" t="s">
        <v>995</v>
      </c>
      <c r="D2421" t="s">
        <v>7036</v>
      </c>
      <c r="E2421">
        <v>12.83026119811686</v>
      </c>
    </row>
    <row r="2422" spans="1:5">
      <c r="A2422" t="s">
        <v>4042</v>
      </c>
      <c r="B2422" t="s">
        <v>961</v>
      </c>
      <c r="C2422" t="s">
        <v>995</v>
      </c>
      <c r="D2422" t="s">
        <v>7037</v>
      </c>
      <c r="E2422">
        <v>3.225218500884234</v>
      </c>
    </row>
    <row r="2423" spans="1:5">
      <c r="A2423" t="s">
        <v>4043</v>
      </c>
      <c r="B2423" t="s">
        <v>961</v>
      </c>
      <c r="C2423" t="s">
        <v>995</v>
      </c>
      <c r="D2423" t="s">
        <v>6986</v>
      </c>
      <c r="E2423">
        <v>14.71583773383144</v>
      </c>
    </row>
    <row r="2424" spans="1:5">
      <c r="A2424" t="s">
        <v>4044</v>
      </c>
      <c r="B2424" t="s">
        <v>961</v>
      </c>
      <c r="C2424" t="s">
        <v>995</v>
      </c>
      <c r="D2424" t="s">
        <v>7038</v>
      </c>
      <c r="E2424">
        <v>1.732638642918351</v>
      </c>
    </row>
    <row r="2425" spans="1:5">
      <c r="A2425" t="s">
        <v>4045</v>
      </c>
      <c r="B2425" t="s">
        <v>961</v>
      </c>
      <c r="C2425" t="s">
        <v>995</v>
      </c>
      <c r="D2425" t="s">
        <v>6987</v>
      </c>
      <c r="E2425">
        <v>47.64915661372088</v>
      </c>
    </row>
    <row r="2426" spans="1:5">
      <c r="A2426" t="s">
        <v>4046</v>
      </c>
      <c r="B2426" t="s">
        <v>961</v>
      </c>
      <c r="C2426" t="s">
        <v>995</v>
      </c>
      <c r="D2426" t="s">
        <v>7039</v>
      </c>
      <c r="E2426">
        <v>5.287014235697291</v>
      </c>
    </row>
    <row r="2427" spans="1:5">
      <c r="A2427" t="s">
        <v>4047</v>
      </c>
      <c r="B2427" t="s">
        <v>961</v>
      </c>
      <c r="C2427" t="s">
        <v>995</v>
      </c>
      <c r="D2427" t="s">
        <v>7040</v>
      </c>
      <c r="E2427">
        <v>2.302640208635507</v>
      </c>
    </row>
    <row r="2428" spans="1:5">
      <c r="A2428" t="s">
        <v>4048</v>
      </c>
      <c r="B2428" t="s">
        <v>961</v>
      </c>
      <c r="C2428" t="s">
        <v>995</v>
      </c>
      <c r="D2428" t="s">
        <v>7041</v>
      </c>
      <c r="E2428">
        <v>5.954679539702265</v>
      </c>
    </row>
    <row r="2429" spans="1:5">
      <c r="A2429" t="s">
        <v>4049</v>
      </c>
      <c r="B2429" t="s">
        <v>961</v>
      </c>
      <c r="C2429" t="s">
        <v>995</v>
      </c>
      <c r="D2429" t="s">
        <v>7042</v>
      </c>
      <c r="E2429">
        <v>20.52841850948124</v>
      </c>
    </row>
    <row r="2430" spans="1:5">
      <c r="A2430" t="s">
        <v>4050</v>
      </c>
      <c r="B2430" t="s">
        <v>961</v>
      </c>
      <c r="C2430" t="s">
        <v>995</v>
      </c>
      <c r="D2430" t="s">
        <v>7043</v>
      </c>
      <c r="E2430">
        <v>1.918655190021192</v>
      </c>
    </row>
    <row r="2431" spans="1:5">
      <c r="A2431" t="s">
        <v>4051</v>
      </c>
      <c r="B2431" t="s">
        <v>961</v>
      </c>
      <c r="C2431" t="s">
        <v>995</v>
      </c>
      <c r="D2431" t="s">
        <v>7044</v>
      </c>
      <c r="E2431">
        <v>138.9207781904178</v>
      </c>
    </row>
    <row r="2432" spans="1:5">
      <c r="A2432" t="s">
        <v>4052</v>
      </c>
      <c r="B2432" t="s">
        <v>961</v>
      </c>
      <c r="C2432" t="s">
        <v>995</v>
      </c>
      <c r="D2432" t="s">
        <v>7045</v>
      </c>
      <c r="E2432">
        <v>411.9625348245883</v>
      </c>
    </row>
    <row r="2433" spans="1:5">
      <c r="A2433" t="s">
        <v>4053</v>
      </c>
      <c r="B2433" t="s">
        <v>961</v>
      </c>
      <c r="C2433" t="s">
        <v>995</v>
      </c>
      <c r="D2433" t="s">
        <v>7046</v>
      </c>
      <c r="E2433">
        <v>47.64916938233387</v>
      </c>
    </row>
    <row r="2434" spans="1:5">
      <c r="A2434" t="s">
        <v>4054</v>
      </c>
      <c r="B2434" t="s">
        <v>961</v>
      </c>
      <c r="C2434" t="s">
        <v>995</v>
      </c>
      <c r="D2434" t="s">
        <v>6988</v>
      </c>
      <c r="E2434">
        <v>411.9625348245883</v>
      </c>
    </row>
    <row r="2435" spans="1:5">
      <c r="A2435" t="s">
        <v>4055</v>
      </c>
      <c r="B2435" t="s">
        <v>961</v>
      </c>
      <c r="C2435" t="s">
        <v>995</v>
      </c>
      <c r="D2435" t="s">
        <v>7047</v>
      </c>
      <c r="E2435">
        <v>115.7505776483374</v>
      </c>
    </row>
    <row r="2436" spans="1:5">
      <c r="A2436" t="s">
        <v>4056</v>
      </c>
      <c r="B2436" t="s">
        <v>961</v>
      </c>
      <c r="C2436" t="s">
        <v>995</v>
      </c>
      <c r="D2436" t="s">
        <v>7048</v>
      </c>
      <c r="E2436">
        <v>411.9625348245883</v>
      </c>
    </row>
    <row r="2437" spans="1:5">
      <c r="A2437" t="s">
        <v>4057</v>
      </c>
      <c r="B2437" t="s">
        <v>961</v>
      </c>
      <c r="C2437" t="s">
        <v>995</v>
      </c>
      <c r="D2437" t="s">
        <v>7049</v>
      </c>
      <c r="E2437">
        <v>26.40531167223229</v>
      </c>
    </row>
    <row r="2438" spans="1:5">
      <c r="A2438" t="s">
        <v>4058</v>
      </c>
      <c r="B2438" t="s">
        <v>961</v>
      </c>
      <c r="C2438" t="s">
        <v>995</v>
      </c>
      <c r="D2438" t="s">
        <v>7050</v>
      </c>
      <c r="E2438">
        <v>411.9625348245883</v>
      </c>
    </row>
    <row r="2439" spans="1:5">
      <c r="A2439" t="s">
        <v>4059</v>
      </c>
      <c r="B2439" t="s">
        <v>961</v>
      </c>
      <c r="C2439" t="s">
        <v>995</v>
      </c>
      <c r="D2439" t="s">
        <v>7051</v>
      </c>
      <c r="E2439">
        <v>4.14825634438628</v>
      </c>
    </row>
    <row r="2440" spans="1:5">
      <c r="A2440" t="s">
        <v>4060</v>
      </c>
      <c r="B2440" t="s">
        <v>961</v>
      </c>
      <c r="C2440" t="s">
        <v>995</v>
      </c>
      <c r="D2440" t="s">
        <v>7052</v>
      </c>
      <c r="E2440">
        <v>0.03509425457932803</v>
      </c>
    </row>
    <row r="2441" spans="1:5">
      <c r="A2441" t="s">
        <v>4061</v>
      </c>
      <c r="B2441" t="s">
        <v>961</v>
      </c>
      <c r="C2441" t="s">
        <v>995</v>
      </c>
      <c r="D2441" t="s">
        <v>7053</v>
      </c>
      <c r="E2441">
        <v>40.37323815585037</v>
      </c>
    </row>
    <row r="2442" spans="1:5">
      <c r="A2442" t="s">
        <v>4062</v>
      </c>
      <c r="B2442" t="s">
        <v>961</v>
      </c>
      <c r="C2442" t="s">
        <v>995</v>
      </c>
      <c r="D2442" t="s">
        <v>7054</v>
      </c>
      <c r="E2442">
        <v>1.473145345452027</v>
      </c>
    </row>
    <row r="2443" spans="1:5">
      <c r="A2443" t="s">
        <v>4063</v>
      </c>
      <c r="B2443" t="s">
        <v>961</v>
      </c>
      <c r="C2443" t="s">
        <v>995</v>
      </c>
      <c r="D2443" t="s">
        <v>6989</v>
      </c>
      <c r="E2443">
        <v>39.30896941443208</v>
      </c>
    </row>
    <row r="2444" spans="1:5">
      <c r="A2444" t="s">
        <v>4064</v>
      </c>
      <c r="B2444" t="s">
        <v>961</v>
      </c>
      <c r="C2444" t="s">
        <v>995</v>
      </c>
      <c r="D2444" t="s">
        <v>7055</v>
      </c>
      <c r="E2444">
        <v>11.5112250142673</v>
      </c>
    </row>
    <row r="2445" spans="1:5">
      <c r="A2445" t="s">
        <v>4065</v>
      </c>
      <c r="B2445" t="s">
        <v>961</v>
      </c>
      <c r="C2445" t="s">
        <v>995</v>
      </c>
      <c r="D2445" t="s">
        <v>7056</v>
      </c>
      <c r="E2445">
        <v>47.20004220585307</v>
      </c>
    </row>
    <row r="2446" spans="1:5">
      <c r="A2446" t="s">
        <v>4066</v>
      </c>
      <c r="B2446" t="s">
        <v>961</v>
      </c>
      <c r="C2446" t="s">
        <v>995</v>
      </c>
      <c r="D2446" t="s">
        <v>7057</v>
      </c>
      <c r="E2446">
        <v>2.356631418919752</v>
      </c>
    </row>
    <row r="2447" spans="1:5">
      <c r="A2447" t="s">
        <v>4067</v>
      </c>
      <c r="B2447" t="s">
        <v>961</v>
      </c>
      <c r="C2447" t="s">
        <v>995</v>
      </c>
      <c r="D2447" t="s">
        <v>6990</v>
      </c>
      <c r="E2447">
        <v>0.01708932699939669</v>
      </c>
    </row>
    <row r="2448" spans="1:5">
      <c r="A2448" t="s">
        <v>4068</v>
      </c>
      <c r="B2448" t="s">
        <v>961</v>
      </c>
      <c r="C2448" t="s">
        <v>995</v>
      </c>
      <c r="D2448" t="s">
        <v>6991</v>
      </c>
      <c r="E2448">
        <v>104.2816591408718</v>
      </c>
    </row>
    <row r="2449" spans="1:5">
      <c r="A2449" t="s">
        <v>4069</v>
      </c>
      <c r="B2449" t="s">
        <v>961</v>
      </c>
      <c r="C2449" t="s">
        <v>995</v>
      </c>
      <c r="D2449" t="s">
        <v>7058</v>
      </c>
      <c r="E2449">
        <v>411.9625348245883</v>
      </c>
    </row>
    <row r="2450" spans="1:5">
      <c r="A2450" t="s">
        <v>4070</v>
      </c>
      <c r="B2450" t="s">
        <v>961</v>
      </c>
      <c r="C2450" t="s">
        <v>995</v>
      </c>
      <c r="D2450" t="s">
        <v>6992</v>
      </c>
      <c r="E2450">
        <v>3.227033676231813</v>
      </c>
    </row>
    <row r="2451" spans="1:5">
      <c r="A2451" t="s">
        <v>4071</v>
      </c>
      <c r="B2451" t="s">
        <v>961</v>
      </c>
      <c r="C2451" t="s">
        <v>995</v>
      </c>
      <c r="D2451" t="s">
        <v>7059</v>
      </c>
      <c r="E2451">
        <v>0.2346603200671673</v>
      </c>
    </row>
    <row r="2452" spans="1:5">
      <c r="A2452" t="s">
        <v>4072</v>
      </c>
      <c r="B2452" t="s">
        <v>961</v>
      </c>
      <c r="C2452" t="s">
        <v>995</v>
      </c>
      <c r="D2452" t="s">
        <v>7060</v>
      </c>
      <c r="E2452">
        <v>0.0002238902495357593</v>
      </c>
    </row>
    <row r="2453" spans="1:5">
      <c r="A2453" t="s">
        <v>4073</v>
      </c>
      <c r="B2453" t="s">
        <v>961</v>
      </c>
      <c r="C2453" t="s">
        <v>995</v>
      </c>
      <c r="D2453" t="s">
        <v>6993</v>
      </c>
      <c r="E2453">
        <v>2.478957248522776</v>
      </c>
    </row>
    <row r="2454" spans="1:5">
      <c r="A2454" t="s">
        <v>4074</v>
      </c>
      <c r="B2454" t="s">
        <v>961</v>
      </c>
      <c r="C2454" t="s">
        <v>995</v>
      </c>
      <c r="D2454" t="s">
        <v>7061</v>
      </c>
      <c r="E2454">
        <v>411.9625348245883</v>
      </c>
    </row>
    <row r="2455" spans="1:5">
      <c r="A2455" t="s">
        <v>4075</v>
      </c>
      <c r="B2455" t="s">
        <v>961</v>
      </c>
      <c r="C2455" t="s">
        <v>995</v>
      </c>
      <c r="D2455" t="s">
        <v>7062</v>
      </c>
      <c r="E2455">
        <v>1.949544116517452</v>
      </c>
    </row>
    <row r="2456" spans="1:5">
      <c r="A2456" t="s">
        <v>4076</v>
      </c>
      <c r="B2456" t="s">
        <v>961</v>
      </c>
      <c r="C2456" t="s">
        <v>995</v>
      </c>
      <c r="D2456" t="s">
        <v>7063</v>
      </c>
      <c r="E2456">
        <v>434.3105973730972</v>
      </c>
    </row>
    <row r="2457" spans="1:5">
      <c r="A2457" t="s">
        <v>4077</v>
      </c>
      <c r="B2457" t="s">
        <v>961</v>
      </c>
      <c r="C2457" t="s">
        <v>995</v>
      </c>
      <c r="D2457" t="s">
        <v>6994</v>
      </c>
      <c r="E2457">
        <v>1.92120709266858</v>
      </c>
    </row>
    <row r="2458" spans="1:5">
      <c r="A2458" t="s">
        <v>4078</v>
      </c>
      <c r="B2458" t="s">
        <v>961</v>
      </c>
      <c r="C2458" t="s">
        <v>995</v>
      </c>
      <c r="D2458" t="s">
        <v>7064</v>
      </c>
      <c r="E2458">
        <v>2.377549272768681</v>
      </c>
    </row>
    <row r="2459" spans="1:5">
      <c r="A2459" t="s">
        <v>4079</v>
      </c>
      <c r="B2459" t="s">
        <v>961</v>
      </c>
      <c r="C2459" t="s">
        <v>995</v>
      </c>
      <c r="D2459" t="s">
        <v>7065</v>
      </c>
      <c r="E2459">
        <v>3.517227002419599</v>
      </c>
    </row>
    <row r="2460" spans="1:5">
      <c r="A2460" t="s">
        <v>4080</v>
      </c>
      <c r="B2460" t="s">
        <v>961</v>
      </c>
      <c r="C2460" t="s">
        <v>995</v>
      </c>
      <c r="D2460" t="s">
        <v>7066</v>
      </c>
      <c r="E2460">
        <v>0.07621446294842965</v>
      </c>
    </row>
    <row r="2461" spans="1:5">
      <c r="A2461" t="s">
        <v>4081</v>
      </c>
      <c r="B2461" t="s">
        <v>961</v>
      </c>
      <c r="C2461" t="s">
        <v>995</v>
      </c>
      <c r="D2461" t="s">
        <v>7067</v>
      </c>
      <c r="E2461">
        <v>216.5937343932333</v>
      </c>
    </row>
    <row r="2462" spans="1:5">
      <c r="A2462" t="s">
        <v>4082</v>
      </c>
      <c r="B2462" t="s">
        <v>961</v>
      </c>
      <c r="C2462" t="s">
        <v>995</v>
      </c>
      <c r="D2462" t="s">
        <v>7068</v>
      </c>
      <c r="E2462">
        <v>0.7228699808066686</v>
      </c>
    </row>
    <row r="2463" spans="1:5">
      <c r="A2463" t="s">
        <v>4083</v>
      </c>
      <c r="B2463" t="s">
        <v>961</v>
      </c>
      <c r="C2463" t="s">
        <v>995</v>
      </c>
      <c r="D2463" t="s">
        <v>6995</v>
      </c>
      <c r="E2463">
        <v>0.2018696031985279</v>
      </c>
    </row>
    <row r="2464" spans="1:5">
      <c r="A2464" t="s">
        <v>4084</v>
      </c>
      <c r="B2464" t="s">
        <v>961</v>
      </c>
      <c r="C2464" t="s">
        <v>995</v>
      </c>
      <c r="D2464" t="s">
        <v>7069</v>
      </c>
      <c r="E2464">
        <v>998.0515375095068</v>
      </c>
    </row>
    <row r="2465" spans="1:5">
      <c r="A2465" t="s">
        <v>4085</v>
      </c>
      <c r="B2465" t="s">
        <v>961</v>
      </c>
      <c r="C2465" t="s">
        <v>995</v>
      </c>
      <c r="D2465" t="s">
        <v>7070</v>
      </c>
      <c r="E2465">
        <v>369.5116398196646</v>
      </c>
    </row>
    <row r="2466" spans="1:5">
      <c r="A2466" t="s">
        <v>4086</v>
      </c>
      <c r="B2466" t="s">
        <v>961</v>
      </c>
      <c r="C2466" t="s">
        <v>995</v>
      </c>
      <c r="D2466" t="s">
        <v>7071</v>
      </c>
      <c r="E2466">
        <v>0.6312205085768166</v>
      </c>
    </row>
    <row r="2467" spans="1:5">
      <c r="A2467" t="s">
        <v>4087</v>
      </c>
      <c r="B2467" t="s">
        <v>961</v>
      </c>
      <c r="C2467" t="s">
        <v>995</v>
      </c>
      <c r="D2467" t="s">
        <v>7072</v>
      </c>
      <c r="E2467">
        <v>0.01406753421202476</v>
      </c>
    </row>
    <row r="2468" spans="1:5">
      <c r="A2468" t="s">
        <v>4088</v>
      </c>
      <c r="B2468" t="s">
        <v>961</v>
      </c>
      <c r="C2468" t="s">
        <v>995</v>
      </c>
      <c r="D2468" t="s">
        <v>7073</v>
      </c>
      <c r="E2468">
        <v>0.003440517002767912</v>
      </c>
    </row>
    <row r="2469" spans="1:5">
      <c r="A2469" t="s">
        <v>4089</v>
      </c>
      <c r="B2469" t="s">
        <v>961</v>
      </c>
      <c r="C2469" t="s">
        <v>995</v>
      </c>
      <c r="D2469" t="s">
        <v>7074</v>
      </c>
      <c r="E2469">
        <v>0.913907014782401</v>
      </c>
    </row>
    <row r="2470" spans="1:5">
      <c r="A2470" t="s">
        <v>4090</v>
      </c>
      <c r="B2470" t="s">
        <v>961</v>
      </c>
      <c r="C2470" t="s">
        <v>995</v>
      </c>
      <c r="D2470" t="s">
        <v>7075</v>
      </c>
      <c r="E2470">
        <v>1.68646042538686</v>
      </c>
    </row>
    <row r="2471" spans="1:5">
      <c r="A2471" t="s">
        <v>4091</v>
      </c>
      <c r="B2471" t="s">
        <v>961</v>
      </c>
      <c r="C2471" t="s">
        <v>995</v>
      </c>
      <c r="D2471" t="s">
        <v>7076</v>
      </c>
      <c r="E2471">
        <v>18.65604921022195</v>
      </c>
    </row>
    <row r="2472" spans="1:5">
      <c r="A2472" t="s">
        <v>4092</v>
      </c>
      <c r="B2472" t="s">
        <v>961</v>
      </c>
      <c r="C2472" t="s">
        <v>995</v>
      </c>
      <c r="D2472" t="s">
        <v>7077</v>
      </c>
      <c r="E2472">
        <v>48.29389623137046</v>
      </c>
    </row>
    <row r="2473" spans="1:5">
      <c r="A2473" t="s">
        <v>4093</v>
      </c>
      <c r="B2473" t="s">
        <v>961</v>
      </c>
      <c r="C2473" t="s">
        <v>995</v>
      </c>
      <c r="D2473" t="s">
        <v>7078</v>
      </c>
      <c r="E2473">
        <v>33.27296325047232</v>
      </c>
    </row>
    <row r="2474" spans="1:5">
      <c r="A2474" t="s">
        <v>4094</v>
      </c>
      <c r="B2474" t="s">
        <v>961</v>
      </c>
      <c r="C2474" t="s">
        <v>995</v>
      </c>
      <c r="D2474" t="s">
        <v>7079</v>
      </c>
      <c r="E2474">
        <v>17.74814127437633</v>
      </c>
    </row>
    <row r="2475" spans="1:5">
      <c r="A2475" t="s">
        <v>4095</v>
      </c>
      <c r="B2475" t="s">
        <v>961</v>
      </c>
      <c r="C2475" t="s">
        <v>995</v>
      </c>
      <c r="D2475" t="s">
        <v>7080</v>
      </c>
      <c r="E2475">
        <v>0.07355242169628901</v>
      </c>
    </row>
    <row r="2476" spans="1:5">
      <c r="A2476" t="s">
        <v>4096</v>
      </c>
      <c r="B2476" t="s">
        <v>961</v>
      </c>
      <c r="C2476" t="s">
        <v>995</v>
      </c>
      <c r="D2476" t="s">
        <v>7081</v>
      </c>
      <c r="E2476">
        <v>5.765995340232728</v>
      </c>
    </row>
    <row r="2477" spans="1:5">
      <c r="A2477" t="s">
        <v>4097</v>
      </c>
      <c r="B2477" t="s">
        <v>961</v>
      </c>
      <c r="C2477" t="s">
        <v>995</v>
      </c>
      <c r="D2477" t="s">
        <v>7082</v>
      </c>
      <c r="E2477">
        <v>0.1464792455979035</v>
      </c>
    </row>
    <row r="2478" spans="1:5">
      <c r="A2478" t="s">
        <v>4098</v>
      </c>
      <c r="B2478" t="s">
        <v>961</v>
      </c>
      <c r="C2478" t="s">
        <v>995</v>
      </c>
      <c r="D2478" t="s">
        <v>7083</v>
      </c>
      <c r="E2478">
        <v>0.08682405221177232</v>
      </c>
    </row>
    <row r="2479" spans="1:5">
      <c r="A2479" t="s">
        <v>4099</v>
      </c>
      <c r="B2479" t="s">
        <v>961</v>
      </c>
      <c r="C2479" t="s">
        <v>995</v>
      </c>
      <c r="D2479" t="s">
        <v>7084</v>
      </c>
      <c r="E2479">
        <v>38.16407402288115</v>
      </c>
    </row>
    <row r="2480" spans="1:5">
      <c r="A2480" t="s">
        <v>4100</v>
      </c>
      <c r="B2480" t="s">
        <v>961</v>
      </c>
      <c r="C2480" t="s">
        <v>995</v>
      </c>
      <c r="D2480" t="s">
        <v>7085</v>
      </c>
      <c r="E2480">
        <v>7.704680438544634</v>
      </c>
    </row>
    <row r="2481" spans="1:5">
      <c r="A2481" t="s">
        <v>4101</v>
      </c>
      <c r="B2481" t="s">
        <v>961</v>
      </c>
      <c r="C2481" t="s">
        <v>995</v>
      </c>
      <c r="D2481" t="s">
        <v>7086</v>
      </c>
      <c r="E2481">
        <v>6.442292364393223</v>
      </c>
    </row>
    <row r="2482" spans="1:5">
      <c r="A2482" t="s">
        <v>4102</v>
      </c>
      <c r="B2482" t="s">
        <v>961</v>
      </c>
      <c r="C2482" t="s">
        <v>995</v>
      </c>
      <c r="D2482" t="s">
        <v>7087</v>
      </c>
      <c r="E2482">
        <v>19.91088181231277</v>
      </c>
    </row>
    <row r="2483" spans="1:5">
      <c r="A2483" t="s">
        <v>4103</v>
      </c>
      <c r="B2483" t="s">
        <v>961</v>
      </c>
      <c r="C2483" t="s">
        <v>995</v>
      </c>
      <c r="D2483" t="s">
        <v>7088</v>
      </c>
      <c r="E2483">
        <v>0.1764082835453803</v>
      </c>
    </row>
    <row r="2484" spans="1:5">
      <c r="A2484" t="s">
        <v>4104</v>
      </c>
      <c r="B2484" t="s">
        <v>961</v>
      </c>
      <c r="C2484" t="s">
        <v>995</v>
      </c>
      <c r="D2484" t="s">
        <v>6996</v>
      </c>
      <c r="E2484">
        <v>17.66616417873376</v>
      </c>
    </row>
    <row r="2485" spans="1:5">
      <c r="A2485" t="s">
        <v>4105</v>
      </c>
      <c r="B2485" t="s">
        <v>961</v>
      </c>
      <c r="C2485" t="s">
        <v>995</v>
      </c>
      <c r="D2485" t="s">
        <v>6997</v>
      </c>
      <c r="E2485">
        <v>75.71676933522595</v>
      </c>
    </row>
    <row r="2486" spans="1:5">
      <c r="A2486" t="s">
        <v>4106</v>
      </c>
      <c r="B2486" t="s">
        <v>961</v>
      </c>
      <c r="C2486" t="s">
        <v>995</v>
      </c>
      <c r="D2486" t="s">
        <v>7089</v>
      </c>
      <c r="E2486">
        <v>4.823845489676678</v>
      </c>
    </row>
    <row r="2487" spans="1:5">
      <c r="A2487" t="s">
        <v>4107</v>
      </c>
      <c r="B2487" t="s">
        <v>961</v>
      </c>
      <c r="C2487" t="s">
        <v>995</v>
      </c>
      <c r="D2487" t="s">
        <v>7090</v>
      </c>
      <c r="E2487">
        <v>18.65604921022195</v>
      </c>
    </row>
    <row r="2488" spans="1:5">
      <c r="A2488" t="s">
        <v>4108</v>
      </c>
      <c r="B2488" t="s">
        <v>961</v>
      </c>
      <c r="C2488" t="s">
        <v>995</v>
      </c>
      <c r="D2488" t="s">
        <v>7091</v>
      </c>
      <c r="E2488">
        <v>0.2273774567211604</v>
      </c>
    </row>
    <row r="2489" spans="1:5">
      <c r="A2489" t="s">
        <v>4109</v>
      </c>
      <c r="B2489" t="s">
        <v>961</v>
      </c>
      <c r="C2489" t="s">
        <v>995</v>
      </c>
      <c r="D2489" t="s">
        <v>7092</v>
      </c>
      <c r="E2489">
        <v>8.365391641018752</v>
      </c>
    </row>
    <row r="2490" spans="1:5">
      <c r="A2490" t="s">
        <v>4110</v>
      </c>
      <c r="B2490" t="s">
        <v>961</v>
      </c>
      <c r="C2490" t="s">
        <v>995</v>
      </c>
      <c r="D2490" t="s">
        <v>6998</v>
      </c>
      <c r="E2490">
        <v>32.44006170046631</v>
      </c>
    </row>
    <row r="2491" spans="1:5">
      <c r="A2491" t="s">
        <v>4111</v>
      </c>
      <c r="B2491" t="s">
        <v>961</v>
      </c>
      <c r="C2491" t="s">
        <v>995</v>
      </c>
      <c r="D2491" t="s">
        <v>7093</v>
      </c>
      <c r="E2491">
        <v>2.016899218410312</v>
      </c>
    </row>
    <row r="2492" spans="1:5">
      <c r="A2492" t="s">
        <v>4112</v>
      </c>
      <c r="B2492" t="s">
        <v>961</v>
      </c>
      <c r="C2492" t="s">
        <v>995</v>
      </c>
      <c r="D2492" t="s">
        <v>6999</v>
      </c>
      <c r="E2492">
        <v>179.2499720259559</v>
      </c>
    </row>
    <row r="2493" spans="1:5">
      <c r="A2493" t="s">
        <v>4113</v>
      </c>
      <c r="B2493" t="s">
        <v>961</v>
      </c>
      <c r="C2493" t="s">
        <v>995</v>
      </c>
      <c r="D2493" t="s">
        <v>7094</v>
      </c>
      <c r="E2493">
        <v>800.8555536288933</v>
      </c>
    </row>
    <row r="2494" spans="1:5">
      <c r="A2494" t="s">
        <v>4114</v>
      </c>
      <c r="B2494" t="s">
        <v>961</v>
      </c>
      <c r="C2494" t="s">
        <v>995</v>
      </c>
      <c r="D2494" t="s">
        <v>7095</v>
      </c>
      <c r="E2494">
        <v>307.92631319188</v>
      </c>
    </row>
    <row r="2495" spans="1:5">
      <c r="A2495" t="s">
        <v>4115</v>
      </c>
      <c r="B2495" t="s">
        <v>961</v>
      </c>
      <c r="C2495" t="s">
        <v>995</v>
      </c>
      <c r="D2495" t="s">
        <v>7096</v>
      </c>
      <c r="E2495">
        <v>89.66202164472151</v>
      </c>
    </row>
    <row r="2496" spans="1:5">
      <c r="A2496" t="s">
        <v>4116</v>
      </c>
      <c r="B2496" t="s">
        <v>961</v>
      </c>
      <c r="C2496" t="s">
        <v>995</v>
      </c>
      <c r="D2496" t="s">
        <v>7097</v>
      </c>
      <c r="E2496">
        <v>70.31644352489458</v>
      </c>
    </row>
    <row r="2497" spans="1:5">
      <c r="A2497" t="s">
        <v>4117</v>
      </c>
      <c r="B2497" t="s">
        <v>961</v>
      </c>
      <c r="C2497" t="s">
        <v>995</v>
      </c>
      <c r="D2497" t="s">
        <v>7000</v>
      </c>
      <c r="E2497">
        <v>5.00280432649671</v>
      </c>
    </row>
    <row r="2498" spans="1:5">
      <c r="A2498" t="s">
        <v>4118</v>
      </c>
      <c r="B2498" t="s">
        <v>961</v>
      </c>
      <c r="C2498" t="s">
        <v>995</v>
      </c>
      <c r="D2498" t="s">
        <v>7098</v>
      </c>
      <c r="E2498">
        <v>1.107157697737543</v>
      </c>
    </row>
    <row r="2499" spans="1:5">
      <c r="A2499" t="s">
        <v>4119</v>
      </c>
      <c r="B2499" t="s">
        <v>961</v>
      </c>
      <c r="C2499" t="s">
        <v>995</v>
      </c>
      <c r="D2499" t="s">
        <v>7001</v>
      </c>
      <c r="E2499">
        <v>83.86787348670923</v>
      </c>
    </row>
    <row r="2500" spans="1:5">
      <c r="A2500" t="s">
        <v>4120</v>
      </c>
      <c r="B2500" t="s">
        <v>961</v>
      </c>
      <c r="C2500" t="s">
        <v>995</v>
      </c>
      <c r="D2500" t="s">
        <v>7099</v>
      </c>
      <c r="E2500">
        <v>0.04998862419103287</v>
      </c>
    </row>
    <row r="2501" spans="1:5">
      <c r="A2501" t="s">
        <v>4121</v>
      </c>
      <c r="B2501" t="s">
        <v>961</v>
      </c>
      <c r="C2501" t="s">
        <v>995</v>
      </c>
      <c r="D2501" t="s">
        <v>7100</v>
      </c>
      <c r="E2501">
        <v>84.59513293755714</v>
      </c>
    </row>
    <row r="2502" spans="1:5">
      <c r="A2502" t="s">
        <v>4122</v>
      </c>
      <c r="B2502" t="s">
        <v>961</v>
      </c>
      <c r="C2502" t="s">
        <v>995</v>
      </c>
      <c r="D2502" t="s">
        <v>7002</v>
      </c>
      <c r="E2502">
        <v>67.87898322593058</v>
      </c>
    </row>
    <row r="2503" spans="1:5">
      <c r="A2503" t="s">
        <v>4123</v>
      </c>
      <c r="B2503" t="s">
        <v>961</v>
      </c>
      <c r="C2503" t="s">
        <v>995</v>
      </c>
      <c r="D2503" t="s">
        <v>7101</v>
      </c>
      <c r="E2503">
        <v>3.029664709904959</v>
      </c>
    </row>
    <row r="2504" spans="1:5">
      <c r="A2504" t="s">
        <v>4124</v>
      </c>
      <c r="B2504" t="s">
        <v>961</v>
      </c>
      <c r="C2504" t="s">
        <v>995</v>
      </c>
      <c r="D2504" t="s">
        <v>7102</v>
      </c>
      <c r="E2504">
        <v>4.269909001251081</v>
      </c>
    </row>
    <row r="2505" spans="1:5">
      <c r="A2505" t="s">
        <v>4125</v>
      </c>
      <c r="B2505" t="s">
        <v>961</v>
      </c>
      <c r="C2505" t="s">
        <v>995</v>
      </c>
      <c r="D2505" t="s">
        <v>7103</v>
      </c>
      <c r="E2505">
        <v>0.2097508996814316</v>
      </c>
    </row>
    <row r="2506" spans="1:5">
      <c r="A2506" t="s">
        <v>4126</v>
      </c>
      <c r="B2506" t="s">
        <v>961</v>
      </c>
      <c r="C2506" t="s">
        <v>995</v>
      </c>
      <c r="D2506" t="s">
        <v>7104</v>
      </c>
      <c r="E2506">
        <v>82.11366929797097</v>
      </c>
    </row>
    <row r="2507" spans="1:5">
      <c r="A2507" t="s">
        <v>4127</v>
      </c>
      <c r="B2507" t="s">
        <v>961</v>
      </c>
      <c r="C2507" t="s">
        <v>995</v>
      </c>
      <c r="D2507" t="s">
        <v>7105</v>
      </c>
      <c r="E2507">
        <v>38.75282196597589</v>
      </c>
    </row>
    <row r="2508" spans="1:5">
      <c r="A2508" t="s">
        <v>4128</v>
      </c>
      <c r="B2508" t="s">
        <v>961</v>
      </c>
      <c r="C2508" t="s">
        <v>995</v>
      </c>
      <c r="D2508" t="s">
        <v>7106</v>
      </c>
      <c r="E2508">
        <v>20.64674467014757</v>
      </c>
    </row>
    <row r="2509" spans="1:5">
      <c r="A2509" t="s">
        <v>4129</v>
      </c>
      <c r="B2509" t="s">
        <v>961</v>
      </c>
      <c r="C2509" t="s">
        <v>995</v>
      </c>
      <c r="D2509" t="s">
        <v>7107</v>
      </c>
      <c r="E2509">
        <v>0.6889386324233493</v>
      </c>
    </row>
    <row r="2510" spans="1:5">
      <c r="A2510" t="s">
        <v>4130</v>
      </c>
      <c r="B2510" t="s">
        <v>961</v>
      </c>
      <c r="C2510" t="s">
        <v>995</v>
      </c>
      <c r="D2510" t="s">
        <v>7003</v>
      </c>
      <c r="E2510">
        <v>32.56244145116774</v>
      </c>
    </row>
    <row r="2511" spans="1:5">
      <c r="A2511" t="s">
        <v>4131</v>
      </c>
      <c r="B2511" t="s">
        <v>961</v>
      </c>
      <c r="C2511" t="s">
        <v>995</v>
      </c>
      <c r="D2511" t="s">
        <v>7004</v>
      </c>
      <c r="E2511">
        <v>239.304644665337</v>
      </c>
    </row>
    <row r="2512" spans="1:5">
      <c r="A2512" t="s">
        <v>4132</v>
      </c>
      <c r="B2512" t="s">
        <v>961</v>
      </c>
      <c r="C2512" t="s">
        <v>995</v>
      </c>
      <c r="D2512" t="s">
        <v>7108</v>
      </c>
      <c r="E2512">
        <v>411.9625348245883</v>
      </c>
    </row>
    <row r="2513" spans="1:5">
      <c r="A2513" t="s">
        <v>4133</v>
      </c>
      <c r="B2513" t="s">
        <v>961</v>
      </c>
      <c r="C2513" t="s">
        <v>995</v>
      </c>
      <c r="D2513" t="s">
        <v>7109</v>
      </c>
      <c r="E2513">
        <v>12.53920319516536</v>
      </c>
    </row>
    <row r="2514" spans="1:5">
      <c r="A2514" t="s">
        <v>4134</v>
      </c>
      <c r="B2514" t="s">
        <v>961</v>
      </c>
      <c r="C2514" t="s">
        <v>995</v>
      </c>
      <c r="D2514" t="s">
        <v>7110</v>
      </c>
      <c r="E2514">
        <v>0.01253889781236713</v>
      </c>
    </row>
    <row r="2515" spans="1:5">
      <c r="A2515" t="s">
        <v>4135</v>
      </c>
      <c r="B2515" t="s">
        <v>961</v>
      </c>
      <c r="C2515" t="s">
        <v>995</v>
      </c>
      <c r="D2515" t="s">
        <v>7111</v>
      </c>
      <c r="E2515">
        <v>0.5395181722012981</v>
      </c>
    </row>
    <row r="2516" spans="1:5">
      <c r="A2516" t="s">
        <v>4136</v>
      </c>
      <c r="B2516" t="s">
        <v>961</v>
      </c>
      <c r="C2516" t="s">
        <v>995</v>
      </c>
      <c r="D2516" t="s">
        <v>7112</v>
      </c>
      <c r="E2516">
        <v>8.203083030640331</v>
      </c>
    </row>
    <row r="2517" spans="1:5">
      <c r="A2517" t="s">
        <v>4137</v>
      </c>
      <c r="B2517" t="s">
        <v>961</v>
      </c>
      <c r="C2517" t="s">
        <v>995</v>
      </c>
      <c r="D2517" t="s">
        <v>7113</v>
      </c>
      <c r="E2517">
        <v>0.06525880172641188</v>
      </c>
    </row>
    <row r="2518" spans="1:5">
      <c r="A2518" t="s">
        <v>4138</v>
      </c>
      <c r="B2518" t="s">
        <v>961</v>
      </c>
      <c r="C2518" t="s">
        <v>995</v>
      </c>
      <c r="D2518" t="s">
        <v>7114</v>
      </c>
      <c r="E2518">
        <v>14.51545787755102</v>
      </c>
    </row>
    <row r="2519" spans="1:5">
      <c r="A2519" t="s">
        <v>4139</v>
      </c>
      <c r="B2519" t="s">
        <v>961</v>
      </c>
      <c r="C2519" t="s">
        <v>995</v>
      </c>
      <c r="D2519" t="s">
        <v>7115</v>
      </c>
      <c r="E2519">
        <v>2.740664452343401</v>
      </c>
    </row>
    <row r="2520" spans="1:5">
      <c r="A2520" t="s">
        <v>4140</v>
      </c>
      <c r="B2520" t="s">
        <v>961</v>
      </c>
      <c r="C2520" t="s">
        <v>995</v>
      </c>
      <c r="D2520" t="s">
        <v>7116</v>
      </c>
      <c r="E2520">
        <v>18.65604921022195</v>
      </c>
    </row>
    <row r="2521" spans="1:5">
      <c r="A2521" t="s">
        <v>4141</v>
      </c>
      <c r="B2521" t="s">
        <v>961</v>
      </c>
      <c r="C2521" t="s">
        <v>995</v>
      </c>
      <c r="D2521" t="s">
        <v>7005</v>
      </c>
      <c r="E2521">
        <v>9.360831054644624</v>
      </c>
    </row>
    <row r="2522" spans="1:5">
      <c r="A2522" t="s">
        <v>4142</v>
      </c>
      <c r="B2522" t="s">
        <v>961</v>
      </c>
      <c r="C2522" t="s">
        <v>995</v>
      </c>
      <c r="D2522" t="s">
        <v>7117</v>
      </c>
      <c r="E2522">
        <v>32.93094200168215</v>
      </c>
    </row>
    <row r="2523" spans="1:5">
      <c r="A2523" t="s">
        <v>4143</v>
      </c>
      <c r="B2523" t="s">
        <v>961</v>
      </c>
      <c r="C2523" t="s">
        <v>995</v>
      </c>
      <c r="D2523" t="s">
        <v>7118</v>
      </c>
      <c r="E2523">
        <v>87.87187309123902</v>
      </c>
    </row>
    <row r="2524" spans="1:5">
      <c r="A2524" t="s">
        <v>4144</v>
      </c>
      <c r="B2524" t="s">
        <v>961</v>
      </c>
      <c r="C2524" t="s">
        <v>995</v>
      </c>
      <c r="D2524" t="s">
        <v>7119</v>
      </c>
      <c r="E2524">
        <v>105.2522796406558</v>
      </c>
    </row>
    <row r="2525" spans="1:5">
      <c r="A2525" t="s">
        <v>4145</v>
      </c>
      <c r="B2525" t="s">
        <v>961</v>
      </c>
      <c r="C2525" t="s">
        <v>995</v>
      </c>
      <c r="D2525" t="s">
        <v>7120</v>
      </c>
      <c r="E2525">
        <v>131.7816950886008</v>
      </c>
    </row>
    <row r="2526" spans="1:5">
      <c r="A2526" t="s">
        <v>4146</v>
      </c>
      <c r="B2526" t="s">
        <v>961</v>
      </c>
      <c r="C2526" t="s">
        <v>995</v>
      </c>
      <c r="D2526" t="s">
        <v>7006</v>
      </c>
      <c r="E2526">
        <v>6.680321486112496</v>
      </c>
    </row>
    <row r="2527" spans="1:5">
      <c r="A2527" t="s">
        <v>4147</v>
      </c>
      <c r="B2527" t="s">
        <v>961</v>
      </c>
      <c r="C2527" t="s">
        <v>995</v>
      </c>
      <c r="D2527" t="s">
        <v>7121</v>
      </c>
      <c r="E2527">
        <v>42.93033558284934</v>
      </c>
    </row>
    <row r="2528" spans="1:5">
      <c r="A2528" t="s">
        <v>4148</v>
      </c>
      <c r="B2528" t="s">
        <v>961</v>
      </c>
      <c r="C2528" t="s">
        <v>995</v>
      </c>
      <c r="D2528" t="s">
        <v>7122</v>
      </c>
      <c r="E2528">
        <v>216.5937343932333</v>
      </c>
    </row>
    <row r="2529" spans="1:5">
      <c r="A2529" t="s">
        <v>4149</v>
      </c>
      <c r="B2529" t="s">
        <v>961</v>
      </c>
      <c r="C2529" t="s">
        <v>995</v>
      </c>
      <c r="D2529" t="s">
        <v>7123</v>
      </c>
      <c r="E2529">
        <v>9.751679869537666</v>
      </c>
    </row>
    <row r="2530" spans="1:5">
      <c r="A2530" t="s">
        <v>4150</v>
      </c>
      <c r="B2530" t="s">
        <v>961</v>
      </c>
      <c r="C2530" t="s">
        <v>995</v>
      </c>
      <c r="D2530" t="s">
        <v>7124</v>
      </c>
      <c r="E2530">
        <v>0.1180951069506142</v>
      </c>
    </row>
    <row r="2531" spans="1:5">
      <c r="A2531" t="s">
        <v>4151</v>
      </c>
      <c r="B2531" t="s">
        <v>961</v>
      </c>
      <c r="C2531" t="s">
        <v>995</v>
      </c>
      <c r="D2531" t="s">
        <v>7125</v>
      </c>
      <c r="E2531">
        <v>6.860276045941233</v>
      </c>
    </row>
    <row r="2532" spans="1:5">
      <c r="A2532" t="s">
        <v>4152</v>
      </c>
      <c r="B2532" t="s">
        <v>961</v>
      </c>
      <c r="C2532" t="s">
        <v>995</v>
      </c>
      <c r="D2532" t="s">
        <v>7126</v>
      </c>
      <c r="E2532">
        <v>0.08197390609836927</v>
      </c>
    </row>
    <row r="2533" spans="1:5">
      <c r="A2533" t="s">
        <v>4153</v>
      </c>
      <c r="B2533" t="s">
        <v>961</v>
      </c>
      <c r="C2533" t="s">
        <v>995</v>
      </c>
      <c r="D2533" t="s">
        <v>998</v>
      </c>
      <c r="E2533">
        <v>307.9257799478231</v>
      </c>
    </row>
    <row r="2534" spans="1:5">
      <c r="A2534" t="s">
        <v>4154</v>
      </c>
      <c r="B2534" t="s">
        <v>961</v>
      </c>
      <c r="C2534" t="s">
        <v>995</v>
      </c>
      <c r="D2534" t="s">
        <v>7127</v>
      </c>
      <c r="E2534">
        <v>7.599332261535072</v>
      </c>
    </row>
    <row r="2535" spans="1:5">
      <c r="A2535" t="s">
        <v>4155</v>
      </c>
      <c r="B2535" t="s">
        <v>961</v>
      </c>
      <c r="C2535" t="s">
        <v>995</v>
      </c>
      <c r="D2535" t="s">
        <v>7128</v>
      </c>
      <c r="E2535">
        <v>0.02570086337237533</v>
      </c>
    </row>
    <row r="2536" spans="1:5">
      <c r="A2536" t="s">
        <v>4156</v>
      </c>
      <c r="B2536" t="s">
        <v>961</v>
      </c>
      <c r="C2536" t="s">
        <v>995</v>
      </c>
      <c r="D2536" t="s">
        <v>7129</v>
      </c>
      <c r="E2536">
        <v>0.5370045161905882</v>
      </c>
    </row>
    <row r="2537" spans="1:5">
      <c r="A2537" t="s">
        <v>4157</v>
      </c>
      <c r="B2537" t="s">
        <v>961</v>
      </c>
      <c r="C2537" t="s">
        <v>995</v>
      </c>
      <c r="D2537" t="s">
        <v>7130</v>
      </c>
      <c r="E2537">
        <v>0.01174769316819374</v>
      </c>
    </row>
    <row r="2538" spans="1:5">
      <c r="A2538" t="s">
        <v>4158</v>
      </c>
      <c r="B2538" t="s">
        <v>961</v>
      </c>
      <c r="C2538" t="s">
        <v>995</v>
      </c>
      <c r="D2538" t="s">
        <v>7131</v>
      </c>
      <c r="E2538">
        <v>2.578885725037593</v>
      </c>
    </row>
    <row r="2539" spans="1:5">
      <c r="A2539" t="s">
        <v>4159</v>
      </c>
      <c r="B2539" t="s">
        <v>961</v>
      </c>
      <c r="C2539" t="s">
        <v>995</v>
      </c>
      <c r="D2539" t="s">
        <v>7132</v>
      </c>
      <c r="E2539">
        <v>113.6638474598373</v>
      </c>
    </row>
    <row r="2540" spans="1:5">
      <c r="A2540" t="s">
        <v>4160</v>
      </c>
      <c r="B2540" t="s">
        <v>961</v>
      </c>
      <c r="C2540" t="s">
        <v>995</v>
      </c>
      <c r="D2540" t="s">
        <v>7133</v>
      </c>
      <c r="E2540">
        <v>0.5421524856050015</v>
      </c>
    </row>
    <row r="2541" spans="1:5">
      <c r="A2541" t="s">
        <v>4161</v>
      </c>
      <c r="B2541" t="s">
        <v>961</v>
      </c>
      <c r="C2541" t="s">
        <v>995</v>
      </c>
      <c r="D2541" t="s">
        <v>7134</v>
      </c>
      <c r="E2541">
        <v>114.0467643767973</v>
      </c>
    </row>
    <row r="2542" spans="1:5">
      <c r="A2542" t="s">
        <v>4162</v>
      </c>
      <c r="B2542" t="s">
        <v>961</v>
      </c>
      <c r="C2542" t="s">
        <v>995</v>
      </c>
      <c r="D2542" t="s">
        <v>7135</v>
      </c>
      <c r="E2542">
        <v>172.0258608096172</v>
      </c>
    </row>
    <row r="2543" spans="1:5">
      <c r="A2543" t="s">
        <v>4163</v>
      </c>
      <c r="B2543" t="s">
        <v>961</v>
      </c>
      <c r="C2543" t="s">
        <v>995</v>
      </c>
      <c r="D2543" t="s">
        <v>7136</v>
      </c>
      <c r="E2543">
        <v>419.6228867156895</v>
      </c>
    </row>
    <row r="2544" spans="1:5">
      <c r="A2544" t="s">
        <v>4164</v>
      </c>
      <c r="B2544" t="s">
        <v>961</v>
      </c>
      <c r="C2544" t="s">
        <v>995</v>
      </c>
      <c r="D2544" t="s">
        <v>7137</v>
      </c>
      <c r="E2544">
        <v>0.5421524856050015</v>
      </c>
    </row>
    <row r="2545" spans="1:5">
      <c r="A2545" t="s">
        <v>4165</v>
      </c>
      <c r="B2545" t="s">
        <v>961</v>
      </c>
      <c r="C2545" t="s">
        <v>995</v>
      </c>
      <c r="D2545" t="s">
        <v>7138</v>
      </c>
      <c r="E2545">
        <v>2.980162219689606</v>
      </c>
    </row>
    <row r="2546" spans="1:5">
      <c r="A2546" t="s">
        <v>4166</v>
      </c>
      <c r="B2546" t="s">
        <v>961</v>
      </c>
      <c r="C2546" t="s">
        <v>995</v>
      </c>
      <c r="D2546" t="s">
        <v>7139</v>
      </c>
      <c r="E2546">
        <v>1.290393186031776</v>
      </c>
    </row>
    <row r="2547" spans="1:5">
      <c r="A2547" t="s">
        <v>4167</v>
      </c>
      <c r="B2547" t="s">
        <v>961</v>
      </c>
      <c r="C2547" t="s">
        <v>995</v>
      </c>
      <c r="D2547" t="s">
        <v>7007</v>
      </c>
      <c r="E2547">
        <v>18.65835625390608</v>
      </c>
    </row>
    <row r="2548" spans="1:5">
      <c r="A2548" t="s">
        <v>4168</v>
      </c>
      <c r="B2548" t="s">
        <v>961</v>
      </c>
      <c r="C2548" t="s">
        <v>995</v>
      </c>
      <c r="D2548" t="s">
        <v>7140</v>
      </c>
      <c r="E2548">
        <v>17.32273338452447</v>
      </c>
    </row>
    <row r="2549" spans="1:5">
      <c r="A2549" t="s">
        <v>4169</v>
      </c>
      <c r="B2549" t="s">
        <v>961</v>
      </c>
      <c r="C2549" t="s">
        <v>995</v>
      </c>
      <c r="D2549" t="s">
        <v>7141</v>
      </c>
      <c r="E2549">
        <v>11.50771653696183</v>
      </c>
    </row>
    <row r="2550" spans="1:5">
      <c r="A2550" t="s">
        <v>4170</v>
      </c>
      <c r="B2550" t="s">
        <v>961</v>
      </c>
      <c r="C2550" t="s">
        <v>995</v>
      </c>
      <c r="D2550" t="s">
        <v>7142</v>
      </c>
      <c r="E2550">
        <v>11.50771653696183</v>
      </c>
    </row>
    <row r="2551" spans="1:5">
      <c r="A2551" t="s">
        <v>4006</v>
      </c>
      <c r="B2551" t="s">
        <v>961</v>
      </c>
      <c r="C2551" t="s">
        <v>995</v>
      </c>
      <c r="D2551" t="s">
        <v>996</v>
      </c>
      <c r="E2551">
        <v>355.628718</v>
      </c>
    </row>
    <row r="2552" spans="1:5">
      <c r="A2552" t="s">
        <v>4171</v>
      </c>
      <c r="B2552" t="s">
        <v>962</v>
      </c>
      <c r="C2552" t="s">
        <v>995</v>
      </c>
      <c r="D2552" t="s">
        <v>996</v>
      </c>
      <c r="E2552">
        <v>356.22795</v>
      </c>
    </row>
    <row r="2553" spans="1:5">
      <c r="A2553" t="s">
        <v>4172</v>
      </c>
      <c r="B2553" t="s">
        <v>962</v>
      </c>
      <c r="C2553" t="s">
        <v>995</v>
      </c>
      <c r="D2553" t="s">
        <v>7008</v>
      </c>
      <c r="E2553">
        <v>84.05972113806328</v>
      </c>
    </row>
    <row r="2554" spans="1:5">
      <c r="A2554" t="s">
        <v>4173</v>
      </c>
      <c r="B2554" t="s">
        <v>962</v>
      </c>
      <c r="C2554" t="s">
        <v>995</v>
      </c>
      <c r="D2554" t="s">
        <v>7009</v>
      </c>
      <c r="E2554">
        <v>4.890046554477502</v>
      </c>
    </row>
    <row r="2555" spans="1:5">
      <c r="A2555" t="s">
        <v>4174</v>
      </c>
      <c r="B2555" t="s">
        <v>962</v>
      </c>
      <c r="C2555" t="s">
        <v>995</v>
      </c>
      <c r="D2555" t="s">
        <v>7010</v>
      </c>
      <c r="E2555">
        <v>3.741806236975542</v>
      </c>
    </row>
    <row r="2556" spans="1:5">
      <c r="A2556" t="s">
        <v>4175</v>
      </c>
      <c r="B2556" t="s">
        <v>962</v>
      </c>
      <c r="C2556" t="s">
        <v>995</v>
      </c>
      <c r="D2556" t="s">
        <v>7011</v>
      </c>
      <c r="E2556">
        <v>0.8368785762871978</v>
      </c>
    </row>
    <row r="2557" spans="1:5">
      <c r="A2557" t="s">
        <v>4176</v>
      </c>
      <c r="B2557" t="s">
        <v>962</v>
      </c>
      <c r="C2557" t="s">
        <v>995</v>
      </c>
      <c r="D2557" t="s">
        <v>7012</v>
      </c>
      <c r="E2557">
        <v>172.4633011688531</v>
      </c>
    </row>
    <row r="2558" spans="1:5">
      <c r="A2558" t="s">
        <v>4177</v>
      </c>
      <c r="B2558" t="s">
        <v>962</v>
      </c>
      <c r="C2558" t="s">
        <v>995</v>
      </c>
      <c r="D2558" t="s">
        <v>7013</v>
      </c>
      <c r="E2558">
        <v>0.3271808615741793</v>
      </c>
    </row>
    <row r="2559" spans="1:5">
      <c r="A2559" t="s">
        <v>4178</v>
      </c>
      <c r="B2559" t="s">
        <v>962</v>
      </c>
      <c r="C2559" t="s">
        <v>995</v>
      </c>
      <c r="D2559" t="s">
        <v>7014</v>
      </c>
      <c r="E2559">
        <v>0.214891106530925</v>
      </c>
    </row>
    <row r="2560" spans="1:5">
      <c r="A2560" t="s">
        <v>4179</v>
      </c>
      <c r="B2560" t="s">
        <v>962</v>
      </c>
      <c r="C2560" t="s">
        <v>995</v>
      </c>
      <c r="D2560" t="s">
        <v>6981</v>
      </c>
      <c r="E2560">
        <v>216.1707226344301</v>
      </c>
    </row>
    <row r="2561" spans="1:5">
      <c r="A2561" t="s">
        <v>4180</v>
      </c>
      <c r="B2561" t="s">
        <v>962</v>
      </c>
      <c r="C2561" t="s">
        <v>995</v>
      </c>
      <c r="D2561" t="s">
        <v>7015</v>
      </c>
      <c r="E2561">
        <v>172.4633011688531</v>
      </c>
    </row>
    <row r="2562" spans="1:5">
      <c r="A2562" t="s">
        <v>4181</v>
      </c>
      <c r="B2562" t="s">
        <v>962</v>
      </c>
      <c r="C2562" t="s">
        <v>995</v>
      </c>
      <c r="D2562" t="s">
        <v>7016</v>
      </c>
      <c r="E2562">
        <v>181.3333676085217</v>
      </c>
    </row>
    <row r="2563" spans="1:5">
      <c r="A2563" t="s">
        <v>4182</v>
      </c>
      <c r="B2563" t="s">
        <v>962</v>
      </c>
      <c r="C2563" t="s">
        <v>995</v>
      </c>
      <c r="D2563" t="s">
        <v>7017</v>
      </c>
      <c r="E2563">
        <v>182.1364586901725</v>
      </c>
    </row>
    <row r="2564" spans="1:5">
      <c r="A2564" t="s">
        <v>4183</v>
      </c>
      <c r="B2564" t="s">
        <v>962</v>
      </c>
      <c r="C2564" t="s">
        <v>995</v>
      </c>
      <c r="D2564" t="s">
        <v>7018</v>
      </c>
      <c r="E2564">
        <v>154.3546967679484</v>
      </c>
    </row>
    <row r="2565" spans="1:5">
      <c r="A2565" t="s">
        <v>4184</v>
      </c>
      <c r="B2565" t="s">
        <v>962</v>
      </c>
      <c r="C2565" t="s">
        <v>995</v>
      </c>
      <c r="D2565" t="s">
        <v>7019</v>
      </c>
      <c r="E2565">
        <v>2.512711633937333</v>
      </c>
    </row>
    <row r="2566" spans="1:5">
      <c r="A2566" t="s">
        <v>4185</v>
      </c>
      <c r="B2566" t="s">
        <v>962</v>
      </c>
      <c r="C2566" t="s">
        <v>995</v>
      </c>
      <c r="D2566" t="s">
        <v>997</v>
      </c>
      <c r="E2566">
        <v>182.1364586901725</v>
      </c>
    </row>
    <row r="2567" spans="1:5">
      <c r="A2567" t="s">
        <v>4186</v>
      </c>
      <c r="B2567" t="s">
        <v>962</v>
      </c>
      <c r="C2567" t="s">
        <v>995</v>
      </c>
      <c r="D2567" t="s">
        <v>7020</v>
      </c>
      <c r="E2567">
        <v>821.0363099134315</v>
      </c>
    </row>
    <row r="2568" spans="1:5">
      <c r="A2568" t="s">
        <v>4187</v>
      </c>
      <c r="B2568" t="s">
        <v>962</v>
      </c>
      <c r="C2568" t="s">
        <v>995</v>
      </c>
      <c r="D2568" t="s">
        <v>7021</v>
      </c>
      <c r="E2568">
        <v>0.103204205159224</v>
      </c>
    </row>
    <row r="2569" spans="1:5">
      <c r="A2569" t="s">
        <v>4188</v>
      </c>
      <c r="B2569" t="s">
        <v>962</v>
      </c>
      <c r="C2569" t="s">
        <v>995</v>
      </c>
      <c r="D2569" t="s">
        <v>7022</v>
      </c>
      <c r="E2569">
        <v>308.7092597711987</v>
      </c>
    </row>
    <row r="2570" spans="1:5">
      <c r="A2570" t="s">
        <v>4189</v>
      </c>
      <c r="B2570" t="s">
        <v>962</v>
      </c>
      <c r="C2570" t="s">
        <v>995</v>
      </c>
      <c r="D2570" t="s">
        <v>7023</v>
      </c>
      <c r="E2570">
        <v>239.7017421086985</v>
      </c>
    </row>
    <row r="2571" spans="1:5">
      <c r="A2571" t="s">
        <v>4190</v>
      </c>
      <c r="B2571" t="s">
        <v>962</v>
      </c>
      <c r="C2571" t="s">
        <v>995</v>
      </c>
      <c r="D2571" t="s">
        <v>7024</v>
      </c>
      <c r="E2571">
        <v>44.54238540644864</v>
      </c>
    </row>
    <row r="2572" spans="1:5">
      <c r="A2572" t="s">
        <v>4191</v>
      </c>
      <c r="B2572" t="s">
        <v>962</v>
      </c>
      <c r="C2572" t="s">
        <v>995</v>
      </c>
      <c r="D2572" t="s">
        <v>6982</v>
      </c>
      <c r="E2572">
        <v>59.5826547459414</v>
      </c>
    </row>
    <row r="2573" spans="1:5">
      <c r="A2573" t="s">
        <v>4192</v>
      </c>
      <c r="B2573" t="s">
        <v>962</v>
      </c>
      <c r="C2573" t="s">
        <v>995</v>
      </c>
      <c r="D2573" t="s">
        <v>7025</v>
      </c>
      <c r="E2573">
        <v>308.7092597711987</v>
      </c>
    </row>
    <row r="2574" spans="1:5">
      <c r="A2574" t="s">
        <v>4193</v>
      </c>
      <c r="B2574" t="s">
        <v>962</v>
      </c>
      <c r="C2574" t="s">
        <v>995</v>
      </c>
      <c r="D2574" t="s">
        <v>7026</v>
      </c>
      <c r="E2574">
        <v>3.23747626226357</v>
      </c>
    </row>
    <row r="2575" spans="1:5">
      <c r="A2575" t="s">
        <v>4194</v>
      </c>
      <c r="B2575" t="s">
        <v>962</v>
      </c>
      <c r="C2575" t="s">
        <v>995</v>
      </c>
      <c r="D2575" t="s">
        <v>7027</v>
      </c>
      <c r="E2575">
        <v>21.86003300470991</v>
      </c>
    </row>
    <row r="2576" spans="1:5">
      <c r="A2576" t="s">
        <v>4195</v>
      </c>
      <c r="B2576" t="s">
        <v>962</v>
      </c>
      <c r="C2576" t="s">
        <v>995</v>
      </c>
      <c r="D2576" t="s">
        <v>7028</v>
      </c>
      <c r="E2576">
        <v>111.8572402883065</v>
      </c>
    </row>
    <row r="2577" spans="1:5">
      <c r="A2577" t="s">
        <v>4196</v>
      </c>
      <c r="B2577" t="s">
        <v>962</v>
      </c>
      <c r="C2577" t="s">
        <v>995</v>
      </c>
      <c r="D2577" t="s">
        <v>7029</v>
      </c>
      <c r="E2577">
        <v>154.3546967679484</v>
      </c>
    </row>
    <row r="2578" spans="1:5">
      <c r="A2578" t="s">
        <v>4197</v>
      </c>
      <c r="B2578" t="s">
        <v>962</v>
      </c>
      <c r="C2578" t="s">
        <v>995</v>
      </c>
      <c r="D2578" t="s">
        <v>6983</v>
      </c>
      <c r="E2578">
        <v>221.4206419700291</v>
      </c>
    </row>
    <row r="2579" spans="1:5">
      <c r="A2579" t="s">
        <v>4198</v>
      </c>
      <c r="B2579" t="s">
        <v>962</v>
      </c>
      <c r="C2579" t="s">
        <v>995</v>
      </c>
      <c r="D2579" t="s">
        <v>7030</v>
      </c>
      <c r="E2579">
        <v>0.1335190981746998</v>
      </c>
    </row>
    <row r="2580" spans="1:5">
      <c r="A2580" t="s">
        <v>4199</v>
      </c>
      <c r="B2580" t="s">
        <v>962</v>
      </c>
      <c r="C2580" t="s">
        <v>995</v>
      </c>
      <c r="D2580" t="s">
        <v>6984</v>
      </c>
      <c r="E2580">
        <v>386.0356962889514</v>
      </c>
    </row>
    <row r="2581" spans="1:5">
      <c r="A2581" t="s">
        <v>4200</v>
      </c>
      <c r="B2581" t="s">
        <v>962</v>
      </c>
      <c r="C2581" t="s">
        <v>995</v>
      </c>
      <c r="D2581" t="s">
        <v>7031</v>
      </c>
      <c r="E2581">
        <v>13286.13866925257</v>
      </c>
    </row>
    <row r="2582" spans="1:5">
      <c r="A2582" t="s">
        <v>4201</v>
      </c>
      <c r="B2582" t="s">
        <v>962</v>
      </c>
      <c r="C2582" t="s">
        <v>995</v>
      </c>
      <c r="D2582" t="s">
        <v>7032</v>
      </c>
      <c r="E2582">
        <v>0.3361309104262414</v>
      </c>
    </row>
    <row r="2583" spans="1:5">
      <c r="A2583" t="s">
        <v>4202</v>
      </c>
      <c r="B2583" t="s">
        <v>962</v>
      </c>
      <c r="C2583" t="s">
        <v>995</v>
      </c>
      <c r="D2583" t="s">
        <v>7033</v>
      </c>
      <c r="E2583">
        <v>45.52002807146314</v>
      </c>
    </row>
    <row r="2584" spans="1:5">
      <c r="A2584" t="s">
        <v>4203</v>
      </c>
      <c r="B2584" t="s">
        <v>962</v>
      </c>
      <c r="C2584" t="s">
        <v>995</v>
      </c>
      <c r="D2584" t="s">
        <v>6985</v>
      </c>
      <c r="E2584">
        <v>45.49864427999064</v>
      </c>
    </row>
    <row r="2585" spans="1:5">
      <c r="A2585" t="s">
        <v>4204</v>
      </c>
      <c r="B2585" t="s">
        <v>962</v>
      </c>
      <c r="C2585" t="s">
        <v>995</v>
      </c>
      <c r="D2585" t="s">
        <v>7034</v>
      </c>
      <c r="E2585">
        <v>0.08626404719703444</v>
      </c>
    </row>
    <row r="2586" spans="1:5">
      <c r="A2586" t="s">
        <v>4205</v>
      </c>
      <c r="B2586" t="s">
        <v>962</v>
      </c>
      <c r="C2586" t="s">
        <v>995</v>
      </c>
      <c r="D2586" t="s">
        <v>7035</v>
      </c>
      <c r="E2586">
        <v>0.6694762529507265</v>
      </c>
    </row>
    <row r="2587" spans="1:5">
      <c r="A2587" t="s">
        <v>4206</v>
      </c>
      <c r="B2587" t="s">
        <v>962</v>
      </c>
      <c r="C2587" t="s">
        <v>995</v>
      </c>
      <c r="D2587" t="s">
        <v>7036</v>
      </c>
      <c r="E2587">
        <v>12.86288907502466</v>
      </c>
    </row>
    <row r="2588" spans="1:5">
      <c r="A2588" t="s">
        <v>4207</v>
      </c>
      <c r="B2588" t="s">
        <v>962</v>
      </c>
      <c r="C2588" t="s">
        <v>995</v>
      </c>
      <c r="D2588" t="s">
        <v>7037</v>
      </c>
      <c r="E2588">
        <v>3.23065297238471</v>
      </c>
    </row>
    <row r="2589" spans="1:5">
      <c r="A2589" t="s">
        <v>4208</v>
      </c>
      <c r="B2589" t="s">
        <v>962</v>
      </c>
      <c r="C2589" t="s">
        <v>995</v>
      </c>
      <c r="D2589" t="s">
        <v>6986</v>
      </c>
      <c r="E2589">
        <v>14.72923265685206</v>
      </c>
    </row>
    <row r="2590" spans="1:5">
      <c r="A2590" t="s">
        <v>4209</v>
      </c>
      <c r="B2590" t="s">
        <v>962</v>
      </c>
      <c r="C2590" t="s">
        <v>995</v>
      </c>
      <c r="D2590" t="s">
        <v>7038</v>
      </c>
      <c r="E2590">
        <v>1.737044806783239</v>
      </c>
    </row>
    <row r="2591" spans="1:5">
      <c r="A2591" t="s">
        <v>4210</v>
      </c>
      <c r="B2591" t="s">
        <v>962</v>
      </c>
      <c r="C2591" t="s">
        <v>995</v>
      </c>
      <c r="D2591" t="s">
        <v>6987</v>
      </c>
      <c r="E2591">
        <v>47.72901665708455</v>
      </c>
    </row>
    <row r="2592" spans="1:5">
      <c r="A2592" t="s">
        <v>4211</v>
      </c>
      <c r="B2592" t="s">
        <v>962</v>
      </c>
      <c r="C2592" t="s">
        <v>995</v>
      </c>
      <c r="D2592" t="s">
        <v>7039</v>
      </c>
      <c r="E2592">
        <v>5.281719836206584</v>
      </c>
    </row>
    <row r="2593" spans="1:5">
      <c r="A2593" t="s">
        <v>4212</v>
      </c>
      <c r="B2593" t="s">
        <v>962</v>
      </c>
      <c r="C2593" t="s">
        <v>995</v>
      </c>
      <c r="D2593" t="s">
        <v>7040</v>
      </c>
      <c r="E2593">
        <v>2.304783986706335</v>
      </c>
    </row>
    <row r="2594" spans="1:5">
      <c r="A2594" t="s">
        <v>4213</v>
      </c>
      <c r="B2594" t="s">
        <v>962</v>
      </c>
      <c r="C2594" t="s">
        <v>995</v>
      </c>
      <c r="D2594" t="s">
        <v>7041</v>
      </c>
      <c r="E2594">
        <v>5.955063991687504</v>
      </c>
    </row>
    <row r="2595" spans="1:5">
      <c r="A2595" t="s">
        <v>4214</v>
      </c>
      <c r="B2595" t="s">
        <v>962</v>
      </c>
      <c r="C2595" t="s">
        <v>995</v>
      </c>
      <c r="D2595" t="s">
        <v>7042</v>
      </c>
      <c r="E2595">
        <v>20.58062326317675</v>
      </c>
    </row>
    <row r="2596" spans="1:5">
      <c r="A2596" t="s">
        <v>4215</v>
      </c>
      <c r="B2596" t="s">
        <v>962</v>
      </c>
      <c r="C2596" t="s">
        <v>995</v>
      </c>
      <c r="D2596" t="s">
        <v>7043</v>
      </c>
      <c r="E2596">
        <v>1.915097075116041</v>
      </c>
    </row>
    <row r="2597" spans="1:5">
      <c r="A2597" t="s">
        <v>4216</v>
      </c>
      <c r="B2597" t="s">
        <v>962</v>
      </c>
      <c r="C2597" t="s">
        <v>995</v>
      </c>
      <c r="D2597" t="s">
        <v>7044</v>
      </c>
      <c r="E2597">
        <v>139.139748700989</v>
      </c>
    </row>
    <row r="2598" spans="1:5">
      <c r="A2598" t="s">
        <v>4217</v>
      </c>
      <c r="B2598" t="s">
        <v>962</v>
      </c>
      <c r="C2598" t="s">
        <v>995</v>
      </c>
      <c r="D2598" t="s">
        <v>7045</v>
      </c>
      <c r="E2598">
        <v>412.8216731756499</v>
      </c>
    </row>
    <row r="2599" spans="1:5">
      <c r="A2599" t="s">
        <v>4218</v>
      </c>
      <c r="B2599" t="s">
        <v>962</v>
      </c>
      <c r="C2599" t="s">
        <v>995</v>
      </c>
      <c r="D2599" t="s">
        <v>7046</v>
      </c>
      <c r="E2599">
        <v>47.72902944698293</v>
      </c>
    </row>
    <row r="2600" spans="1:5">
      <c r="A2600" t="s">
        <v>4219</v>
      </c>
      <c r="B2600" t="s">
        <v>962</v>
      </c>
      <c r="C2600" t="s">
        <v>995</v>
      </c>
      <c r="D2600" t="s">
        <v>6988</v>
      </c>
      <c r="E2600">
        <v>412.8216731756499</v>
      </c>
    </row>
    <row r="2601" spans="1:5">
      <c r="A2601" t="s">
        <v>4220</v>
      </c>
      <c r="B2601" t="s">
        <v>962</v>
      </c>
      <c r="C2601" t="s">
        <v>995</v>
      </c>
      <c r="D2601" t="s">
        <v>7047</v>
      </c>
      <c r="E2601">
        <v>116.0851513257501</v>
      </c>
    </row>
    <row r="2602" spans="1:5">
      <c r="A2602" t="s">
        <v>4221</v>
      </c>
      <c r="B2602" t="s">
        <v>962</v>
      </c>
      <c r="C2602" t="s">
        <v>995</v>
      </c>
      <c r="D2602" t="s">
        <v>7048</v>
      </c>
      <c r="E2602">
        <v>412.8216731756499</v>
      </c>
    </row>
    <row r="2603" spans="1:5">
      <c r="A2603" t="s">
        <v>4222</v>
      </c>
      <c r="B2603" t="s">
        <v>962</v>
      </c>
      <c r="C2603" t="s">
        <v>995</v>
      </c>
      <c r="D2603" t="s">
        <v>7049</v>
      </c>
      <c r="E2603">
        <v>26.87912157894375</v>
      </c>
    </row>
    <row r="2604" spans="1:5">
      <c r="A2604" t="s">
        <v>4223</v>
      </c>
      <c r="B2604" t="s">
        <v>962</v>
      </c>
      <c r="C2604" t="s">
        <v>995</v>
      </c>
      <c r="D2604" t="s">
        <v>7050</v>
      </c>
      <c r="E2604">
        <v>412.8216731756499</v>
      </c>
    </row>
    <row r="2605" spans="1:5">
      <c r="A2605" t="s">
        <v>4224</v>
      </c>
      <c r="B2605" t="s">
        <v>962</v>
      </c>
      <c r="C2605" t="s">
        <v>995</v>
      </c>
      <c r="D2605" t="s">
        <v>7051</v>
      </c>
      <c r="E2605">
        <v>4.154778066009252</v>
      </c>
    </row>
    <row r="2606" spans="1:5">
      <c r="A2606" t="s">
        <v>4225</v>
      </c>
      <c r="B2606" t="s">
        <v>962</v>
      </c>
      <c r="C2606" t="s">
        <v>995</v>
      </c>
      <c r="D2606" t="s">
        <v>7052</v>
      </c>
      <c r="E2606">
        <v>0.03514938236262981</v>
      </c>
    </row>
    <row r="2607" spans="1:5">
      <c r="A2607" t="s">
        <v>4226</v>
      </c>
      <c r="B2607" t="s">
        <v>962</v>
      </c>
      <c r="C2607" t="s">
        <v>995</v>
      </c>
      <c r="D2607" t="s">
        <v>7053</v>
      </c>
      <c r="E2607">
        <v>40.42959945377791</v>
      </c>
    </row>
    <row r="2608" spans="1:5">
      <c r="A2608" t="s">
        <v>4227</v>
      </c>
      <c r="B2608" t="s">
        <v>962</v>
      </c>
      <c r="C2608" t="s">
        <v>995</v>
      </c>
      <c r="D2608" t="s">
        <v>7054</v>
      </c>
      <c r="E2608">
        <v>1.474733500506914</v>
      </c>
    </row>
    <row r="2609" spans="1:5">
      <c r="A2609" t="s">
        <v>4228</v>
      </c>
      <c r="B2609" t="s">
        <v>962</v>
      </c>
      <c r="C2609" t="s">
        <v>995</v>
      </c>
      <c r="D2609" t="s">
        <v>6989</v>
      </c>
      <c r="E2609">
        <v>39.3865152568204</v>
      </c>
    </row>
    <row r="2610" spans="1:5">
      <c r="A2610" t="s">
        <v>4229</v>
      </c>
      <c r="B2610" t="s">
        <v>962</v>
      </c>
      <c r="C2610" t="s">
        <v>995</v>
      </c>
      <c r="D2610" t="s">
        <v>7055</v>
      </c>
      <c r="E2610">
        <v>11.52917824834193</v>
      </c>
    </row>
    <row r="2611" spans="1:5">
      <c r="A2611" t="s">
        <v>4230</v>
      </c>
      <c r="B2611" t="s">
        <v>962</v>
      </c>
      <c r="C2611" t="s">
        <v>995</v>
      </c>
      <c r="D2611" t="s">
        <v>7056</v>
      </c>
      <c r="E2611">
        <v>47.27957395978499</v>
      </c>
    </row>
    <row r="2612" spans="1:5">
      <c r="A2612" t="s">
        <v>4231</v>
      </c>
      <c r="B2612" t="s">
        <v>962</v>
      </c>
      <c r="C2612" t="s">
        <v>995</v>
      </c>
      <c r="D2612" t="s">
        <v>7057</v>
      </c>
      <c r="E2612">
        <v>2.358168127280088</v>
      </c>
    </row>
    <row r="2613" spans="1:5">
      <c r="A2613" t="s">
        <v>4232</v>
      </c>
      <c r="B2613" t="s">
        <v>962</v>
      </c>
      <c r="C2613" t="s">
        <v>995</v>
      </c>
      <c r="D2613" t="s">
        <v>6990</v>
      </c>
      <c r="E2613">
        <v>0.01722596497132646</v>
      </c>
    </row>
    <row r="2614" spans="1:5">
      <c r="A2614" t="s">
        <v>4233</v>
      </c>
      <c r="B2614" t="s">
        <v>962</v>
      </c>
      <c r="C2614" t="s">
        <v>995</v>
      </c>
      <c r="D2614" t="s">
        <v>6991</v>
      </c>
      <c r="E2614">
        <v>103.7566302770248</v>
      </c>
    </row>
    <row r="2615" spans="1:5">
      <c r="A2615" t="s">
        <v>4234</v>
      </c>
      <c r="B2615" t="s">
        <v>962</v>
      </c>
      <c r="C2615" t="s">
        <v>995</v>
      </c>
      <c r="D2615" t="s">
        <v>7058</v>
      </c>
      <c r="E2615">
        <v>412.8216731756499</v>
      </c>
    </row>
    <row r="2616" spans="1:5">
      <c r="A2616" t="s">
        <v>4235</v>
      </c>
      <c r="B2616" t="s">
        <v>962</v>
      </c>
      <c r="C2616" t="s">
        <v>995</v>
      </c>
      <c r="D2616" t="s">
        <v>6992</v>
      </c>
      <c r="E2616">
        <v>3.238552879732647</v>
      </c>
    </row>
    <row r="2617" spans="1:5">
      <c r="A2617" t="s">
        <v>4236</v>
      </c>
      <c r="B2617" t="s">
        <v>962</v>
      </c>
      <c r="C2617" t="s">
        <v>995</v>
      </c>
      <c r="D2617" t="s">
        <v>7059</v>
      </c>
      <c r="E2617">
        <v>0.2349133005181772</v>
      </c>
    </row>
    <row r="2618" spans="1:5">
      <c r="A2618" t="s">
        <v>4237</v>
      </c>
      <c r="B2618" t="s">
        <v>962</v>
      </c>
      <c r="C2618" t="s">
        <v>995</v>
      </c>
      <c r="D2618" t="s">
        <v>7060</v>
      </c>
      <c r="E2618">
        <v>0.0002240373269798418</v>
      </c>
    </row>
    <row r="2619" spans="1:5">
      <c r="A2619" t="s">
        <v>4238</v>
      </c>
      <c r="B2619" t="s">
        <v>962</v>
      </c>
      <c r="C2619" t="s">
        <v>995</v>
      </c>
      <c r="D2619" t="s">
        <v>6993</v>
      </c>
      <c r="E2619">
        <v>2.484086722523643</v>
      </c>
    </row>
    <row r="2620" spans="1:5">
      <c r="A2620" t="s">
        <v>4239</v>
      </c>
      <c r="B2620" t="s">
        <v>962</v>
      </c>
      <c r="C2620" t="s">
        <v>995</v>
      </c>
      <c r="D2620" t="s">
        <v>7061</v>
      </c>
      <c r="E2620">
        <v>412.8216731756499</v>
      </c>
    </row>
    <row r="2621" spans="1:5">
      <c r="A2621" t="s">
        <v>4240</v>
      </c>
      <c r="B2621" t="s">
        <v>962</v>
      </c>
      <c r="C2621" t="s">
        <v>995</v>
      </c>
      <c r="D2621" t="s">
        <v>7062</v>
      </c>
      <c r="E2621">
        <v>1.953121288411508</v>
      </c>
    </row>
    <row r="2622" spans="1:5">
      <c r="A2622" t="s">
        <v>4241</v>
      </c>
      <c r="B2622" t="s">
        <v>962</v>
      </c>
      <c r="C2622" t="s">
        <v>995</v>
      </c>
      <c r="D2622" t="s">
        <v>7063</v>
      </c>
      <c r="E2622">
        <v>435.4151642640448</v>
      </c>
    </row>
    <row r="2623" spans="1:5">
      <c r="A2623" t="s">
        <v>4242</v>
      </c>
      <c r="B2623" t="s">
        <v>962</v>
      </c>
      <c r="C2623" t="s">
        <v>995</v>
      </c>
      <c r="D2623" t="s">
        <v>6994</v>
      </c>
      <c r="E2623">
        <v>1.923037878579511</v>
      </c>
    </row>
    <row r="2624" spans="1:5">
      <c r="A2624" t="s">
        <v>4243</v>
      </c>
      <c r="B2624" t="s">
        <v>962</v>
      </c>
      <c r="C2624" t="s">
        <v>995</v>
      </c>
      <c r="D2624" t="s">
        <v>7064</v>
      </c>
      <c r="E2624">
        <v>2.379862467702766</v>
      </c>
    </row>
    <row r="2625" spans="1:5">
      <c r="A2625" t="s">
        <v>4244</v>
      </c>
      <c r="B2625" t="s">
        <v>962</v>
      </c>
      <c r="C2625" t="s">
        <v>995</v>
      </c>
      <c r="D2625" t="s">
        <v>7065</v>
      </c>
      <c r="E2625">
        <v>3.525614833285103</v>
      </c>
    </row>
    <row r="2626" spans="1:5">
      <c r="A2626" t="s">
        <v>4245</v>
      </c>
      <c r="B2626" t="s">
        <v>962</v>
      </c>
      <c r="C2626" t="s">
        <v>995</v>
      </c>
      <c r="D2626" t="s">
        <v>7066</v>
      </c>
      <c r="E2626">
        <v>0.07629662752431463</v>
      </c>
    </row>
    <row r="2627" spans="1:5">
      <c r="A2627" t="s">
        <v>4246</v>
      </c>
      <c r="B2627" t="s">
        <v>962</v>
      </c>
      <c r="C2627" t="s">
        <v>995</v>
      </c>
      <c r="D2627" t="s">
        <v>7067</v>
      </c>
      <c r="E2627">
        <v>216.1709849936192</v>
      </c>
    </row>
    <row r="2628" spans="1:5">
      <c r="A2628" t="s">
        <v>4247</v>
      </c>
      <c r="B2628" t="s">
        <v>962</v>
      </c>
      <c r="C2628" t="s">
        <v>995</v>
      </c>
      <c r="D2628" t="s">
        <v>7068</v>
      </c>
      <c r="E2628">
        <v>0.7240880118666315</v>
      </c>
    </row>
    <row r="2629" spans="1:5">
      <c r="A2629" t="s">
        <v>4248</v>
      </c>
      <c r="B2629" t="s">
        <v>962</v>
      </c>
      <c r="C2629" t="s">
        <v>995</v>
      </c>
      <c r="D2629" t="s">
        <v>6995</v>
      </c>
      <c r="E2629">
        <v>0.2025736789697335</v>
      </c>
    </row>
    <row r="2630" spans="1:5">
      <c r="A2630" t="s">
        <v>4249</v>
      </c>
      <c r="B2630" t="s">
        <v>962</v>
      </c>
      <c r="C2630" t="s">
        <v>995</v>
      </c>
      <c r="D2630" t="s">
        <v>7069</v>
      </c>
      <c r="E2630">
        <v>999.6659155261585</v>
      </c>
    </row>
    <row r="2631" spans="1:5">
      <c r="A2631" t="s">
        <v>4250</v>
      </c>
      <c r="B2631" t="s">
        <v>962</v>
      </c>
      <c r="C2631" t="s">
        <v>995</v>
      </c>
      <c r="D2631" t="s">
        <v>7070</v>
      </c>
      <c r="E2631">
        <v>370.451432760853</v>
      </c>
    </row>
    <row r="2632" spans="1:5">
      <c r="A2632" t="s">
        <v>4251</v>
      </c>
      <c r="B2632" t="s">
        <v>962</v>
      </c>
      <c r="C2632" t="s">
        <v>995</v>
      </c>
      <c r="D2632" t="s">
        <v>7071</v>
      </c>
      <c r="E2632">
        <v>0.6319091603331747</v>
      </c>
    </row>
    <row r="2633" spans="1:5">
      <c r="A2633" t="s">
        <v>4252</v>
      </c>
      <c r="B2633" t="s">
        <v>962</v>
      </c>
      <c r="C2633" t="s">
        <v>995</v>
      </c>
      <c r="D2633" t="s">
        <v>7072</v>
      </c>
      <c r="E2633">
        <v>0.01402557179920271</v>
      </c>
    </row>
    <row r="2634" spans="1:5">
      <c r="A2634" t="s">
        <v>4253</v>
      </c>
      <c r="B2634" t="s">
        <v>962</v>
      </c>
      <c r="C2634" t="s">
        <v>995</v>
      </c>
      <c r="D2634" t="s">
        <v>7073</v>
      </c>
      <c r="E2634">
        <v>0.003449266371922581</v>
      </c>
    </row>
    <row r="2635" spans="1:5">
      <c r="A2635" t="s">
        <v>4254</v>
      </c>
      <c r="B2635" t="s">
        <v>962</v>
      </c>
      <c r="C2635" t="s">
        <v>995</v>
      </c>
      <c r="D2635" t="s">
        <v>7074</v>
      </c>
      <c r="E2635">
        <v>0.9289063824934736</v>
      </c>
    </row>
    <row r="2636" spans="1:5">
      <c r="A2636" t="s">
        <v>4255</v>
      </c>
      <c r="B2636" t="s">
        <v>962</v>
      </c>
      <c r="C2636" t="s">
        <v>995</v>
      </c>
      <c r="D2636" t="s">
        <v>7075</v>
      </c>
      <c r="E2636">
        <v>1.686786648397198</v>
      </c>
    </row>
    <row r="2637" spans="1:5">
      <c r="A2637" t="s">
        <v>4256</v>
      </c>
      <c r="B2637" t="s">
        <v>962</v>
      </c>
      <c r="C2637" t="s">
        <v>995</v>
      </c>
      <c r="D2637" t="s">
        <v>7076</v>
      </c>
      <c r="E2637">
        <v>18.62934886905401</v>
      </c>
    </row>
    <row r="2638" spans="1:5">
      <c r="A2638" t="s">
        <v>4257</v>
      </c>
      <c r="B2638" t="s">
        <v>962</v>
      </c>
      <c r="C2638" t="s">
        <v>995</v>
      </c>
      <c r="D2638" t="s">
        <v>7077</v>
      </c>
      <c r="E2638">
        <v>48.41221876365819</v>
      </c>
    </row>
    <row r="2639" spans="1:5">
      <c r="A2639" t="s">
        <v>4258</v>
      </c>
      <c r="B2639" t="s">
        <v>962</v>
      </c>
      <c r="C2639" t="s">
        <v>995</v>
      </c>
      <c r="D2639" t="s">
        <v>7078</v>
      </c>
      <c r="E2639">
        <v>33.29791462232079</v>
      </c>
    </row>
    <row r="2640" spans="1:5">
      <c r="A2640" t="s">
        <v>4259</v>
      </c>
      <c r="B2640" t="s">
        <v>962</v>
      </c>
      <c r="C2640" t="s">
        <v>995</v>
      </c>
      <c r="D2640" t="s">
        <v>7079</v>
      </c>
      <c r="E2640">
        <v>17.74848356289045</v>
      </c>
    </row>
    <row r="2641" spans="1:5">
      <c r="A2641" t="s">
        <v>4260</v>
      </c>
      <c r="B2641" t="s">
        <v>962</v>
      </c>
      <c r="C2641" t="s">
        <v>995</v>
      </c>
      <c r="D2641" t="s">
        <v>7080</v>
      </c>
      <c r="E2641">
        <v>0.07372438984580269</v>
      </c>
    </row>
    <row r="2642" spans="1:5">
      <c r="A2642" t="s">
        <v>4261</v>
      </c>
      <c r="B2642" t="s">
        <v>962</v>
      </c>
      <c r="C2642" t="s">
        <v>995</v>
      </c>
      <c r="D2642" t="s">
        <v>7081</v>
      </c>
      <c r="E2642">
        <v>5.776797485782118</v>
      </c>
    </row>
    <row r="2643" spans="1:5">
      <c r="A2643" t="s">
        <v>4262</v>
      </c>
      <c r="B2643" t="s">
        <v>962</v>
      </c>
      <c r="C2643" t="s">
        <v>995</v>
      </c>
      <c r="D2643" t="s">
        <v>7082</v>
      </c>
      <c r="E2643">
        <v>0.1466748371289219</v>
      </c>
    </row>
    <row r="2644" spans="1:5">
      <c r="A2644" t="s">
        <v>4263</v>
      </c>
      <c r="B2644" t="s">
        <v>962</v>
      </c>
      <c r="C2644" t="s">
        <v>995</v>
      </c>
      <c r="D2644" t="s">
        <v>7083</v>
      </c>
      <c r="E2644">
        <v>0.08698083777334349</v>
      </c>
    </row>
    <row r="2645" spans="1:5">
      <c r="A2645" t="s">
        <v>4264</v>
      </c>
      <c r="B2645" t="s">
        <v>962</v>
      </c>
      <c r="C2645" t="s">
        <v>995</v>
      </c>
      <c r="D2645" t="s">
        <v>7084</v>
      </c>
      <c r="E2645">
        <v>38.23428047162932</v>
      </c>
    </row>
    <row r="2646" spans="1:5">
      <c r="A2646" t="s">
        <v>4265</v>
      </c>
      <c r="B2646" t="s">
        <v>962</v>
      </c>
      <c r="C2646" t="s">
        <v>995</v>
      </c>
      <c r="D2646" t="s">
        <v>7085</v>
      </c>
      <c r="E2646">
        <v>7.666807120506037</v>
      </c>
    </row>
    <row r="2647" spans="1:5">
      <c r="A2647" t="s">
        <v>4266</v>
      </c>
      <c r="B2647" t="s">
        <v>962</v>
      </c>
      <c r="C2647" t="s">
        <v>995</v>
      </c>
      <c r="D2647" t="s">
        <v>7086</v>
      </c>
      <c r="E2647">
        <v>6.46231621463663</v>
      </c>
    </row>
    <row r="2648" spans="1:5">
      <c r="A2648" t="s">
        <v>4267</v>
      </c>
      <c r="B2648" t="s">
        <v>962</v>
      </c>
      <c r="C2648" t="s">
        <v>995</v>
      </c>
      <c r="D2648" t="s">
        <v>7087</v>
      </c>
      <c r="E2648">
        <v>19.93615725517331</v>
      </c>
    </row>
    <row r="2649" spans="1:5">
      <c r="A2649" t="s">
        <v>4268</v>
      </c>
      <c r="B2649" t="s">
        <v>962</v>
      </c>
      <c r="C2649" t="s">
        <v>995</v>
      </c>
      <c r="D2649" t="s">
        <v>7088</v>
      </c>
      <c r="E2649">
        <v>0.1766827965552064</v>
      </c>
    </row>
    <row r="2650" spans="1:5">
      <c r="A2650" t="s">
        <v>4269</v>
      </c>
      <c r="B2650" t="s">
        <v>962</v>
      </c>
      <c r="C2650" t="s">
        <v>995</v>
      </c>
      <c r="D2650" t="s">
        <v>6996</v>
      </c>
      <c r="E2650">
        <v>17.71143504617116</v>
      </c>
    </row>
    <row r="2651" spans="1:5">
      <c r="A2651" t="s">
        <v>4270</v>
      </c>
      <c r="B2651" t="s">
        <v>962</v>
      </c>
      <c r="C2651" t="s">
        <v>995</v>
      </c>
      <c r="D2651" t="s">
        <v>6997</v>
      </c>
      <c r="E2651">
        <v>75.83949134897269</v>
      </c>
    </row>
    <row r="2652" spans="1:5">
      <c r="A2652" t="s">
        <v>4271</v>
      </c>
      <c r="B2652" t="s">
        <v>962</v>
      </c>
      <c r="C2652" t="s">
        <v>995</v>
      </c>
      <c r="D2652" t="s">
        <v>7089</v>
      </c>
      <c r="E2652">
        <v>4.831357618625411</v>
      </c>
    </row>
    <row r="2653" spans="1:5">
      <c r="A2653" t="s">
        <v>4272</v>
      </c>
      <c r="B2653" t="s">
        <v>962</v>
      </c>
      <c r="C2653" t="s">
        <v>995</v>
      </c>
      <c r="D2653" t="s">
        <v>7090</v>
      </c>
      <c r="E2653">
        <v>18.62934886905401</v>
      </c>
    </row>
    <row r="2654" spans="1:5">
      <c r="A2654" t="s">
        <v>4273</v>
      </c>
      <c r="B2654" t="s">
        <v>962</v>
      </c>
      <c r="C2654" t="s">
        <v>995</v>
      </c>
      <c r="D2654" t="s">
        <v>7091</v>
      </c>
      <c r="E2654">
        <v>0.2280159013135407</v>
      </c>
    </row>
    <row r="2655" spans="1:5">
      <c r="A2655" t="s">
        <v>4274</v>
      </c>
      <c r="B2655" t="s">
        <v>962</v>
      </c>
      <c r="C2655" t="s">
        <v>995</v>
      </c>
      <c r="D2655" t="s">
        <v>7092</v>
      </c>
      <c r="E2655">
        <v>8.375662141483602</v>
      </c>
    </row>
    <row r="2656" spans="1:5">
      <c r="A2656" t="s">
        <v>4275</v>
      </c>
      <c r="B2656" t="s">
        <v>962</v>
      </c>
      <c r="C2656" t="s">
        <v>995</v>
      </c>
      <c r="D2656" t="s">
        <v>6998</v>
      </c>
      <c r="E2656">
        <v>32.59166877019837</v>
      </c>
    </row>
    <row r="2657" spans="1:5">
      <c r="A2657" t="s">
        <v>4276</v>
      </c>
      <c r="B2657" t="s">
        <v>962</v>
      </c>
      <c r="C2657" t="s">
        <v>995</v>
      </c>
      <c r="D2657" t="s">
        <v>7093</v>
      </c>
      <c r="E2657">
        <v>2.023422670810719</v>
      </c>
    </row>
    <row r="2658" spans="1:5">
      <c r="A2658" t="s">
        <v>4277</v>
      </c>
      <c r="B2658" t="s">
        <v>962</v>
      </c>
      <c r="C2658" t="s">
        <v>995</v>
      </c>
      <c r="D2658" t="s">
        <v>6999</v>
      </c>
      <c r="E2658">
        <v>179.1496390634257</v>
      </c>
    </row>
    <row r="2659" spans="1:5">
      <c r="A2659" t="s">
        <v>4278</v>
      </c>
      <c r="B2659" t="s">
        <v>962</v>
      </c>
      <c r="C2659" t="s">
        <v>995</v>
      </c>
      <c r="D2659" t="s">
        <v>7094</v>
      </c>
      <c r="E2659">
        <v>802.8920553280398</v>
      </c>
    </row>
    <row r="2660" spans="1:5">
      <c r="A2660" t="s">
        <v>4279</v>
      </c>
      <c r="B2660" t="s">
        <v>962</v>
      </c>
      <c r="C2660" t="s">
        <v>995</v>
      </c>
      <c r="D2660" t="s">
        <v>7095</v>
      </c>
      <c r="E2660">
        <v>308.7092597711987</v>
      </c>
    </row>
    <row r="2661" spans="1:5">
      <c r="A2661" t="s">
        <v>4280</v>
      </c>
      <c r="B2661" t="s">
        <v>962</v>
      </c>
      <c r="C2661" t="s">
        <v>995</v>
      </c>
      <c r="D2661" t="s">
        <v>7096</v>
      </c>
      <c r="E2661">
        <v>90.53432664214655</v>
      </c>
    </row>
    <row r="2662" spans="1:5">
      <c r="A2662" t="s">
        <v>4281</v>
      </c>
      <c r="B2662" t="s">
        <v>962</v>
      </c>
      <c r="C2662" t="s">
        <v>995</v>
      </c>
      <c r="D2662" t="s">
        <v>7097</v>
      </c>
      <c r="E2662">
        <v>69.7428000418189</v>
      </c>
    </row>
    <row r="2663" spans="1:5">
      <c r="A2663" t="s">
        <v>4282</v>
      </c>
      <c r="B2663" t="s">
        <v>962</v>
      </c>
      <c r="C2663" t="s">
        <v>995</v>
      </c>
      <c r="D2663" t="s">
        <v>7000</v>
      </c>
      <c r="E2663">
        <v>5.02870988773319</v>
      </c>
    </row>
    <row r="2664" spans="1:5">
      <c r="A2664" t="s">
        <v>4283</v>
      </c>
      <c r="B2664" t="s">
        <v>962</v>
      </c>
      <c r="C2664" t="s">
        <v>995</v>
      </c>
      <c r="D2664" t="s">
        <v>7098</v>
      </c>
      <c r="E2664">
        <v>1.108754616603096</v>
      </c>
    </row>
    <row r="2665" spans="1:5">
      <c r="A2665" t="s">
        <v>4284</v>
      </c>
      <c r="B2665" t="s">
        <v>962</v>
      </c>
      <c r="C2665" t="s">
        <v>995</v>
      </c>
      <c r="D2665" t="s">
        <v>7001</v>
      </c>
      <c r="E2665">
        <v>83.80548442921229</v>
      </c>
    </row>
    <row r="2666" spans="1:5">
      <c r="A2666" t="s">
        <v>4285</v>
      </c>
      <c r="B2666" t="s">
        <v>962</v>
      </c>
      <c r="C2666" t="s">
        <v>995</v>
      </c>
      <c r="D2666" t="s">
        <v>7099</v>
      </c>
      <c r="E2666">
        <v>0.05023627886160618</v>
      </c>
    </row>
    <row r="2667" spans="1:5">
      <c r="A2667" t="s">
        <v>4286</v>
      </c>
      <c r="B2667" t="s">
        <v>962</v>
      </c>
      <c r="C2667" t="s">
        <v>995</v>
      </c>
      <c r="D2667" t="s">
        <v>7100</v>
      </c>
      <c r="E2667">
        <v>84.81026204600488</v>
      </c>
    </row>
    <row r="2668" spans="1:5">
      <c r="A2668" t="s">
        <v>4287</v>
      </c>
      <c r="B2668" t="s">
        <v>962</v>
      </c>
      <c r="C2668" t="s">
        <v>995</v>
      </c>
      <c r="D2668" t="s">
        <v>7002</v>
      </c>
      <c r="E2668">
        <v>68.01446750110549</v>
      </c>
    </row>
    <row r="2669" spans="1:5">
      <c r="A2669" t="s">
        <v>4288</v>
      </c>
      <c r="B2669" t="s">
        <v>962</v>
      </c>
      <c r="C2669" t="s">
        <v>995</v>
      </c>
      <c r="D2669" t="s">
        <v>7101</v>
      </c>
      <c r="E2669">
        <v>3.034612207585196</v>
      </c>
    </row>
    <row r="2670" spans="1:5">
      <c r="A2670" t="s">
        <v>4289</v>
      </c>
      <c r="B2670" t="s">
        <v>962</v>
      </c>
      <c r="C2670" t="s">
        <v>995</v>
      </c>
      <c r="D2670" t="s">
        <v>7102</v>
      </c>
      <c r="E2670">
        <v>4.273760948313697</v>
      </c>
    </row>
    <row r="2671" spans="1:5">
      <c r="A2671" t="s">
        <v>4290</v>
      </c>
      <c r="B2671" t="s">
        <v>962</v>
      </c>
      <c r="C2671" t="s">
        <v>995</v>
      </c>
      <c r="D2671" t="s">
        <v>7103</v>
      </c>
      <c r="E2671">
        <v>0.2100549403647804</v>
      </c>
    </row>
    <row r="2672" spans="1:5">
      <c r="A2672" t="s">
        <v>4291</v>
      </c>
      <c r="B2672" t="s">
        <v>962</v>
      </c>
      <c r="C2672" t="s">
        <v>995</v>
      </c>
      <c r="D2672" t="s">
        <v>7104</v>
      </c>
      <c r="E2672">
        <v>82.32249305270699</v>
      </c>
    </row>
    <row r="2673" spans="1:5">
      <c r="A2673" t="s">
        <v>4292</v>
      </c>
      <c r="B2673" t="s">
        <v>962</v>
      </c>
      <c r="C2673" t="s">
        <v>995</v>
      </c>
      <c r="D2673" t="s">
        <v>7105</v>
      </c>
      <c r="E2673">
        <v>38.43769503279788</v>
      </c>
    </row>
    <row r="2674" spans="1:5">
      <c r="A2674" t="s">
        <v>4293</v>
      </c>
      <c r="B2674" t="s">
        <v>962</v>
      </c>
      <c r="C2674" t="s">
        <v>995</v>
      </c>
      <c r="D2674" t="s">
        <v>7106</v>
      </c>
      <c r="E2674">
        <v>22.2343375220945</v>
      </c>
    </row>
    <row r="2675" spans="1:5">
      <c r="A2675" t="s">
        <v>4294</v>
      </c>
      <c r="B2675" t="s">
        <v>962</v>
      </c>
      <c r="C2675" t="s">
        <v>995</v>
      </c>
      <c r="D2675" t="s">
        <v>7107</v>
      </c>
      <c r="E2675">
        <v>0.6896813567253217</v>
      </c>
    </row>
    <row r="2676" spans="1:5">
      <c r="A2676" t="s">
        <v>4295</v>
      </c>
      <c r="B2676" t="s">
        <v>962</v>
      </c>
      <c r="C2676" t="s">
        <v>995</v>
      </c>
      <c r="D2676" t="s">
        <v>7003</v>
      </c>
      <c r="E2676">
        <v>32.46126573147527</v>
      </c>
    </row>
    <row r="2677" spans="1:5">
      <c r="A2677" t="s">
        <v>4296</v>
      </c>
      <c r="B2677" t="s">
        <v>962</v>
      </c>
      <c r="C2677" t="s">
        <v>995</v>
      </c>
      <c r="D2677" t="s">
        <v>7004</v>
      </c>
      <c r="E2677">
        <v>239.7015808162268</v>
      </c>
    </row>
    <row r="2678" spans="1:5">
      <c r="A2678" t="s">
        <v>4297</v>
      </c>
      <c r="B2678" t="s">
        <v>962</v>
      </c>
      <c r="C2678" t="s">
        <v>995</v>
      </c>
      <c r="D2678" t="s">
        <v>7108</v>
      </c>
      <c r="E2678">
        <v>412.8216731756499</v>
      </c>
    </row>
    <row r="2679" spans="1:5">
      <c r="A2679" t="s">
        <v>4298</v>
      </c>
      <c r="B2679" t="s">
        <v>962</v>
      </c>
      <c r="C2679" t="s">
        <v>995</v>
      </c>
      <c r="D2679" t="s">
        <v>7109</v>
      </c>
      <c r="E2679">
        <v>12.56843473239167</v>
      </c>
    </row>
    <row r="2680" spans="1:5">
      <c r="A2680" t="s">
        <v>4299</v>
      </c>
      <c r="B2680" t="s">
        <v>962</v>
      </c>
      <c r="C2680" t="s">
        <v>995</v>
      </c>
      <c r="D2680" t="s">
        <v>7110</v>
      </c>
      <c r="E2680">
        <v>0.01256838818649126</v>
      </c>
    </row>
    <row r="2681" spans="1:5">
      <c r="A2681" t="s">
        <v>4300</v>
      </c>
      <c r="B2681" t="s">
        <v>962</v>
      </c>
      <c r="C2681" t="s">
        <v>995</v>
      </c>
      <c r="D2681" t="s">
        <v>7111</v>
      </c>
      <c r="E2681">
        <v>0.5400998102551722</v>
      </c>
    </row>
    <row r="2682" spans="1:5">
      <c r="A2682" t="s">
        <v>4301</v>
      </c>
      <c r="B2682" t="s">
        <v>962</v>
      </c>
      <c r="C2682" t="s">
        <v>995</v>
      </c>
      <c r="D2682" t="s">
        <v>7112</v>
      </c>
      <c r="E2682">
        <v>8.194860187606627</v>
      </c>
    </row>
    <row r="2683" spans="1:5">
      <c r="A2683" t="s">
        <v>4302</v>
      </c>
      <c r="B2683" t="s">
        <v>962</v>
      </c>
      <c r="C2683" t="s">
        <v>995</v>
      </c>
      <c r="D2683" t="s">
        <v>7113</v>
      </c>
      <c r="E2683">
        <v>0.06538566993702752</v>
      </c>
    </row>
    <row r="2684" spans="1:5">
      <c r="A2684" t="s">
        <v>4303</v>
      </c>
      <c r="B2684" t="s">
        <v>962</v>
      </c>
      <c r="C2684" t="s">
        <v>995</v>
      </c>
      <c r="D2684" t="s">
        <v>7114</v>
      </c>
      <c r="E2684">
        <v>14.53991632653061</v>
      </c>
    </row>
    <row r="2685" spans="1:5">
      <c r="A2685" t="s">
        <v>4304</v>
      </c>
      <c r="B2685" t="s">
        <v>962</v>
      </c>
      <c r="C2685" t="s">
        <v>995</v>
      </c>
      <c r="D2685" t="s">
        <v>7115</v>
      </c>
      <c r="E2685">
        <v>2.74458539333156</v>
      </c>
    </row>
    <row r="2686" spans="1:5">
      <c r="A2686" t="s">
        <v>4305</v>
      </c>
      <c r="B2686" t="s">
        <v>962</v>
      </c>
      <c r="C2686" t="s">
        <v>995</v>
      </c>
      <c r="D2686" t="s">
        <v>7116</v>
      </c>
      <c r="E2686">
        <v>18.62934886905401</v>
      </c>
    </row>
    <row r="2687" spans="1:5">
      <c r="A2687" t="s">
        <v>4306</v>
      </c>
      <c r="B2687" t="s">
        <v>962</v>
      </c>
      <c r="C2687" t="s">
        <v>995</v>
      </c>
      <c r="D2687" t="s">
        <v>7005</v>
      </c>
      <c r="E2687">
        <v>9.367144916295535</v>
      </c>
    </row>
    <row r="2688" spans="1:5">
      <c r="A2688" t="s">
        <v>4307</v>
      </c>
      <c r="B2688" t="s">
        <v>962</v>
      </c>
      <c r="C2688" t="s">
        <v>995</v>
      </c>
      <c r="D2688" t="s">
        <v>7117</v>
      </c>
      <c r="E2688">
        <v>33.02465919686845</v>
      </c>
    </row>
    <row r="2689" spans="1:5">
      <c r="A2689" t="s">
        <v>4308</v>
      </c>
      <c r="B2689" t="s">
        <v>962</v>
      </c>
      <c r="C2689" t="s">
        <v>995</v>
      </c>
      <c r="D2689" t="s">
        <v>7118</v>
      </c>
      <c r="E2689">
        <v>88.09459806345578</v>
      </c>
    </row>
    <row r="2690" spans="1:5">
      <c r="A2690" t="s">
        <v>4309</v>
      </c>
      <c r="B2690" t="s">
        <v>962</v>
      </c>
      <c r="C2690" t="s">
        <v>995</v>
      </c>
      <c r="D2690" t="s">
        <v>7119</v>
      </c>
      <c r="E2690">
        <v>105.4412690557117</v>
      </c>
    </row>
    <row r="2691" spans="1:5">
      <c r="A2691" t="s">
        <v>4310</v>
      </c>
      <c r="B2691" t="s">
        <v>962</v>
      </c>
      <c r="C2691" t="s">
        <v>995</v>
      </c>
      <c r="D2691" t="s">
        <v>7120</v>
      </c>
      <c r="E2691">
        <v>129.3246385492962</v>
      </c>
    </row>
    <row r="2692" spans="1:5">
      <c r="A2692" t="s">
        <v>4311</v>
      </c>
      <c r="B2692" t="s">
        <v>962</v>
      </c>
      <c r="C2692" t="s">
        <v>995</v>
      </c>
      <c r="D2692" t="s">
        <v>7006</v>
      </c>
      <c r="E2692">
        <v>6.685535526150808</v>
      </c>
    </row>
    <row r="2693" spans="1:5">
      <c r="A2693" t="s">
        <v>4312</v>
      </c>
      <c r="B2693" t="s">
        <v>962</v>
      </c>
      <c r="C2693" t="s">
        <v>995</v>
      </c>
      <c r="D2693" t="s">
        <v>7121</v>
      </c>
      <c r="E2693">
        <v>41.68244749675705</v>
      </c>
    </row>
    <row r="2694" spans="1:5">
      <c r="A2694" t="s">
        <v>4313</v>
      </c>
      <c r="B2694" t="s">
        <v>962</v>
      </c>
      <c r="C2694" t="s">
        <v>995</v>
      </c>
      <c r="D2694" t="s">
        <v>7122</v>
      </c>
      <c r="E2694">
        <v>216.1709849936192</v>
      </c>
    </row>
    <row r="2695" spans="1:5">
      <c r="A2695" t="s">
        <v>4314</v>
      </c>
      <c r="B2695" t="s">
        <v>962</v>
      </c>
      <c r="C2695" t="s">
        <v>995</v>
      </c>
      <c r="D2695" t="s">
        <v>7123</v>
      </c>
      <c r="E2695">
        <v>9.748399911477682</v>
      </c>
    </row>
    <row r="2696" spans="1:5">
      <c r="A2696" t="s">
        <v>4315</v>
      </c>
      <c r="B2696" t="s">
        <v>962</v>
      </c>
      <c r="C2696" t="s">
        <v>995</v>
      </c>
      <c r="D2696" t="s">
        <v>7124</v>
      </c>
      <c r="E2696">
        <v>0.1186620547719529</v>
      </c>
    </row>
    <row r="2697" spans="1:5">
      <c r="A2697" t="s">
        <v>4316</v>
      </c>
      <c r="B2697" t="s">
        <v>962</v>
      </c>
      <c r="C2697" t="s">
        <v>995</v>
      </c>
      <c r="D2697" t="s">
        <v>7125</v>
      </c>
      <c r="E2697">
        <v>6.853977669561068</v>
      </c>
    </row>
    <row r="2698" spans="1:5">
      <c r="A2698" t="s">
        <v>4317</v>
      </c>
      <c r="B2698" t="s">
        <v>962</v>
      </c>
      <c r="C2698" t="s">
        <v>995</v>
      </c>
      <c r="D2698" t="s">
        <v>7126</v>
      </c>
      <c r="E2698">
        <v>0.08263511271859134</v>
      </c>
    </row>
    <row r="2699" spans="1:5">
      <c r="A2699" t="s">
        <v>4318</v>
      </c>
      <c r="B2699" t="s">
        <v>962</v>
      </c>
      <c r="C2699" t="s">
        <v>995</v>
      </c>
      <c r="D2699" t="s">
        <v>998</v>
      </c>
      <c r="E2699">
        <v>308.7089922421503</v>
      </c>
    </row>
    <row r="2700" spans="1:5">
      <c r="A2700" t="s">
        <v>4319</v>
      </c>
      <c r="B2700" t="s">
        <v>962</v>
      </c>
      <c r="C2700" t="s">
        <v>995</v>
      </c>
      <c r="D2700" t="s">
        <v>7127</v>
      </c>
      <c r="E2700">
        <v>7.613180540254045</v>
      </c>
    </row>
    <row r="2701" spans="1:5">
      <c r="A2701" t="s">
        <v>4320</v>
      </c>
      <c r="B2701" t="s">
        <v>962</v>
      </c>
      <c r="C2701" t="s">
        <v>995</v>
      </c>
      <c r="D2701" t="s">
        <v>7128</v>
      </c>
      <c r="E2701">
        <v>0.02545495258750025</v>
      </c>
    </row>
    <row r="2702" spans="1:5">
      <c r="A2702" t="s">
        <v>4321</v>
      </c>
      <c r="B2702" t="s">
        <v>962</v>
      </c>
      <c r="C2702" t="s">
        <v>995</v>
      </c>
      <c r="D2702" t="s">
        <v>7129</v>
      </c>
      <c r="E2702">
        <v>0.5337773127063818</v>
      </c>
    </row>
    <row r="2703" spans="1:5">
      <c r="A2703" t="s">
        <v>4322</v>
      </c>
      <c r="B2703" t="s">
        <v>962</v>
      </c>
      <c r="C2703" t="s">
        <v>995</v>
      </c>
      <c r="D2703" t="s">
        <v>7130</v>
      </c>
      <c r="E2703">
        <v>0.01176766736861631</v>
      </c>
    </row>
    <row r="2704" spans="1:5">
      <c r="A2704" t="s">
        <v>4323</v>
      </c>
      <c r="B2704" t="s">
        <v>962</v>
      </c>
      <c r="C2704" t="s">
        <v>995</v>
      </c>
      <c r="D2704" t="s">
        <v>7131</v>
      </c>
      <c r="E2704">
        <v>2.589199839682812</v>
      </c>
    </row>
    <row r="2705" spans="1:5">
      <c r="A2705" t="s">
        <v>4324</v>
      </c>
      <c r="B2705" t="s">
        <v>962</v>
      </c>
      <c r="C2705" t="s">
        <v>995</v>
      </c>
      <c r="D2705" t="s">
        <v>7132</v>
      </c>
      <c r="E2705">
        <v>113.7023027218745</v>
      </c>
    </row>
    <row r="2706" spans="1:5">
      <c r="A2706" t="s">
        <v>4325</v>
      </c>
      <c r="B2706" t="s">
        <v>962</v>
      </c>
      <c r="C2706" t="s">
        <v>995</v>
      </c>
      <c r="D2706" t="s">
        <v>7133</v>
      </c>
      <c r="E2706">
        <v>0.5430660088999737</v>
      </c>
    </row>
    <row r="2707" spans="1:5">
      <c r="A2707" t="s">
        <v>4326</v>
      </c>
      <c r="B2707" t="s">
        <v>962</v>
      </c>
      <c r="C2707" t="s">
        <v>995</v>
      </c>
      <c r="D2707" t="s">
        <v>7134</v>
      </c>
      <c r="E2707">
        <v>114.3367959065375</v>
      </c>
    </row>
    <row r="2708" spans="1:5">
      <c r="A2708" t="s">
        <v>4327</v>
      </c>
      <c r="B2708" t="s">
        <v>962</v>
      </c>
      <c r="C2708" t="s">
        <v>995</v>
      </c>
      <c r="D2708" t="s">
        <v>7135</v>
      </c>
      <c r="E2708">
        <v>172.4633011688531</v>
      </c>
    </row>
    <row r="2709" spans="1:5">
      <c r="A2709" t="s">
        <v>4328</v>
      </c>
      <c r="B2709" t="s">
        <v>962</v>
      </c>
      <c r="C2709" t="s">
        <v>995</v>
      </c>
      <c r="D2709" t="s">
        <v>7136</v>
      </c>
      <c r="E2709">
        <v>420.5006303473285</v>
      </c>
    </row>
    <row r="2710" spans="1:5">
      <c r="A2710" t="s">
        <v>4329</v>
      </c>
      <c r="B2710" t="s">
        <v>962</v>
      </c>
      <c r="C2710" t="s">
        <v>995</v>
      </c>
      <c r="D2710" t="s">
        <v>7137</v>
      </c>
      <c r="E2710">
        <v>0.5430660088999737</v>
      </c>
    </row>
    <row r="2711" spans="1:5">
      <c r="A2711" t="s">
        <v>4330</v>
      </c>
      <c r="B2711" t="s">
        <v>962</v>
      </c>
      <c r="C2711" t="s">
        <v>995</v>
      </c>
      <c r="D2711" t="s">
        <v>7138</v>
      </c>
      <c r="E2711">
        <v>2.985183773003051</v>
      </c>
    </row>
    <row r="2712" spans="1:5">
      <c r="A2712" t="s">
        <v>4331</v>
      </c>
      <c r="B2712" t="s">
        <v>962</v>
      </c>
      <c r="C2712" t="s">
        <v>995</v>
      </c>
      <c r="D2712" t="s">
        <v>7139</v>
      </c>
      <c r="E2712">
        <v>1.291754627608039</v>
      </c>
    </row>
    <row r="2713" spans="1:5">
      <c r="A2713" t="s">
        <v>4332</v>
      </c>
      <c r="B2713" t="s">
        <v>962</v>
      </c>
      <c r="C2713" t="s">
        <v>995</v>
      </c>
      <c r="D2713" t="s">
        <v>7007</v>
      </c>
      <c r="E2713">
        <v>18.62932840997038</v>
      </c>
    </row>
    <row r="2714" spans="1:5">
      <c r="A2714" t="s">
        <v>4333</v>
      </c>
      <c r="B2714" t="s">
        <v>962</v>
      </c>
      <c r="C2714" t="s">
        <v>995</v>
      </c>
      <c r="D2714" t="s">
        <v>7140</v>
      </c>
      <c r="E2714">
        <v>17.43385174988957</v>
      </c>
    </row>
    <row r="2715" spans="1:5">
      <c r="A2715" t="s">
        <v>4334</v>
      </c>
      <c r="B2715" t="s">
        <v>962</v>
      </c>
      <c r="C2715" t="s">
        <v>995</v>
      </c>
      <c r="D2715" t="s">
        <v>7141</v>
      </c>
      <c r="E2715">
        <v>11.51965172118292</v>
      </c>
    </row>
    <row r="2716" spans="1:5">
      <c r="A2716" t="s">
        <v>4335</v>
      </c>
      <c r="B2716" t="s">
        <v>962</v>
      </c>
      <c r="C2716" t="s">
        <v>995</v>
      </c>
      <c r="D2716" t="s">
        <v>7142</v>
      </c>
      <c r="E2716">
        <v>11.51965172118292</v>
      </c>
    </row>
    <row r="2717" spans="1:5">
      <c r="A2717" t="s">
        <v>4171</v>
      </c>
      <c r="B2717" t="s">
        <v>962</v>
      </c>
      <c r="C2717" t="s">
        <v>995</v>
      </c>
      <c r="D2717" t="s">
        <v>996</v>
      </c>
      <c r="E2717">
        <v>356.22795</v>
      </c>
    </row>
    <row r="2718" spans="1:5">
      <c r="A2718" t="s">
        <v>4336</v>
      </c>
      <c r="B2718" t="s">
        <v>963</v>
      </c>
      <c r="C2718" t="s">
        <v>995</v>
      </c>
      <c r="D2718" t="s">
        <v>996</v>
      </c>
      <c r="E2718">
        <v>352.376863</v>
      </c>
    </row>
    <row r="2719" spans="1:5">
      <c r="A2719" t="s">
        <v>4337</v>
      </c>
      <c r="B2719" t="s">
        <v>963</v>
      </c>
      <c r="C2719" t="s">
        <v>995</v>
      </c>
      <c r="D2719" t="s">
        <v>7008</v>
      </c>
      <c r="E2719">
        <v>83.64842731105823</v>
      </c>
    </row>
    <row r="2720" spans="1:5">
      <c r="A2720" t="s">
        <v>4338</v>
      </c>
      <c r="B2720" t="s">
        <v>963</v>
      </c>
      <c r="C2720" t="s">
        <v>995</v>
      </c>
      <c r="D2720" t="s">
        <v>7009</v>
      </c>
      <c r="E2720">
        <v>4.824163018131022</v>
      </c>
    </row>
    <row r="2721" spans="1:5">
      <c r="A2721" t="s">
        <v>4339</v>
      </c>
      <c r="B2721" t="s">
        <v>963</v>
      </c>
      <c r="C2721" t="s">
        <v>995</v>
      </c>
      <c r="D2721" t="s">
        <v>7010</v>
      </c>
      <c r="E2721">
        <v>3.71835419522578</v>
      </c>
    </row>
    <row r="2722" spans="1:5">
      <c r="A2722" t="s">
        <v>4340</v>
      </c>
      <c r="B2722" t="s">
        <v>963</v>
      </c>
      <c r="C2722" t="s">
        <v>995</v>
      </c>
      <c r="D2722" t="s">
        <v>7011</v>
      </c>
      <c r="E2722">
        <v>0.8335793105731968</v>
      </c>
    </row>
    <row r="2723" spans="1:5">
      <c r="A2723" t="s">
        <v>4341</v>
      </c>
      <c r="B2723" t="s">
        <v>963</v>
      </c>
      <c r="C2723" t="s">
        <v>995</v>
      </c>
      <c r="D2723" t="s">
        <v>7012</v>
      </c>
      <c r="E2723">
        <v>171.6194915852711</v>
      </c>
    </row>
    <row r="2724" spans="1:5">
      <c r="A2724" t="s">
        <v>4342</v>
      </c>
      <c r="B2724" t="s">
        <v>963</v>
      </c>
      <c r="C2724" t="s">
        <v>995</v>
      </c>
      <c r="D2724" t="s">
        <v>7013</v>
      </c>
      <c r="E2724">
        <v>0.3249283322310771</v>
      </c>
    </row>
    <row r="2725" spans="1:5">
      <c r="A2725" t="s">
        <v>4343</v>
      </c>
      <c r="B2725" t="s">
        <v>963</v>
      </c>
      <c r="C2725" t="s">
        <v>995</v>
      </c>
      <c r="D2725" t="s">
        <v>7014</v>
      </c>
      <c r="E2725">
        <v>0.2119226921701445</v>
      </c>
    </row>
    <row r="2726" spans="1:5">
      <c r="A2726" t="s">
        <v>4344</v>
      </c>
      <c r="B2726" t="s">
        <v>963</v>
      </c>
      <c r="C2726" t="s">
        <v>995</v>
      </c>
      <c r="D2726" t="s">
        <v>6981</v>
      </c>
      <c r="E2726">
        <v>215.5133720027057</v>
      </c>
    </row>
    <row r="2727" spans="1:5">
      <c r="A2727" t="s">
        <v>4345</v>
      </c>
      <c r="B2727" t="s">
        <v>963</v>
      </c>
      <c r="C2727" t="s">
        <v>995</v>
      </c>
      <c r="D2727" t="s">
        <v>7015</v>
      </c>
      <c r="E2727">
        <v>171.6194915852711</v>
      </c>
    </row>
    <row r="2728" spans="1:5">
      <c r="A2728" t="s">
        <v>4346</v>
      </c>
      <c r="B2728" t="s">
        <v>963</v>
      </c>
      <c r="C2728" t="s">
        <v>995</v>
      </c>
      <c r="D2728" t="s">
        <v>7016</v>
      </c>
      <c r="E2728">
        <v>180.4286860508818</v>
      </c>
    </row>
    <row r="2729" spans="1:5">
      <c r="A2729" t="s">
        <v>4347</v>
      </c>
      <c r="B2729" t="s">
        <v>963</v>
      </c>
      <c r="C2729" t="s">
        <v>995</v>
      </c>
      <c r="D2729" t="s">
        <v>7017</v>
      </c>
      <c r="E2729">
        <v>180.1674291732922</v>
      </c>
    </row>
    <row r="2730" spans="1:5">
      <c r="A2730" t="s">
        <v>4348</v>
      </c>
      <c r="B2730" t="s">
        <v>963</v>
      </c>
      <c r="C2730" t="s">
        <v>995</v>
      </c>
      <c r="D2730" t="s">
        <v>7018</v>
      </c>
      <c r="E2730">
        <v>153.5994109311203</v>
      </c>
    </row>
    <row r="2731" spans="1:5">
      <c r="A2731" t="s">
        <v>4349</v>
      </c>
      <c r="B2731" t="s">
        <v>963</v>
      </c>
      <c r="C2731" t="s">
        <v>995</v>
      </c>
      <c r="D2731" t="s">
        <v>7019</v>
      </c>
      <c r="E2731">
        <v>2.501611906307716</v>
      </c>
    </row>
    <row r="2732" spans="1:5">
      <c r="A2732" t="s">
        <v>4350</v>
      </c>
      <c r="B2732" t="s">
        <v>963</v>
      </c>
      <c r="C2732" t="s">
        <v>995</v>
      </c>
      <c r="D2732" t="s">
        <v>997</v>
      </c>
      <c r="E2732">
        <v>180.1674291732922</v>
      </c>
    </row>
    <row r="2733" spans="1:5">
      <c r="A2733" t="s">
        <v>4351</v>
      </c>
      <c r="B2733" t="s">
        <v>963</v>
      </c>
      <c r="C2733" t="s">
        <v>995</v>
      </c>
      <c r="D2733" t="s">
        <v>7020</v>
      </c>
      <c r="E2733">
        <v>817.018620622496</v>
      </c>
    </row>
    <row r="2734" spans="1:5">
      <c r="A2734" t="s">
        <v>4352</v>
      </c>
      <c r="B2734" t="s">
        <v>963</v>
      </c>
      <c r="C2734" t="s">
        <v>995</v>
      </c>
      <c r="D2734" t="s">
        <v>7021</v>
      </c>
      <c r="E2734">
        <v>0.1023503507460372</v>
      </c>
    </row>
    <row r="2735" spans="1:5">
      <c r="A2735" t="s">
        <v>4353</v>
      </c>
      <c r="B2735" t="s">
        <v>963</v>
      </c>
      <c r="C2735" t="s">
        <v>995</v>
      </c>
      <c r="D2735" t="s">
        <v>7022</v>
      </c>
      <c r="E2735">
        <v>307.198955768815</v>
      </c>
    </row>
    <row r="2736" spans="1:5">
      <c r="A2736" t="s">
        <v>4354</v>
      </c>
      <c r="B2736" t="s">
        <v>963</v>
      </c>
      <c r="C2736" t="s">
        <v>995</v>
      </c>
      <c r="D2736" t="s">
        <v>7023</v>
      </c>
      <c r="E2736">
        <v>238.1384936548549</v>
      </c>
    </row>
    <row r="2737" spans="1:5">
      <c r="A2737" t="s">
        <v>4355</v>
      </c>
      <c r="B2737" t="s">
        <v>963</v>
      </c>
      <c r="C2737" t="s">
        <v>995</v>
      </c>
      <c r="D2737" t="s">
        <v>7024</v>
      </c>
      <c r="E2737">
        <v>44.25343953684052</v>
      </c>
    </row>
    <row r="2738" spans="1:5">
      <c r="A2738" t="s">
        <v>4356</v>
      </c>
      <c r="B2738" t="s">
        <v>963</v>
      </c>
      <c r="C2738" t="s">
        <v>995</v>
      </c>
      <c r="D2738" t="s">
        <v>6982</v>
      </c>
      <c r="E2738">
        <v>59.65741848245197</v>
      </c>
    </row>
    <row r="2739" spans="1:5">
      <c r="A2739" t="s">
        <v>4357</v>
      </c>
      <c r="B2739" t="s">
        <v>963</v>
      </c>
      <c r="C2739" t="s">
        <v>995</v>
      </c>
      <c r="D2739" t="s">
        <v>7025</v>
      </c>
      <c r="E2739">
        <v>307.198955768815</v>
      </c>
    </row>
    <row r="2740" spans="1:5">
      <c r="A2740" t="s">
        <v>4358</v>
      </c>
      <c r="B2740" t="s">
        <v>963</v>
      </c>
      <c r="C2740" t="s">
        <v>995</v>
      </c>
      <c r="D2740" t="s">
        <v>7026</v>
      </c>
      <c r="E2740">
        <v>3.258717064832854</v>
      </c>
    </row>
    <row r="2741" spans="1:5">
      <c r="A2741" t="s">
        <v>4359</v>
      </c>
      <c r="B2741" t="s">
        <v>963</v>
      </c>
      <c r="C2741" t="s">
        <v>995</v>
      </c>
      <c r="D2741" t="s">
        <v>7027</v>
      </c>
      <c r="E2741">
        <v>21.78143423719858</v>
      </c>
    </row>
    <row r="2742" spans="1:5">
      <c r="A2742" t="s">
        <v>4360</v>
      </c>
      <c r="B2742" t="s">
        <v>963</v>
      </c>
      <c r="C2742" t="s">
        <v>995</v>
      </c>
      <c r="D2742" t="s">
        <v>7028</v>
      </c>
      <c r="E2742">
        <v>111.214483513043</v>
      </c>
    </row>
    <row r="2743" spans="1:5">
      <c r="A2743" t="s">
        <v>4361</v>
      </c>
      <c r="B2743" t="s">
        <v>963</v>
      </c>
      <c r="C2743" t="s">
        <v>995</v>
      </c>
      <c r="D2743" t="s">
        <v>7029</v>
      </c>
      <c r="E2743">
        <v>153.5994109311203</v>
      </c>
    </row>
    <row r="2744" spans="1:5">
      <c r="A2744" t="s">
        <v>4362</v>
      </c>
      <c r="B2744" t="s">
        <v>963</v>
      </c>
      <c r="C2744" t="s">
        <v>995</v>
      </c>
      <c r="D2744" t="s">
        <v>6983</v>
      </c>
      <c r="E2744">
        <v>217.5238328931952</v>
      </c>
    </row>
    <row r="2745" spans="1:5">
      <c r="A2745" t="s">
        <v>4363</v>
      </c>
      <c r="B2745" t="s">
        <v>963</v>
      </c>
      <c r="C2745" t="s">
        <v>995</v>
      </c>
      <c r="D2745" t="s">
        <v>7030</v>
      </c>
      <c r="E2745">
        <v>0.131362849464465</v>
      </c>
    </row>
    <row r="2746" spans="1:5">
      <c r="A2746" t="s">
        <v>4364</v>
      </c>
      <c r="B2746" t="s">
        <v>963</v>
      </c>
      <c r="C2746" t="s">
        <v>995</v>
      </c>
      <c r="D2746" t="s">
        <v>6984</v>
      </c>
      <c r="E2746">
        <v>382.162202934513</v>
      </c>
    </row>
    <row r="2747" spans="1:5">
      <c r="A2747" t="s">
        <v>4365</v>
      </c>
      <c r="B2747" t="s">
        <v>963</v>
      </c>
      <c r="C2747" t="s">
        <v>995</v>
      </c>
      <c r="D2747" t="s">
        <v>7031</v>
      </c>
      <c r="E2747">
        <v>13618.95582437969</v>
      </c>
    </row>
    <row r="2748" spans="1:5">
      <c r="A2748" t="s">
        <v>4366</v>
      </c>
      <c r="B2748" t="s">
        <v>963</v>
      </c>
      <c r="C2748" t="s">
        <v>995</v>
      </c>
      <c r="D2748" t="s">
        <v>7032</v>
      </c>
      <c r="E2748">
        <v>0.3445576697088452</v>
      </c>
    </row>
    <row r="2749" spans="1:5">
      <c r="A2749" t="s">
        <v>4367</v>
      </c>
      <c r="B2749" t="s">
        <v>963</v>
      </c>
      <c r="C2749" t="s">
        <v>995</v>
      </c>
      <c r="D2749" t="s">
        <v>7033</v>
      </c>
      <c r="E2749">
        <v>45.3634473797735</v>
      </c>
    </row>
    <row r="2750" spans="1:5">
      <c r="A2750" t="s">
        <v>4368</v>
      </c>
      <c r="B2750" t="s">
        <v>963</v>
      </c>
      <c r="C2750" t="s">
        <v>995</v>
      </c>
      <c r="D2750" t="s">
        <v>6985</v>
      </c>
      <c r="E2750">
        <v>45.31153183479133</v>
      </c>
    </row>
    <row r="2751" spans="1:5">
      <c r="A2751" t="s">
        <v>4369</v>
      </c>
      <c r="B2751" t="s">
        <v>963</v>
      </c>
      <c r="C2751" t="s">
        <v>995</v>
      </c>
      <c r="D2751" t="s">
        <v>7034</v>
      </c>
      <c r="E2751">
        <v>0.08871372475950526</v>
      </c>
    </row>
    <row r="2752" spans="1:5">
      <c r="A2752" t="s">
        <v>4370</v>
      </c>
      <c r="B2752" t="s">
        <v>963</v>
      </c>
      <c r="C2752" t="s">
        <v>995</v>
      </c>
      <c r="D2752" t="s">
        <v>7035</v>
      </c>
      <c r="E2752">
        <v>0.6748182706051599</v>
      </c>
    </row>
    <row r="2753" spans="1:5">
      <c r="A2753" t="s">
        <v>4371</v>
      </c>
      <c r="B2753" t="s">
        <v>963</v>
      </c>
      <c r="C2753" t="s">
        <v>995</v>
      </c>
      <c r="D2753" t="s">
        <v>7036</v>
      </c>
      <c r="E2753">
        <v>12.79995323569302</v>
      </c>
    </row>
    <row r="2754" spans="1:5">
      <c r="A2754" t="s">
        <v>4372</v>
      </c>
      <c r="B2754" t="s">
        <v>963</v>
      </c>
      <c r="C2754" t="s">
        <v>995</v>
      </c>
      <c r="D2754" t="s">
        <v>7037</v>
      </c>
      <c r="E2754">
        <v>3.195727229855349</v>
      </c>
    </row>
    <row r="2755" spans="1:5">
      <c r="A2755" t="s">
        <v>4373</v>
      </c>
      <c r="B2755" t="s">
        <v>963</v>
      </c>
      <c r="C2755" t="s">
        <v>995</v>
      </c>
      <c r="D2755" t="s">
        <v>6986</v>
      </c>
      <c r="E2755">
        <v>14.56437419359052</v>
      </c>
    </row>
    <row r="2756" spans="1:5">
      <c r="A2756" t="s">
        <v>4374</v>
      </c>
      <c r="B2756" t="s">
        <v>963</v>
      </c>
      <c r="C2756" t="s">
        <v>995</v>
      </c>
      <c r="D2756" t="s">
        <v>7038</v>
      </c>
      <c r="E2756">
        <v>1.728545723980656</v>
      </c>
    </row>
    <row r="2757" spans="1:5">
      <c r="A2757" t="s">
        <v>4375</v>
      </c>
      <c r="B2757" t="s">
        <v>963</v>
      </c>
      <c r="C2757" t="s">
        <v>995</v>
      </c>
      <c r="D2757" t="s">
        <v>6987</v>
      </c>
      <c r="E2757">
        <v>47.21274610790831</v>
      </c>
    </row>
    <row r="2758" spans="1:5">
      <c r="A2758" t="s">
        <v>4376</v>
      </c>
      <c r="B2758" t="s">
        <v>963</v>
      </c>
      <c r="C2758" t="s">
        <v>995</v>
      </c>
      <c r="D2758" t="s">
        <v>7039</v>
      </c>
      <c r="E2758">
        <v>5.232124051769298</v>
      </c>
    </row>
    <row r="2759" spans="1:5">
      <c r="A2759" t="s">
        <v>4377</v>
      </c>
      <c r="B2759" t="s">
        <v>963</v>
      </c>
      <c r="C2759" t="s">
        <v>995</v>
      </c>
      <c r="D2759" t="s">
        <v>7040</v>
      </c>
      <c r="E2759">
        <v>2.29513913302487</v>
      </c>
    </row>
    <row r="2760" spans="1:5">
      <c r="A2760" t="s">
        <v>4378</v>
      </c>
      <c r="B2760" t="s">
        <v>963</v>
      </c>
      <c r="C2760" t="s">
        <v>995</v>
      </c>
      <c r="D2760" t="s">
        <v>7041</v>
      </c>
      <c r="E2760">
        <v>6.15120227242147</v>
      </c>
    </row>
    <row r="2761" spans="1:5">
      <c r="A2761" t="s">
        <v>4379</v>
      </c>
      <c r="B2761" t="s">
        <v>963</v>
      </c>
      <c r="C2761" t="s">
        <v>995</v>
      </c>
      <c r="D2761" t="s">
        <v>7042</v>
      </c>
      <c r="E2761">
        <v>20.47992443318349</v>
      </c>
    </row>
    <row r="2762" spans="1:5">
      <c r="A2762" t="s">
        <v>4380</v>
      </c>
      <c r="B2762" t="s">
        <v>963</v>
      </c>
      <c r="C2762" t="s">
        <v>995</v>
      </c>
      <c r="D2762" t="s">
        <v>7043</v>
      </c>
      <c r="E2762">
        <v>1.889653865827139</v>
      </c>
    </row>
    <row r="2763" spans="1:5">
      <c r="A2763" t="s">
        <v>4381</v>
      </c>
      <c r="B2763" t="s">
        <v>963</v>
      </c>
      <c r="C2763" t="s">
        <v>995</v>
      </c>
      <c r="D2763" t="s">
        <v>7044</v>
      </c>
      <c r="E2763">
        <v>136.8112207320657</v>
      </c>
    </row>
    <row r="2764" spans="1:5">
      <c r="A2764" t="s">
        <v>4382</v>
      </c>
      <c r="B2764" t="s">
        <v>963</v>
      </c>
      <c r="C2764" t="s">
        <v>995</v>
      </c>
      <c r="D2764" t="s">
        <v>7045</v>
      </c>
      <c r="E2764">
        <v>406.2917825435259</v>
      </c>
    </row>
    <row r="2765" spans="1:5">
      <c r="A2765" t="s">
        <v>4383</v>
      </c>
      <c r="B2765" t="s">
        <v>963</v>
      </c>
      <c r="C2765" t="s">
        <v>995</v>
      </c>
      <c r="D2765" t="s">
        <v>7046</v>
      </c>
      <c r="E2765">
        <v>47.2127587593859</v>
      </c>
    </row>
    <row r="2766" spans="1:5">
      <c r="A2766" t="s">
        <v>4384</v>
      </c>
      <c r="B2766" t="s">
        <v>963</v>
      </c>
      <c r="C2766" t="s">
        <v>995</v>
      </c>
      <c r="D2766" t="s">
        <v>6988</v>
      </c>
      <c r="E2766">
        <v>406.2913140881885</v>
      </c>
    </row>
    <row r="2767" spans="1:5">
      <c r="A2767" t="s">
        <v>4385</v>
      </c>
      <c r="B2767" t="s">
        <v>963</v>
      </c>
      <c r="C2767" t="s">
        <v>995</v>
      </c>
      <c r="D2767" t="s">
        <v>7047</v>
      </c>
      <c r="E2767">
        <v>115.8443543373639</v>
      </c>
    </row>
    <row r="2768" spans="1:5">
      <c r="A2768" t="s">
        <v>4386</v>
      </c>
      <c r="B2768" t="s">
        <v>963</v>
      </c>
      <c r="C2768" t="s">
        <v>995</v>
      </c>
      <c r="D2768" t="s">
        <v>7048</v>
      </c>
      <c r="E2768">
        <v>406.2917825435259</v>
      </c>
    </row>
    <row r="2769" spans="1:5">
      <c r="A2769" t="s">
        <v>4387</v>
      </c>
      <c r="B2769" t="s">
        <v>963</v>
      </c>
      <c r="C2769" t="s">
        <v>995</v>
      </c>
      <c r="D2769" t="s">
        <v>7049</v>
      </c>
      <c r="E2769">
        <v>27.50473328686987</v>
      </c>
    </row>
    <row r="2770" spans="1:5">
      <c r="A2770" t="s">
        <v>4388</v>
      </c>
      <c r="B2770" t="s">
        <v>963</v>
      </c>
      <c r="C2770" t="s">
        <v>995</v>
      </c>
      <c r="D2770" t="s">
        <v>7050</v>
      </c>
      <c r="E2770">
        <v>406.2917825435259</v>
      </c>
    </row>
    <row r="2771" spans="1:5">
      <c r="A2771" t="s">
        <v>4389</v>
      </c>
      <c r="B2771" t="s">
        <v>963</v>
      </c>
      <c r="C2771" t="s">
        <v>995</v>
      </c>
      <c r="D2771" t="s">
        <v>7051</v>
      </c>
      <c r="E2771">
        <v>4.132531274872385</v>
      </c>
    </row>
    <row r="2772" spans="1:5">
      <c r="A2772" t="s">
        <v>4390</v>
      </c>
      <c r="B2772" t="s">
        <v>963</v>
      </c>
      <c r="C2772" t="s">
        <v>995</v>
      </c>
      <c r="D2772" t="s">
        <v>7052</v>
      </c>
      <c r="E2772">
        <v>0.03495533270202483</v>
      </c>
    </row>
    <row r="2773" spans="1:5">
      <c r="A2773" t="s">
        <v>4391</v>
      </c>
      <c r="B2773" t="s">
        <v>963</v>
      </c>
      <c r="C2773" t="s">
        <v>995</v>
      </c>
      <c r="D2773" t="s">
        <v>7053</v>
      </c>
      <c r="E2773">
        <v>40.20289682944433</v>
      </c>
    </row>
    <row r="2774" spans="1:5">
      <c r="A2774" t="s">
        <v>4392</v>
      </c>
      <c r="B2774" t="s">
        <v>963</v>
      </c>
      <c r="C2774" t="s">
        <v>995</v>
      </c>
      <c r="D2774" t="s">
        <v>7054</v>
      </c>
      <c r="E2774">
        <v>1.461909286289931</v>
      </c>
    </row>
    <row r="2775" spans="1:5">
      <c r="A2775" t="s">
        <v>4393</v>
      </c>
      <c r="B2775" t="s">
        <v>963</v>
      </c>
      <c r="C2775" t="s">
        <v>995</v>
      </c>
      <c r="D2775" t="s">
        <v>6989</v>
      </c>
      <c r="E2775">
        <v>39.21650243956239</v>
      </c>
    </row>
    <row r="2776" spans="1:5">
      <c r="A2776" t="s">
        <v>4394</v>
      </c>
      <c r="B2776" t="s">
        <v>963</v>
      </c>
      <c r="C2776" t="s">
        <v>995</v>
      </c>
      <c r="D2776" t="s">
        <v>7055</v>
      </c>
      <c r="E2776">
        <v>11.46399801494543</v>
      </c>
    </row>
    <row r="2777" spans="1:5">
      <c r="A2777" t="s">
        <v>4395</v>
      </c>
      <c r="B2777" t="s">
        <v>963</v>
      </c>
      <c r="C2777" t="s">
        <v>995</v>
      </c>
      <c r="D2777" t="s">
        <v>7056</v>
      </c>
      <c r="E2777">
        <v>46.76844687769593</v>
      </c>
    </row>
    <row r="2778" spans="1:5">
      <c r="A2778" t="s">
        <v>4396</v>
      </c>
      <c r="B2778" t="s">
        <v>963</v>
      </c>
      <c r="C2778" t="s">
        <v>995</v>
      </c>
      <c r="D2778" t="s">
        <v>7057</v>
      </c>
      <c r="E2778">
        <v>2.339651961488765</v>
      </c>
    </row>
    <row r="2779" spans="1:5">
      <c r="A2779" t="s">
        <v>4397</v>
      </c>
      <c r="B2779" t="s">
        <v>963</v>
      </c>
      <c r="C2779" t="s">
        <v>995</v>
      </c>
      <c r="D2779" t="s">
        <v>6990</v>
      </c>
      <c r="E2779">
        <v>0.01733034303528512</v>
      </c>
    </row>
    <row r="2780" spans="1:5">
      <c r="A2780" t="s">
        <v>4398</v>
      </c>
      <c r="B2780" t="s">
        <v>963</v>
      </c>
      <c r="C2780" t="s">
        <v>995</v>
      </c>
      <c r="D2780" t="s">
        <v>6991</v>
      </c>
      <c r="E2780">
        <v>104.4753189019054</v>
      </c>
    </row>
    <row r="2781" spans="1:5">
      <c r="A2781" t="s">
        <v>4399</v>
      </c>
      <c r="B2781" t="s">
        <v>963</v>
      </c>
      <c r="C2781" t="s">
        <v>995</v>
      </c>
      <c r="D2781" t="s">
        <v>7058</v>
      </c>
      <c r="E2781">
        <v>406.2917825435259</v>
      </c>
    </row>
    <row r="2782" spans="1:5">
      <c r="A2782" t="s">
        <v>4400</v>
      </c>
      <c r="B2782" t="s">
        <v>963</v>
      </c>
      <c r="C2782" t="s">
        <v>995</v>
      </c>
      <c r="D2782" t="s">
        <v>6992</v>
      </c>
      <c r="E2782">
        <v>3.258712484163943</v>
      </c>
    </row>
    <row r="2783" spans="1:5">
      <c r="A2783" t="s">
        <v>4401</v>
      </c>
      <c r="B2783" t="s">
        <v>963</v>
      </c>
      <c r="C2783" t="s">
        <v>995</v>
      </c>
      <c r="D2783" t="s">
        <v>7059</v>
      </c>
      <c r="E2783">
        <v>0.2338656789998888</v>
      </c>
    </row>
    <row r="2784" spans="1:5">
      <c r="A2784" t="s">
        <v>4402</v>
      </c>
      <c r="B2784" t="s">
        <v>963</v>
      </c>
      <c r="C2784" t="s">
        <v>995</v>
      </c>
      <c r="D2784" t="s">
        <v>7060</v>
      </c>
      <c r="E2784">
        <v>0.0002236304925729479</v>
      </c>
    </row>
    <row r="2785" spans="1:5">
      <c r="A2785" t="s">
        <v>4403</v>
      </c>
      <c r="B2785" t="s">
        <v>963</v>
      </c>
      <c r="C2785" t="s">
        <v>995</v>
      </c>
      <c r="D2785" t="s">
        <v>6993</v>
      </c>
      <c r="E2785">
        <v>2.439760767826787</v>
      </c>
    </row>
    <row r="2786" spans="1:5">
      <c r="A2786" t="s">
        <v>4404</v>
      </c>
      <c r="B2786" t="s">
        <v>963</v>
      </c>
      <c r="C2786" t="s">
        <v>995</v>
      </c>
      <c r="D2786" t="s">
        <v>7061</v>
      </c>
      <c r="E2786">
        <v>406.2917825435259</v>
      </c>
    </row>
    <row r="2787" spans="1:5">
      <c r="A2787" t="s">
        <v>4405</v>
      </c>
      <c r="B2787" t="s">
        <v>963</v>
      </c>
      <c r="C2787" t="s">
        <v>995</v>
      </c>
      <c r="D2787" t="s">
        <v>7062</v>
      </c>
      <c r="E2787">
        <v>1.939147765420751</v>
      </c>
    </row>
    <row r="2788" spans="1:5">
      <c r="A2788" t="s">
        <v>4406</v>
      </c>
      <c r="B2788" t="s">
        <v>963</v>
      </c>
      <c r="C2788" t="s">
        <v>995</v>
      </c>
      <c r="D2788" t="s">
        <v>7063</v>
      </c>
      <c r="E2788">
        <v>433.2845134881571</v>
      </c>
    </row>
    <row r="2789" spans="1:5">
      <c r="A2789" t="s">
        <v>4407</v>
      </c>
      <c r="B2789" t="s">
        <v>963</v>
      </c>
      <c r="C2789" t="s">
        <v>995</v>
      </c>
      <c r="D2789" t="s">
        <v>6994</v>
      </c>
      <c r="E2789">
        <v>1.906523997295415</v>
      </c>
    </row>
    <row r="2790" spans="1:5">
      <c r="A2790" t="s">
        <v>4408</v>
      </c>
      <c r="B2790" t="s">
        <v>963</v>
      </c>
      <c r="C2790" t="s">
        <v>995</v>
      </c>
      <c r="D2790" t="s">
        <v>7064</v>
      </c>
      <c r="E2790">
        <v>2.364935247022665</v>
      </c>
    </row>
    <row r="2791" spans="1:5">
      <c r="A2791" t="s">
        <v>4409</v>
      </c>
      <c r="B2791" t="s">
        <v>963</v>
      </c>
      <c r="C2791" t="s">
        <v>995</v>
      </c>
      <c r="D2791" t="s">
        <v>7065</v>
      </c>
      <c r="E2791">
        <v>3.509975234622239</v>
      </c>
    </row>
    <row r="2792" spans="1:5">
      <c r="A2792" t="s">
        <v>4410</v>
      </c>
      <c r="B2792" t="s">
        <v>963</v>
      </c>
      <c r="C2792" t="s">
        <v>995</v>
      </c>
      <c r="D2792" t="s">
        <v>7066</v>
      </c>
      <c r="E2792">
        <v>0.0756331557497045</v>
      </c>
    </row>
    <row r="2793" spans="1:5">
      <c r="A2793" t="s">
        <v>4411</v>
      </c>
      <c r="B2793" t="s">
        <v>963</v>
      </c>
      <c r="C2793" t="s">
        <v>995</v>
      </c>
      <c r="D2793" t="s">
        <v>7067</v>
      </c>
      <c r="E2793">
        <v>215.5136356185965</v>
      </c>
    </row>
    <row r="2794" spans="1:5">
      <c r="A2794" t="s">
        <v>4412</v>
      </c>
      <c r="B2794" t="s">
        <v>963</v>
      </c>
      <c r="C2794" t="s">
        <v>995</v>
      </c>
      <c r="D2794" t="s">
        <v>7068</v>
      </c>
      <c r="E2794">
        <v>0.7162600861540213</v>
      </c>
    </row>
    <row r="2795" spans="1:5">
      <c r="A2795" t="s">
        <v>4413</v>
      </c>
      <c r="B2795" t="s">
        <v>963</v>
      </c>
      <c r="C2795" t="s">
        <v>995</v>
      </c>
      <c r="D2795" t="s">
        <v>6995</v>
      </c>
      <c r="E2795">
        <v>0.1998256088387867</v>
      </c>
    </row>
    <row r="2796" spans="1:5">
      <c r="A2796" t="s">
        <v>4414</v>
      </c>
      <c r="B2796" t="s">
        <v>963</v>
      </c>
      <c r="C2796" t="s">
        <v>995</v>
      </c>
      <c r="D2796" t="s">
        <v>7069</v>
      </c>
      <c r="E2796">
        <v>997.5875791625263</v>
      </c>
    </row>
    <row r="2797" spans="1:5">
      <c r="A2797" t="s">
        <v>4415</v>
      </c>
      <c r="B2797" t="s">
        <v>963</v>
      </c>
      <c r="C2797" t="s">
        <v>995</v>
      </c>
      <c r="D2797" t="s">
        <v>7070</v>
      </c>
      <c r="E2797">
        <v>368.6386183722553</v>
      </c>
    </row>
    <row r="2798" spans="1:5">
      <c r="A2798" t="s">
        <v>4416</v>
      </c>
      <c r="B2798" t="s">
        <v>963</v>
      </c>
      <c r="C2798" t="s">
        <v>995</v>
      </c>
      <c r="D2798" t="s">
        <v>7071</v>
      </c>
      <c r="E2798">
        <v>0.6297099855369136</v>
      </c>
    </row>
    <row r="2799" spans="1:5">
      <c r="A2799" t="s">
        <v>4417</v>
      </c>
      <c r="B2799" t="s">
        <v>963</v>
      </c>
      <c r="C2799" t="s">
        <v>995</v>
      </c>
      <c r="D2799" t="s">
        <v>7072</v>
      </c>
      <c r="E2799">
        <v>0.01392946401659342</v>
      </c>
    </row>
    <row r="2800" spans="1:5">
      <c r="A2800" t="s">
        <v>4418</v>
      </c>
      <c r="B2800" t="s">
        <v>963</v>
      </c>
      <c r="C2800" t="s">
        <v>995</v>
      </c>
      <c r="D2800" t="s">
        <v>7073</v>
      </c>
      <c r="E2800">
        <v>0.003432389663433082</v>
      </c>
    </row>
    <row r="2801" spans="1:5">
      <c r="A2801" t="s">
        <v>4419</v>
      </c>
      <c r="B2801" t="s">
        <v>963</v>
      </c>
      <c r="C2801" t="s">
        <v>995</v>
      </c>
      <c r="D2801" t="s">
        <v>7074</v>
      </c>
      <c r="E2801">
        <v>0.9207863676518845</v>
      </c>
    </row>
    <row r="2802" spans="1:5">
      <c r="A2802" t="s">
        <v>4420</v>
      </c>
      <c r="B2802" t="s">
        <v>963</v>
      </c>
      <c r="C2802" t="s">
        <v>995</v>
      </c>
      <c r="D2802" t="s">
        <v>7075</v>
      </c>
      <c r="E2802">
        <v>1.678925108062529</v>
      </c>
    </row>
    <row r="2803" spans="1:5">
      <c r="A2803" t="s">
        <v>4421</v>
      </c>
      <c r="B2803" t="s">
        <v>963</v>
      </c>
      <c r="C2803" t="s">
        <v>995</v>
      </c>
      <c r="D2803" t="s">
        <v>7076</v>
      </c>
      <c r="E2803">
        <v>18.70635982612348</v>
      </c>
    </row>
    <row r="2804" spans="1:5">
      <c r="A2804" t="s">
        <v>4422</v>
      </c>
      <c r="B2804" t="s">
        <v>963</v>
      </c>
      <c r="C2804" t="s">
        <v>995</v>
      </c>
      <c r="D2804" t="s">
        <v>7077</v>
      </c>
      <c r="E2804">
        <v>48.09572154734259</v>
      </c>
    </row>
    <row r="2805" spans="1:5">
      <c r="A2805" t="s">
        <v>4423</v>
      </c>
      <c r="B2805" t="s">
        <v>963</v>
      </c>
      <c r="C2805" t="s">
        <v>995</v>
      </c>
      <c r="D2805" t="s">
        <v>7078</v>
      </c>
      <c r="E2805">
        <v>32.98266480551352</v>
      </c>
    </row>
    <row r="2806" spans="1:5">
      <c r="A2806" t="s">
        <v>4424</v>
      </c>
      <c r="B2806" t="s">
        <v>963</v>
      </c>
      <c r="C2806" t="s">
        <v>995</v>
      </c>
      <c r="D2806" t="s">
        <v>7079</v>
      </c>
      <c r="E2806">
        <v>17.60443567983962</v>
      </c>
    </row>
    <row r="2807" spans="1:5">
      <c r="A2807" t="s">
        <v>4425</v>
      </c>
      <c r="B2807" t="s">
        <v>963</v>
      </c>
      <c r="C2807" t="s">
        <v>995</v>
      </c>
      <c r="D2807" t="s">
        <v>7080</v>
      </c>
      <c r="E2807">
        <v>0.07280984523813075</v>
      </c>
    </row>
    <row r="2808" spans="1:5">
      <c r="A2808" t="s">
        <v>4426</v>
      </c>
      <c r="B2808" t="s">
        <v>963</v>
      </c>
      <c r="C2808" t="s">
        <v>995</v>
      </c>
      <c r="D2808" t="s">
        <v>7081</v>
      </c>
      <c r="E2808">
        <v>5.717943790414838</v>
      </c>
    </row>
    <row r="2809" spans="1:5">
      <c r="A2809" t="s">
        <v>4427</v>
      </c>
      <c r="B2809" t="s">
        <v>963</v>
      </c>
      <c r="C2809" t="s">
        <v>995</v>
      </c>
      <c r="D2809" t="s">
        <v>7082</v>
      </c>
      <c r="E2809">
        <v>0.1457939761842977</v>
      </c>
    </row>
    <row r="2810" spans="1:5">
      <c r="A2810" t="s">
        <v>4428</v>
      </c>
      <c r="B2810" t="s">
        <v>963</v>
      </c>
      <c r="C2810" t="s">
        <v>995</v>
      </c>
      <c r="D2810" t="s">
        <v>7083</v>
      </c>
      <c r="E2810">
        <v>0.08590188025490395</v>
      </c>
    </row>
    <row r="2811" spans="1:5">
      <c r="A2811" t="s">
        <v>4429</v>
      </c>
      <c r="B2811" t="s">
        <v>963</v>
      </c>
      <c r="C2811" t="s">
        <v>995</v>
      </c>
      <c r="D2811" t="s">
        <v>7084</v>
      </c>
      <c r="E2811">
        <v>38.07430996316901</v>
      </c>
    </row>
    <row r="2812" spans="1:5">
      <c r="A2812" t="s">
        <v>4430</v>
      </c>
      <c r="B2812" t="s">
        <v>963</v>
      </c>
      <c r="C2812" t="s">
        <v>995</v>
      </c>
      <c r="D2812" t="s">
        <v>7085</v>
      </c>
      <c r="E2812">
        <v>7.660842558435479</v>
      </c>
    </row>
    <row r="2813" spans="1:5">
      <c r="A2813" t="s">
        <v>4431</v>
      </c>
      <c r="B2813" t="s">
        <v>963</v>
      </c>
      <c r="C2813" t="s">
        <v>995</v>
      </c>
      <c r="D2813" t="s">
        <v>7086</v>
      </c>
      <c r="E2813">
        <v>6.476064939715345</v>
      </c>
    </row>
    <row r="2814" spans="1:5">
      <c r="A2814" t="s">
        <v>4432</v>
      </c>
      <c r="B2814" t="s">
        <v>963</v>
      </c>
      <c r="C2814" t="s">
        <v>995</v>
      </c>
      <c r="D2814" t="s">
        <v>7087</v>
      </c>
      <c r="E2814">
        <v>19.81902774086776</v>
      </c>
    </row>
    <row r="2815" spans="1:5">
      <c r="A2815" t="s">
        <v>4433</v>
      </c>
      <c r="B2815" t="s">
        <v>963</v>
      </c>
      <c r="C2815" t="s">
        <v>995</v>
      </c>
      <c r="D2815" t="s">
        <v>7088</v>
      </c>
      <c r="E2815">
        <v>0.1757242472026639</v>
      </c>
    </row>
    <row r="2816" spans="1:5">
      <c r="A2816" t="s">
        <v>4434</v>
      </c>
      <c r="B2816" t="s">
        <v>963</v>
      </c>
      <c r="C2816" t="s">
        <v>995</v>
      </c>
      <c r="D2816" t="s">
        <v>6996</v>
      </c>
      <c r="E2816">
        <v>17.7060988049106</v>
      </c>
    </row>
    <row r="2817" spans="1:5">
      <c r="A2817" t="s">
        <v>4435</v>
      </c>
      <c r="B2817" t="s">
        <v>963</v>
      </c>
      <c r="C2817" t="s">
        <v>995</v>
      </c>
      <c r="D2817" t="s">
        <v>6997</v>
      </c>
      <c r="E2817">
        <v>74.66010113251809</v>
      </c>
    </row>
    <row r="2818" spans="1:5">
      <c r="A2818" t="s">
        <v>4436</v>
      </c>
      <c r="B2818" t="s">
        <v>963</v>
      </c>
      <c r="C2818" t="s">
        <v>995</v>
      </c>
      <c r="D2818" t="s">
        <v>7089</v>
      </c>
      <c r="E2818">
        <v>4.80555137906083</v>
      </c>
    </row>
    <row r="2819" spans="1:5">
      <c r="A2819" t="s">
        <v>4437</v>
      </c>
      <c r="B2819" t="s">
        <v>963</v>
      </c>
      <c r="C2819" t="s">
        <v>995</v>
      </c>
      <c r="D2819" t="s">
        <v>7090</v>
      </c>
      <c r="E2819">
        <v>18.70635982612348</v>
      </c>
    </row>
    <row r="2820" spans="1:5">
      <c r="A2820" t="s">
        <v>4438</v>
      </c>
      <c r="B2820" t="s">
        <v>963</v>
      </c>
      <c r="C2820" t="s">
        <v>995</v>
      </c>
      <c r="D2820" t="s">
        <v>7091</v>
      </c>
      <c r="E2820">
        <v>0.2266607062822319</v>
      </c>
    </row>
    <row r="2821" spans="1:5">
      <c r="A2821" t="s">
        <v>4439</v>
      </c>
      <c r="B2821" t="s">
        <v>963</v>
      </c>
      <c r="C2821" t="s">
        <v>995</v>
      </c>
      <c r="D2821" t="s">
        <v>7092</v>
      </c>
      <c r="E2821">
        <v>8.324429097783831</v>
      </c>
    </row>
    <row r="2822" spans="1:5">
      <c r="A2822" t="s">
        <v>4440</v>
      </c>
      <c r="B2822" t="s">
        <v>963</v>
      </c>
      <c r="C2822" t="s">
        <v>995</v>
      </c>
      <c r="D2822" t="s">
        <v>6998</v>
      </c>
      <c r="E2822">
        <v>31.6075809176703</v>
      </c>
    </row>
    <row r="2823" spans="1:5">
      <c r="A2823" t="s">
        <v>4441</v>
      </c>
      <c r="B2823" t="s">
        <v>963</v>
      </c>
      <c r="C2823" t="s">
        <v>995</v>
      </c>
      <c r="D2823" t="s">
        <v>7093</v>
      </c>
      <c r="E2823">
        <v>2.03669816787491</v>
      </c>
    </row>
    <row r="2824" spans="1:5">
      <c r="A2824" t="s">
        <v>4442</v>
      </c>
      <c r="B2824" t="s">
        <v>963</v>
      </c>
      <c r="C2824" t="s">
        <v>995</v>
      </c>
      <c r="D2824" t="s">
        <v>6999</v>
      </c>
      <c r="E2824">
        <v>177.0702413016824</v>
      </c>
    </row>
    <row r="2825" spans="1:5">
      <c r="A2825" t="s">
        <v>4443</v>
      </c>
      <c r="B2825" t="s">
        <v>963</v>
      </c>
      <c r="C2825" t="s">
        <v>995</v>
      </c>
      <c r="D2825" t="s">
        <v>7094</v>
      </c>
      <c r="E2825">
        <v>798.9626022859449</v>
      </c>
    </row>
    <row r="2826" spans="1:5">
      <c r="A2826" t="s">
        <v>4444</v>
      </c>
      <c r="B2826" t="s">
        <v>963</v>
      </c>
      <c r="C2826" t="s">
        <v>995</v>
      </c>
      <c r="D2826" t="s">
        <v>7095</v>
      </c>
      <c r="E2826">
        <v>307.198955768815</v>
      </c>
    </row>
    <row r="2827" spans="1:5">
      <c r="A2827" t="s">
        <v>4445</v>
      </c>
      <c r="B2827" t="s">
        <v>963</v>
      </c>
      <c r="C2827" t="s">
        <v>995</v>
      </c>
      <c r="D2827" t="s">
        <v>7096</v>
      </c>
      <c r="E2827">
        <v>90.5768129725617</v>
      </c>
    </row>
    <row r="2828" spans="1:5">
      <c r="A2828" t="s">
        <v>4446</v>
      </c>
      <c r="B2828" t="s">
        <v>963</v>
      </c>
      <c r="C2828" t="s">
        <v>995</v>
      </c>
      <c r="D2828" t="s">
        <v>7097</v>
      </c>
      <c r="E2828">
        <v>69.94214765471003</v>
      </c>
    </row>
    <row r="2829" spans="1:5">
      <c r="A2829" t="s">
        <v>4447</v>
      </c>
      <c r="B2829" t="s">
        <v>963</v>
      </c>
      <c r="C2829" t="s">
        <v>995</v>
      </c>
      <c r="D2829" t="s">
        <v>7000</v>
      </c>
      <c r="E2829">
        <v>5.071426507196962</v>
      </c>
    </row>
    <row r="2830" spans="1:5">
      <c r="A2830" t="s">
        <v>4448</v>
      </c>
      <c r="B2830" t="s">
        <v>963</v>
      </c>
      <c r="C2830" t="s">
        <v>995</v>
      </c>
      <c r="D2830" t="s">
        <v>7098</v>
      </c>
      <c r="E2830">
        <v>1.103949226956259</v>
      </c>
    </row>
    <row r="2831" spans="1:5">
      <c r="A2831" t="s">
        <v>4449</v>
      </c>
      <c r="B2831" t="s">
        <v>963</v>
      </c>
      <c r="C2831" t="s">
        <v>995</v>
      </c>
      <c r="D2831" t="s">
        <v>7001</v>
      </c>
      <c r="E2831">
        <v>82.76740878016928</v>
      </c>
    </row>
    <row r="2832" spans="1:5">
      <c r="A2832" t="s">
        <v>4450</v>
      </c>
      <c r="B2832" t="s">
        <v>963</v>
      </c>
      <c r="C2832" t="s">
        <v>995</v>
      </c>
      <c r="D2832" t="s">
        <v>7099</v>
      </c>
      <c r="E2832">
        <v>0.05038174520124439</v>
      </c>
    </row>
    <row r="2833" spans="1:5">
      <c r="A2833" t="s">
        <v>4451</v>
      </c>
      <c r="B2833" t="s">
        <v>963</v>
      </c>
      <c r="C2833" t="s">
        <v>995</v>
      </c>
      <c r="D2833" t="s">
        <v>7100</v>
      </c>
      <c r="E2833">
        <v>84.39529649746103</v>
      </c>
    </row>
    <row r="2834" spans="1:5">
      <c r="A2834" t="s">
        <v>4452</v>
      </c>
      <c r="B2834" t="s">
        <v>963</v>
      </c>
      <c r="C2834" t="s">
        <v>995</v>
      </c>
      <c r="D2834" t="s">
        <v>7002</v>
      </c>
      <c r="E2834">
        <v>67.29055118666582</v>
      </c>
    </row>
    <row r="2835" spans="1:5">
      <c r="A2835" t="s">
        <v>4453</v>
      </c>
      <c r="B2835" t="s">
        <v>963</v>
      </c>
      <c r="C2835" t="s">
        <v>995</v>
      </c>
      <c r="D2835" t="s">
        <v>7101</v>
      </c>
      <c r="E2835">
        <v>3.00133853667644</v>
      </c>
    </row>
    <row r="2836" spans="1:5">
      <c r="A2836" t="s">
        <v>4454</v>
      </c>
      <c r="B2836" t="s">
        <v>963</v>
      </c>
      <c r="C2836" t="s">
        <v>995</v>
      </c>
      <c r="D2836" t="s">
        <v>7102</v>
      </c>
      <c r="E2836">
        <v>4.187599359516675</v>
      </c>
    </row>
    <row r="2837" spans="1:5">
      <c r="A2837" t="s">
        <v>4455</v>
      </c>
      <c r="B2837" t="s">
        <v>963</v>
      </c>
      <c r="C2837" t="s">
        <v>995</v>
      </c>
      <c r="D2837" t="s">
        <v>7103</v>
      </c>
      <c r="E2837">
        <v>0.2089391086942221</v>
      </c>
    </row>
    <row r="2838" spans="1:5">
      <c r="A2838" t="s">
        <v>4456</v>
      </c>
      <c r="B2838" t="s">
        <v>963</v>
      </c>
      <c r="C2838" t="s">
        <v>995</v>
      </c>
      <c r="D2838" t="s">
        <v>7104</v>
      </c>
      <c r="E2838">
        <v>81.91970249385619</v>
      </c>
    </row>
    <row r="2839" spans="1:5">
      <c r="A2839" t="s">
        <v>4457</v>
      </c>
      <c r="B2839" t="s">
        <v>963</v>
      </c>
      <c r="C2839" t="s">
        <v>995</v>
      </c>
      <c r="D2839" t="s">
        <v>7105</v>
      </c>
      <c r="E2839">
        <v>38.63319234508241</v>
      </c>
    </row>
    <row r="2840" spans="1:5">
      <c r="A2840" t="s">
        <v>4458</v>
      </c>
      <c r="B2840" t="s">
        <v>963</v>
      </c>
      <c r="C2840" t="s">
        <v>995</v>
      </c>
      <c r="D2840" t="s">
        <v>7106</v>
      </c>
      <c r="E2840">
        <v>20.87991901330335</v>
      </c>
    </row>
    <row r="2841" spans="1:5">
      <c r="A2841" t="s">
        <v>4459</v>
      </c>
      <c r="B2841" t="s">
        <v>963</v>
      </c>
      <c r="C2841" t="s">
        <v>995</v>
      </c>
      <c r="D2841" t="s">
        <v>7107</v>
      </c>
      <c r="E2841">
        <v>0.6836839207462461</v>
      </c>
    </row>
    <row r="2842" spans="1:5">
      <c r="A2842" t="s">
        <v>4460</v>
      </c>
      <c r="B2842" t="s">
        <v>963</v>
      </c>
      <c r="C2842" t="s">
        <v>995</v>
      </c>
      <c r="D2842" t="s">
        <v>7003</v>
      </c>
      <c r="E2842">
        <v>32.08613188029339</v>
      </c>
    </row>
    <row r="2843" spans="1:5">
      <c r="A2843" t="s">
        <v>4461</v>
      </c>
      <c r="B2843" t="s">
        <v>963</v>
      </c>
      <c r="C2843" t="s">
        <v>995</v>
      </c>
      <c r="D2843" t="s">
        <v>7004</v>
      </c>
      <c r="E2843">
        <v>238.1383327194764</v>
      </c>
    </row>
    <row r="2844" spans="1:5">
      <c r="A2844" t="s">
        <v>4462</v>
      </c>
      <c r="B2844" t="s">
        <v>963</v>
      </c>
      <c r="C2844" t="s">
        <v>995</v>
      </c>
      <c r="D2844" t="s">
        <v>7108</v>
      </c>
      <c r="E2844">
        <v>406.2917825435259</v>
      </c>
    </row>
    <row r="2845" spans="1:5">
      <c r="A2845" t="s">
        <v>4463</v>
      </c>
      <c r="B2845" t="s">
        <v>963</v>
      </c>
      <c r="C2845" t="s">
        <v>995</v>
      </c>
      <c r="D2845" t="s">
        <v>7109</v>
      </c>
      <c r="E2845">
        <v>12.40884457267916</v>
      </c>
    </row>
    <row r="2846" spans="1:5">
      <c r="A2846" t="s">
        <v>4464</v>
      </c>
      <c r="B2846" t="s">
        <v>963</v>
      </c>
      <c r="C2846" t="s">
        <v>995</v>
      </c>
      <c r="D2846" t="s">
        <v>7110</v>
      </c>
      <c r="E2846">
        <v>0.0124085944841216</v>
      </c>
    </row>
    <row r="2847" spans="1:5">
      <c r="A2847" t="s">
        <v>4465</v>
      </c>
      <c r="B2847" t="s">
        <v>963</v>
      </c>
      <c r="C2847" t="s">
        <v>995</v>
      </c>
      <c r="D2847" t="s">
        <v>7111</v>
      </c>
      <c r="E2847">
        <v>0.535403129174261</v>
      </c>
    </row>
    <row r="2848" spans="1:5">
      <c r="A2848" t="s">
        <v>4466</v>
      </c>
      <c r="B2848" t="s">
        <v>963</v>
      </c>
      <c r="C2848" t="s">
        <v>995</v>
      </c>
      <c r="D2848" t="s">
        <v>7112</v>
      </c>
      <c r="E2848">
        <v>8.124593121144255</v>
      </c>
    </row>
    <row r="2849" spans="1:5">
      <c r="A2849" t="s">
        <v>4467</v>
      </c>
      <c r="B2849" t="s">
        <v>963</v>
      </c>
      <c r="C2849" t="s">
        <v>995</v>
      </c>
      <c r="D2849" t="s">
        <v>7113</v>
      </c>
      <c r="E2849">
        <v>0.06519075046483641</v>
      </c>
    </row>
    <row r="2850" spans="1:5">
      <c r="A2850" t="s">
        <v>4468</v>
      </c>
      <c r="B2850" t="s">
        <v>963</v>
      </c>
      <c r="C2850" t="s">
        <v>995</v>
      </c>
      <c r="D2850" t="s">
        <v>7114</v>
      </c>
      <c r="E2850">
        <v>14.38272910204082</v>
      </c>
    </row>
    <row r="2851" spans="1:5">
      <c r="A2851" t="s">
        <v>4469</v>
      </c>
      <c r="B2851" t="s">
        <v>963</v>
      </c>
      <c r="C2851" t="s">
        <v>995</v>
      </c>
      <c r="D2851" t="s">
        <v>7115</v>
      </c>
      <c r="E2851">
        <v>2.72815484190284</v>
      </c>
    </row>
    <row r="2852" spans="1:5">
      <c r="A2852" t="s">
        <v>4470</v>
      </c>
      <c r="B2852" t="s">
        <v>963</v>
      </c>
      <c r="C2852" t="s">
        <v>995</v>
      </c>
      <c r="D2852" t="s">
        <v>7116</v>
      </c>
      <c r="E2852">
        <v>18.70635982612348</v>
      </c>
    </row>
    <row r="2853" spans="1:5">
      <c r="A2853" t="s">
        <v>4471</v>
      </c>
      <c r="B2853" t="s">
        <v>963</v>
      </c>
      <c r="C2853" t="s">
        <v>995</v>
      </c>
      <c r="D2853" t="s">
        <v>7005</v>
      </c>
      <c r="E2853">
        <v>9.371418265534977</v>
      </c>
    </row>
    <row r="2854" spans="1:5">
      <c r="A2854" t="s">
        <v>4472</v>
      </c>
      <c r="B2854" t="s">
        <v>963</v>
      </c>
      <c r="C2854" t="s">
        <v>995</v>
      </c>
      <c r="D2854" t="s">
        <v>7117</v>
      </c>
      <c r="E2854">
        <v>33.15346706987844</v>
      </c>
    </row>
    <row r="2855" spans="1:5">
      <c r="A2855" t="s">
        <v>4473</v>
      </c>
      <c r="B2855" t="s">
        <v>963</v>
      </c>
      <c r="C2855" t="s">
        <v>995</v>
      </c>
      <c r="D2855" t="s">
        <v>7118</v>
      </c>
      <c r="E2855">
        <v>87.78934530110558</v>
      </c>
    </row>
    <row r="2856" spans="1:5">
      <c r="A2856" t="s">
        <v>4474</v>
      </c>
      <c r="B2856" t="s">
        <v>963</v>
      </c>
      <c r="C2856" t="s">
        <v>995</v>
      </c>
      <c r="D2856" t="s">
        <v>7119</v>
      </c>
      <c r="E2856">
        <v>104.3553333992754</v>
      </c>
    </row>
    <row r="2857" spans="1:5">
      <c r="A2857" t="s">
        <v>4475</v>
      </c>
      <c r="B2857" t="s">
        <v>963</v>
      </c>
      <c r="C2857" t="s">
        <v>995</v>
      </c>
      <c r="D2857" t="s">
        <v>7120</v>
      </c>
      <c r="E2857">
        <v>128.9000827077818</v>
      </c>
    </row>
    <row r="2858" spans="1:5">
      <c r="A2858" t="s">
        <v>4476</v>
      </c>
      <c r="B2858" t="s">
        <v>963</v>
      </c>
      <c r="C2858" t="s">
        <v>995</v>
      </c>
      <c r="D2858" t="s">
        <v>7006</v>
      </c>
      <c r="E2858">
        <v>6.617039672940543</v>
      </c>
    </row>
    <row r="2859" spans="1:5">
      <c r="A2859" t="s">
        <v>4477</v>
      </c>
      <c r="B2859" t="s">
        <v>963</v>
      </c>
      <c r="C2859" t="s">
        <v>995</v>
      </c>
      <c r="D2859" t="s">
        <v>7121</v>
      </c>
      <c r="E2859">
        <v>43.86257800931481</v>
      </c>
    </row>
    <row r="2860" spans="1:5">
      <c r="A2860" t="s">
        <v>4478</v>
      </c>
      <c r="B2860" t="s">
        <v>963</v>
      </c>
      <c r="C2860" t="s">
        <v>995</v>
      </c>
      <c r="D2860" t="s">
        <v>7122</v>
      </c>
      <c r="E2860">
        <v>215.5136356185965</v>
      </c>
    </row>
    <row r="2861" spans="1:5">
      <c r="A2861" t="s">
        <v>4479</v>
      </c>
      <c r="B2861" t="s">
        <v>963</v>
      </c>
      <c r="C2861" t="s">
        <v>995</v>
      </c>
      <c r="D2861" t="s">
        <v>7123</v>
      </c>
      <c r="E2861">
        <v>9.715079769791529</v>
      </c>
    </row>
    <row r="2862" spans="1:5">
      <c r="A2862" t="s">
        <v>4480</v>
      </c>
      <c r="B2862" t="s">
        <v>963</v>
      </c>
      <c r="C2862" t="s">
        <v>995</v>
      </c>
      <c r="D2862" t="s">
        <v>7124</v>
      </c>
      <c r="E2862">
        <v>0.1174134085762881</v>
      </c>
    </row>
    <row r="2863" spans="1:5">
      <c r="A2863" t="s">
        <v>4481</v>
      </c>
      <c r="B2863" t="s">
        <v>963</v>
      </c>
      <c r="C2863" t="s">
        <v>995</v>
      </c>
      <c r="D2863" t="s">
        <v>7125</v>
      </c>
      <c r="E2863">
        <v>6.830463490946483</v>
      </c>
    </row>
    <row r="2864" spans="1:5">
      <c r="A2864" t="s">
        <v>4482</v>
      </c>
      <c r="B2864" t="s">
        <v>963</v>
      </c>
      <c r="C2864" t="s">
        <v>995</v>
      </c>
      <c r="D2864" t="s">
        <v>7126</v>
      </c>
      <c r="E2864">
        <v>0.08461136449898078</v>
      </c>
    </row>
    <row r="2865" spans="1:5">
      <c r="A2865" t="s">
        <v>4483</v>
      </c>
      <c r="B2865" t="s">
        <v>963</v>
      </c>
      <c r="C2865" t="s">
        <v>995</v>
      </c>
      <c r="D2865" t="s">
        <v>998</v>
      </c>
      <c r="E2865">
        <v>307.197884519488</v>
      </c>
    </row>
    <row r="2866" spans="1:5">
      <c r="A2866" t="s">
        <v>4484</v>
      </c>
      <c r="B2866" t="s">
        <v>963</v>
      </c>
      <c r="C2866" t="s">
        <v>995</v>
      </c>
      <c r="D2866" t="s">
        <v>7127</v>
      </c>
      <c r="E2866">
        <v>7.603826188425086</v>
      </c>
    </row>
    <row r="2867" spans="1:5">
      <c r="A2867" t="s">
        <v>4485</v>
      </c>
      <c r="B2867" t="s">
        <v>963</v>
      </c>
      <c r="C2867" t="s">
        <v>995</v>
      </c>
      <c r="D2867" t="s">
        <v>7128</v>
      </c>
      <c r="E2867">
        <v>0.02529027402418696</v>
      </c>
    </row>
    <row r="2868" spans="1:5">
      <c r="A2868" t="s">
        <v>4486</v>
      </c>
      <c r="B2868" t="s">
        <v>963</v>
      </c>
      <c r="C2868" t="s">
        <v>995</v>
      </c>
      <c r="D2868" t="s">
        <v>7129</v>
      </c>
      <c r="E2868">
        <v>0.5052977031125494</v>
      </c>
    </row>
    <row r="2869" spans="1:5">
      <c r="A2869" t="s">
        <v>4487</v>
      </c>
      <c r="B2869" t="s">
        <v>963</v>
      </c>
      <c r="C2869" t="s">
        <v>995</v>
      </c>
      <c r="D2869" t="s">
        <v>7130</v>
      </c>
      <c r="E2869">
        <v>0.01169050283113638</v>
      </c>
    </row>
    <row r="2870" spans="1:5">
      <c r="A2870" t="s">
        <v>4488</v>
      </c>
      <c r="B2870" t="s">
        <v>963</v>
      </c>
      <c r="C2870" t="s">
        <v>995</v>
      </c>
      <c r="D2870" t="s">
        <v>7131</v>
      </c>
      <c r="E2870">
        <v>2.589525156239493</v>
      </c>
    </row>
    <row r="2871" spans="1:5">
      <c r="A2871" t="s">
        <v>4489</v>
      </c>
      <c r="B2871" t="s">
        <v>963</v>
      </c>
      <c r="C2871" t="s">
        <v>995</v>
      </c>
      <c r="D2871" t="s">
        <v>7132</v>
      </c>
      <c r="E2871">
        <v>113.2456135332895</v>
      </c>
    </row>
    <row r="2872" spans="1:5">
      <c r="A2872" t="s">
        <v>4490</v>
      </c>
      <c r="B2872" t="s">
        <v>963</v>
      </c>
      <c r="C2872" t="s">
        <v>995</v>
      </c>
      <c r="D2872" t="s">
        <v>7133</v>
      </c>
      <c r="E2872">
        <v>0.537195064615516</v>
      </c>
    </row>
    <row r="2873" spans="1:5">
      <c r="A2873" t="s">
        <v>4491</v>
      </c>
      <c r="B2873" t="s">
        <v>963</v>
      </c>
      <c r="C2873" t="s">
        <v>995</v>
      </c>
      <c r="D2873" t="s">
        <v>7134</v>
      </c>
      <c r="E2873">
        <v>113.7773469410159</v>
      </c>
    </row>
    <row r="2874" spans="1:5">
      <c r="A2874" t="s">
        <v>4492</v>
      </c>
      <c r="B2874" t="s">
        <v>963</v>
      </c>
      <c r="C2874" t="s">
        <v>995</v>
      </c>
      <c r="D2874" t="s">
        <v>7135</v>
      </c>
      <c r="E2874">
        <v>171.6194915852711</v>
      </c>
    </row>
    <row r="2875" spans="1:5">
      <c r="A2875" t="s">
        <v>4493</v>
      </c>
      <c r="B2875" t="s">
        <v>963</v>
      </c>
      <c r="C2875" t="s">
        <v>995</v>
      </c>
      <c r="D2875" t="s">
        <v>7136</v>
      </c>
      <c r="E2875">
        <v>417.2757623124563</v>
      </c>
    </row>
    <row r="2876" spans="1:5">
      <c r="A2876" t="s">
        <v>4494</v>
      </c>
      <c r="B2876" t="s">
        <v>963</v>
      </c>
      <c r="C2876" t="s">
        <v>995</v>
      </c>
      <c r="D2876" t="s">
        <v>7137</v>
      </c>
      <c r="E2876">
        <v>0.537195064615516</v>
      </c>
    </row>
    <row r="2877" spans="1:5">
      <c r="A2877" t="s">
        <v>4495</v>
      </c>
      <c r="B2877" t="s">
        <v>963</v>
      </c>
      <c r="C2877" t="s">
        <v>995</v>
      </c>
      <c r="D2877" t="s">
        <v>7138</v>
      </c>
      <c r="E2877">
        <v>2.952911733650656</v>
      </c>
    </row>
    <row r="2878" spans="1:5">
      <c r="A2878" t="s">
        <v>4496</v>
      </c>
      <c r="B2878" t="s">
        <v>963</v>
      </c>
      <c r="C2878" t="s">
        <v>995</v>
      </c>
      <c r="D2878" t="s">
        <v>7139</v>
      </c>
      <c r="E2878">
        <v>1.283958071993757</v>
      </c>
    </row>
    <row r="2879" spans="1:5">
      <c r="A2879" t="s">
        <v>4497</v>
      </c>
      <c r="B2879" t="s">
        <v>963</v>
      </c>
      <c r="C2879" t="s">
        <v>995</v>
      </c>
      <c r="D2879" t="s">
        <v>7007</v>
      </c>
      <c r="E2879">
        <v>18.70845738322215</v>
      </c>
    </row>
    <row r="2880" spans="1:5">
      <c r="A2880" t="s">
        <v>4498</v>
      </c>
      <c r="B2880" t="s">
        <v>963</v>
      </c>
      <c r="C2880" t="s">
        <v>995</v>
      </c>
      <c r="D2880" t="s">
        <v>7140</v>
      </c>
      <c r="E2880">
        <v>17.17832225411546</v>
      </c>
    </row>
    <row r="2881" spans="1:5">
      <c r="A2881" t="s">
        <v>4499</v>
      </c>
      <c r="B2881" t="s">
        <v>963</v>
      </c>
      <c r="C2881" t="s">
        <v>995</v>
      </c>
      <c r="D2881" t="s">
        <v>7141</v>
      </c>
      <c r="E2881">
        <v>11.43612882392268</v>
      </c>
    </row>
    <row r="2882" spans="1:5">
      <c r="A2882" t="s">
        <v>4500</v>
      </c>
      <c r="B2882" t="s">
        <v>963</v>
      </c>
      <c r="C2882" t="s">
        <v>995</v>
      </c>
      <c r="D2882" t="s">
        <v>7142</v>
      </c>
      <c r="E2882">
        <v>11.43612882392268</v>
      </c>
    </row>
    <row r="2883" spans="1:5">
      <c r="A2883" t="s">
        <v>4336</v>
      </c>
      <c r="B2883" t="s">
        <v>963</v>
      </c>
      <c r="C2883" t="s">
        <v>995</v>
      </c>
      <c r="D2883" t="s">
        <v>996</v>
      </c>
      <c r="E2883">
        <v>352.376863</v>
      </c>
    </row>
    <row r="2884" spans="1:5">
      <c r="A2884" t="s">
        <v>4501</v>
      </c>
      <c r="B2884" t="s">
        <v>964</v>
      </c>
      <c r="C2884" t="s">
        <v>995</v>
      </c>
      <c r="D2884" t="s">
        <v>996</v>
      </c>
      <c r="E2884">
        <v>352.059698</v>
      </c>
    </row>
    <row r="2885" spans="1:5">
      <c r="A2885" t="s">
        <v>4502</v>
      </c>
      <c r="B2885" t="s">
        <v>964</v>
      </c>
      <c r="C2885" t="s">
        <v>995</v>
      </c>
      <c r="D2885" t="s">
        <v>7008</v>
      </c>
      <c r="E2885">
        <v>83.58569749340036</v>
      </c>
    </row>
    <row r="2886" spans="1:5">
      <c r="A2886" t="s">
        <v>4503</v>
      </c>
      <c r="B2886" t="s">
        <v>964</v>
      </c>
      <c r="C2886" t="s">
        <v>995</v>
      </c>
      <c r="D2886" t="s">
        <v>7009</v>
      </c>
      <c r="E2886">
        <v>4.794516313905258</v>
      </c>
    </row>
    <row r="2887" spans="1:5">
      <c r="A2887" t="s">
        <v>4504</v>
      </c>
      <c r="B2887" t="s">
        <v>964</v>
      </c>
      <c r="C2887" t="s">
        <v>995</v>
      </c>
      <c r="D2887" t="s">
        <v>7010</v>
      </c>
      <c r="E2887">
        <v>3.713883444131409</v>
      </c>
    </row>
    <row r="2888" spans="1:5">
      <c r="A2888" t="s">
        <v>4505</v>
      </c>
      <c r="B2888" t="s">
        <v>964</v>
      </c>
      <c r="C2888" t="s">
        <v>995</v>
      </c>
      <c r="D2888" t="s">
        <v>7011</v>
      </c>
      <c r="E2888">
        <v>0.833384640922358</v>
      </c>
    </row>
    <row r="2889" spans="1:5">
      <c r="A2889" t="s">
        <v>4506</v>
      </c>
      <c r="B2889" t="s">
        <v>964</v>
      </c>
      <c r="C2889" t="s">
        <v>995</v>
      </c>
      <c r="D2889" t="s">
        <v>7012</v>
      </c>
      <c r="E2889">
        <v>171.4907461846126</v>
      </c>
    </row>
    <row r="2890" spans="1:5">
      <c r="A2890" t="s">
        <v>4507</v>
      </c>
      <c r="B2890" t="s">
        <v>964</v>
      </c>
      <c r="C2890" t="s">
        <v>995</v>
      </c>
      <c r="D2890" t="s">
        <v>7013</v>
      </c>
      <c r="E2890">
        <v>0.3236515481191374</v>
      </c>
    </row>
    <row r="2891" spans="1:5">
      <c r="A2891" t="s">
        <v>4508</v>
      </c>
      <c r="B2891" t="s">
        <v>964</v>
      </c>
      <c r="C2891" t="s">
        <v>995</v>
      </c>
      <c r="D2891" t="s">
        <v>7014</v>
      </c>
      <c r="E2891">
        <v>0.2102164083407664</v>
      </c>
    </row>
    <row r="2892" spans="1:5">
      <c r="A2892" t="s">
        <v>4509</v>
      </c>
      <c r="B2892" t="s">
        <v>964</v>
      </c>
      <c r="C2892" t="s">
        <v>995</v>
      </c>
      <c r="D2892" t="s">
        <v>6981</v>
      </c>
      <c r="E2892">
        <v>215.3093862643673</v>
      </c>
    </row>
    <row r="2893" spans="1:5">
      <c r="A2893" t="s">
        <v>4510</v>
      </c>
      <c r="B2893" t="s">
        <v>964</v>
      </c>
      <c r="C2893" t="s">
        <v>995</v>
      </c>
      <c r="D2893" t="s">
        <v>7015</v>
      </c>
      <c r="E2893">
        <v>171.4907461846126</v>
      </c>
    </row>
    <row r="2894" spans="1:5">
      <c r="A2894" t="s">
        <v>4511</v>
      </c>
      <c r="B2894" t="s">
        <v>964</v>
      </c>
      <c r="C2894" t="s">
        <v>995</v>
      </c>
      <c r="D2894" t="s">
        <v>7016</v>
      </c>
      <c r="E2894">
        <v>180.4498785501466</v>
      </c>
    </row>
    <row r="2895" spans="1:5">
      <c r="A2895" t="s">
        <v>4512</v>
      </c>
      <c r="B2895" t="s">
        <v>964</v>
      </c>
      <c r="C2895" t="s">
        <v>995</v>
      </c>
      <c r="D2895" t="s">
        <v>7017</v>
      </c>
      <c r="E2895">
        <v>180.0052652837926</v>
      </c>
    </row>
    <row r="2896" spans="1:5">
      <c r="A2896" t="s">
        <v>4513</v>
      </c>
      <c r="B2896" t="s">
        <v>964</v>
      </c>
      <c r="C2896" t="s">
        <v>995</v>
      </c>
      <c r="D2896" t="s">
        <v>7018</v>
      </c>
      <c r="E2896">
        <v>153.4842417594682</v>
      </c>
    </row>
    <row r="2897" spans="1:5">
      <c r="A2897" t="s">
        <v>4514</v>
      </c>
      <c r="B2897" t="s">
        <v>964</v>
      </c>
      <c r="C2897" t="s">
        <v>995</v>
      </c>
      <c r="D2897" t="s">
        <v>7019</v>
      </c>
      <c r="E2897">
        <v>2.499350761739668</v>
      </c>
    </row>
    <row r="2898" spans="1:5">
      <c r="A2898" t="s">
        <v>4515</v>
      </c>
      <c r="B2898" t="s">
        <v>964</v>
      </c>
      <c r="C2898" t="s">
        <v>995</v>
      </c>
      <c r="D2898" t="s">
        <v>997</v>
      </c>
      <c r="E2898">
        <v>180.0052652837926</v>
      </c>
    </row>
    <row r="2899" spans="1:5">
      <c r="A2899" t="s">
        <v>4516</v>
      </c>
      <c r="B2899" t="s">
        <v>964</v>
      </c>
      <c r="C2899" t="s">
        <v>995</v>
      </c>
      <c r="D2899" t="s">
        <v>7020</v>
      </c>
      <c r="E2899">
        <v>816.406283407269</v>
      </c>
    </row>
    <row r="2900" spans="1:5">
      <c r="A2900" t="s">
        <v>4517</v>
      </c>
      <c r="B2900" t="s">
        <v>964</v>
      </c>
      <c r="C2900" t="s">
        <v>995</v>
      </c>
      <c r="D2900" t="s">
        <v>7021</v>
      </c>
      <c r="E2900">
        <v>0.1027886012325515</v>
      </c>
    </row>
    <row r="2901" spans="1:5">
      <c r="A2901" t="s">
        <v>4518</v>
      </c>
      <c r="B2901" t="s">
        <v>964</v>
      </c>
      <c r="C2901" t="s">
        <v>995</v>
      </c>
      <c r="D2901" t="s">
        <v>7022</v>
      </c>
      <c r="E2901">
        <v>306.9684835189364</v>
      </c>
    </row>
    <row r="2902" spans="1:5">
      <c r="A2902" t="s">
        <v>4519</v>
      </c>
      <c r="B2902" t="s">
        <v>964</v>
      </c>
      <c r="C2902" t="s">
        <v>995</v>
      </c>
      <c r="D2902" t="s">
        <v>7023</v>
      </c>
      <c r="E2902">
        <v>237.7242960300022</v>
      </c>
    </row>
    <row r="2903" spans="1:5">
      <c r="A2903" t="s">
        <v>4520</v>
      </c>
      <c r="B2903" t="s">
        <v>964</v>
      </c>
      <c r="C2903" t="s">
        <v>995</v>
      </c>
      <c r="D2903" t="s">
        <v>7024</v>
      </c>
      <c r="E2903">
        <v>44.18305121842342</v>
      </c>
    </row>
    <row r="2904" spans="1:5">
      <c r="A2904" t="s">
        <v>4521</v>
      </c>
      <c r="B2904" t="s">
        <v>964</v>
      </c>
      <c r="C2904" t="s">
        <v>995</v>
      </c>
      <c r="D2904" t="s">
        <v>6982</v>
      </c>
      <c r="E2904">
        <v>59.55063101970437</v>
      </c>
    </row>
    <row r="2905" spans="1:5">
      <c r="A2905" t="s">
        <v>4522</v>
      </c>
      <c r="B2905" t="s">
        <v>964</v>
      </c>
      <c r="C2905" t="s">
        <v>995</v>
      </c>
      <c r="D2905" t="s">
        <v>7025</v>
      </c>
      <c r="E2905">
        <v>306.9684835189364</v>
      </c>
    </row>
    <row r="2906" spans="1:5">
      <c r="A2906" t="s">
        <v>4523</v>
      </c>
      <c r="B2906" t="s">
        <v>964</v>
      </c>
      <c r="C2906" t="s">
        <v>995</v>
      </c>
      <c r="D2906" t="s">
        <v>7026</v>
      </c>
      <c r="E2906">
        <v>3.253968343313975</v>
      </c>
    </row>
    <row r="2907" spans="1:5">
      <c r="A2907" t="s">
        <v>4524</v>
      </c>
      <c r="B2907" t="s">
        <v>964</v>
      </c>
      <c r="C2907" t="s">
        <v>995</v>
      </c>
      <c r="D2907" t="s">
        <v>7027</v>
      </c>
      <c r="E2907">
        <v>21.42910955235364</v>
      </c>
    </row>
    <row r="2908" spans="1:5">
      <c r="A2908" t="s">
        <v>4525</v>
      </c>
      <c r="B2908" t="s">
        <v>964</v>
      </c>
      <c r="C2908" t="s">
        <v>995</v>
      </c>
      <c r="D2908" t="s">
        <v>7028</v>
      </c>
      <c r="E2908">
        <v>110.7290516972955</v>
      </c>
    </row>
    <row r="2909" spans="1:5">
      <c r="A2909" t="s">
        <v>4526</v>
      </c>
      <c r="B2909" t="s">
        <v>964</v>
      </c>
      <c r="C2909" t="s">
        <v>995</v>
      </c>
      <c r="D2909" t="s">
        <v>7029</v>
      </c>
      <c r="E2909">
        <v>153.4842417594682</v>
      </c>
    </row>
    <row r="2910" spans="1:5">
      <c r="A2910" t="s">
        <v>4527</v>
      </c>
      <c r="B2910" t="s">
        <v>964</v>
      </c>
      <c r="C2910" t="s">
        <v>995</v>
      </c>
      <c r="D2910" t="s">
        <v>6983</v>
      </c>
      <c r="E2910">
        <v>216.9217722954072</v>
      </c>
    </row>
    <row r="2911" spans="1:5">
      <c r="A2911" t="s">
        <v>4528</v>
      </c>
      <c r="B2911" t="s">
        <v>964</v>
      </c>
      <c r="C2911" t="s">
        <v>995</v>
      </c>
      <c r="D2911" t="s">
        <v>7030</v>
      </c>
      <c r="E2911">
        <v>0.1312446132732585</v>
      </c>
    </row>
    <row r="2912" spans="1:5">
      <c r="A2912" t="s">
        <v>4529</v>
      </c>
      <c r="B2912" t="s">
        <v>964</v>
      </c>
      <c r="C2912" t="s">
        <v>995</v>
      </c>
      <c r="D2912" t="s">
        <v>6984</v>
      </c>
      <c r="E2912">
        <v>380.4911372486293</v>
      </c>
    </row>
    <row r="2913" spans="1:5">
      <c r="A2913" t="s">
        <v>4530</v>
      </c>
      <c r="B2913" t="s">
        <v>964</v>
      </c>
      <c r="C2913" t="s">
        <v>995</v>
      </c>
      <c r="D2913" t="s">
        <v>7031</v>
      </c>
      <c r="E2913">
        <v>13484.74406312242</v>
      </c>
    </row>
    <row r="2914" spans="1:5">
      <c r="A2914" t="s">
        <v>4531</v>
      </c>
      <c r="B2914" t="s">
        <v>964</v>
      </c>
      <c r="C2914" t="s">
        <v>995</v>
      </c>
      <c r="D2914" t="s">
        <v>7032</v>
      </c>
      <c r="E2914">
        <v>0.3411514265104676</v>
      </c>
    </row>
    <row r="2915" spans="1:5">
      <c r="A2915" t="s">
        <v>4532</v>
      </c>
      <c r="B2915" t="s">
        <v>964</v>
      </c>
      <c r="C2915" t="s">
        <v>995</v>
      </c>
      <c r="D2915" t="s">
        <v>7033</v>
      </c>
      <c r="E2915">
        <v>45.28099009646302</v>
      </c>
    </row>
    <row r="2916" spans="1:5">
      <c r="A2916" t="s">
        <v>4533</v>
      </c>
      <c r="B2916" t="s">
        <v>964</v>
      </c>
      <c r="C2916" t="s">
        <v>995</v>
      </c>
      <c r="D2916" t="s">
        <v>6985</v>
      </c>
      <c r="E2916">
        <v>45.24885904170171</v>
      </c>
    </row>
    <row r="2917" spans="1:5">
      <c r="A2917" t="s">
        <v>4534</v>
      </c>
      <c r="B2917" t="s">
        <v>964</v>
      </c>
      <c r="C2917" t="s">
        <v>995</v>
      </c>
      <c r="D2917" t="s">
        <v>7034</v>
      </c>
      <c r="E2917">
        <v>0.08858609727016668</v>
      </c>
    </row>
    <row r="2918" spans="1:5">
      <c r="A2918" t="s">
        <v>4535</v>
      </c>
      <c r="B2918" t="s">
        <v>964</v>
      </c>
      <c r="C2918" t="s">
        <v>995</v>
      </c>
      <c r="D2918" t="s">
        <v>7035</v>
      </c>
      <c r="E2918">
        <v>0.6741806087049538</v>
      </c>
    </row>
    <row r="2919" spans="1:5">
      <c r="A2919" t="s">
        <v>4536</v>
      </c>
      <c r="B2919" t="s">
        <v>964</v>
      </c>
      <c r="C2919" t="s">
        <v>995</v>
      </c>
      <c r="D2919" t="s">
        <v>7036</v>
      </c>
      <c r="E2919">
        <v>12.79035301528126</v>
      </c>
    </row>
    <row r="2920" spans="1:5">
      <c r="A2920" t="s">
        <v>4537</v>
      </c>
      <c r="B2920" t="s">
        <v>964</v>
      </c>
      <c r="C2920" t="s">
        <v>995</v>
      </c>
      <c r="D2920" t="s">
        <v>7037</v>
      </c>
      <c r="E2920">
        <v>3.192850841155399</v>
      </c>
    </row>
    <row r="2921" spans="1:5">
      <c r="A2921" t="s">
        <v>4538</v>
      </c>
      <c r="B2921" t="s">
        <v>964</v>
      </c>
      <c r="C2921" t="s">
        <v>995</v>
      </c>
      <c r="D2921" t="s">
        <v>6986</v>
      </c>
      <c r="E2921">
        <v>14.54386655092483</v>
      </c>
    </row>
    <row r="2922" spans="1:5">
      <c r="A2922" t="s">
        <v>4539</v>
      </c>
      <c r="B2922" t="s">
        <v>964</v>
      </c>
      <c r="C2922" t="s">
        <v>995</v>
      </c>
      <c r="D2922" t="s">
        <v>7038</v>
      </c>
      <c r="E2922">
        <v>1.727249276435936</v>
      </c>
    </row>
    <row r="2923" spans="1:5">
      <c r="A2923" t="s">
        <v>4540</v>
      </c>
      <c r="B2923" t="s">
        <v>964</v>
      </c>
      <c r="C2923" t="s">
        <v>995</v>
      </c>
      <c r="D2923" t="s">
        <v>6987</v>
      </c>
      <c r="E2923">
        <v>47.17039653795843</v>
      </c>
    </row>
    <row r="2924" spans="1:5">
      <c r="A2924" t="s">
        <v>4541</v>
      </c>
      <c r="B2924" t="s">
        <v>964</v>
      </c>
      <c r="C2924" t="s">
        <v>995</v>
      </c>
      <c r="D2924" t="s">
        <v>7039</v>
      </c>
      <c r="E2924">
        <v>5.223265148542721</v>
      </c>
    </row>
    <row r="2925" spans="1:5">
      <c r="A2925" t="s">
        <v>4542</v>
      </c>
      <c r="B2925" t="s">
        <v>964</v>
      </c>
      <c r="C2925" t="s">
        <v>995</v>
      </c>
      <c r="D2925" t="s">
        <v>7040</v>
      </c>
      <c r="E2925">
        <v>2.29232013625324</v>
      </c>
    </row>
    <row r="2926" spans="1:5">
      <c r="A2926" t="s">
        <v>4543</v>
      </c>
      <c r="B2926" t="s">
        <v>964</v>
      </c>
      <c r="C2926" t="s">
        <v>995</v>
      </c>
      <c r="D2926" t="s">
        <v>7041</v>
      </c>
      <c r="E2926">
        <v>6.152274140649888</v>
      </c>
    </row>
    <row r="2927" spans="1:5">
      <c r="A2927" t="s">
        <v>4544</v>
      </c>
      <c r="B2927" t="s">
        <v>964</v>
      </c>
      <c r="C2927" t="s">
        <v>995</v>
      </c>
      <c r="D2927" t="s">
        <v>7042</v>
      </c>
      <c r="E2927">
        <v>20.4645643783626</v>
      </c>
    </row>
    <row r="2928" spans="1:5">
      <c r="A2928" t="s">
        <v>4545</v>
      </c>
      <c r="B2928" t="s">
        <v>964</v>
      </c>
      <c r="C2928" t="s">
        <v>995</v>
      </c>
      <c r="D2928" t="s">
        <v>7043</v>
      </c>
      <c r="E2928">
        <v>1.877231553191505</v>
      </c>
    </row>
    <row r="2929" spans="1:5">
      <c r="A2929" t="s">
        <v>4546</v>
      </c>
      <c r="B2929" t="s">
        <v>964</v>
      </c>
      <c r="C2929" t="s">
        <v>995</v>
      </c>
      <c r="D2929" t="s">
        <v>7044</v>
      </c>
      <c r="E2929">
        <v>136.6132405452117</v>
      </c>
    </row>
    <row r="2930" spans="1:5">
      <c r="A2930" t="s">
        <v>4547</v>
      </c>
      <c r="B2930" t="s">
        <v>964</v>
      </c>
      <c r="C2930" t="s">
        <v>995</v>
      </c>
      <c r="D2930" t="s">
        <v>7045</v>
      </c>
      <c r="E2930">
        <v>405.9593233159869</v>
      </c>
    </row>
    <row r="2931" spans="1:5">
      <c r="A2931" t="s">
        <v>4548</v>
      </c>
      <c r="B2931" t="s">
        <v>964</v>
      </c>
      <c r="C2931" t="s">
        <v>995</v>
      </c>
      <c r="D2931" t="s">
        <v>7046</v>
      </c>
      <c r="E2931">
        <v>47.17040917812667</v>
      </c>
    </row>
    <row r="2932" spans="1:5">
      <c r="A2932" t="s">
        <v>4549</v>
      </c>
      <c r="B2932" t="s">
        <v>964</v>
      </c>
      <c r="C2932" t="s">
        <v>995</v>
      </c>
      <c r="D2932" t="s">
        <v>6988</v>
      </c>
      <c r="E2932">
        <v>405.9583870964022</v>
      </c>
    </row>
    <row r="2933" spans="1:5">
      <c r="A2933" t="s">
        <v>4550</v>
      </c>
      <c r="B2933" t="s">
        <v>964</v>
      </c>
      <c r="C2933" t="s">
        <v>995</v>
      </c>
      <c r="D2933" t="s">
        <v>7047</v>
      </c>
      <c r="E2933">
        <v>115.8410817985622</v>
      </c>
    </row>
    <row r="2934" spans="1:5">
      <c r="A2934" t="s">
        <v>4551</v>
      </c>
      <c r="B2934" t="s">
        <v>964</v>
      </c>
      <c r="C2934" t="s">
        <v>995</v>
      </c>
      <c r="D2934" t="s">
        <v>7048</v>
      </c>
      <c r="E2934">
        <v>405.9593233159869</v>
      </c>
    </row>
    <row r="2935" spans="1:5">
      <c r="A2935" t="s">
        <v>4552</v>
      </c>
      <c r="B2935" t="s">
        <v>964</v>
      </c>
      <c r="C2935" t="s">
        <v>995</v>
      </c>
      <c r="D2935" t="s">
        <v>7049</v>
      </c>
      <c r="E2935">
        <v>27.28643002337632</v>
      </c>
    </row>
    <row r="2936" spans="1:5">
      <c r="A2936" t="s">
        <v>4553</v>
      </c>
      <c r="B2936" t="s">
        <v>964</v>
      </c>
      <c r="C2936" t="s">
        <v>995</v>
      </c>
      <c r="D2936" t="s">
        <v>7050</v>
      </c>
      <c r="E2936">
        <v>405.9593233159869</v>
      </c>
    </row>
    <row r="2937" spans="1:5">
      <c r="A2937" t="s">
        <v>4554</v>
      </c>
      <c r="B2937" t="s">
        <v>964</v>
      </c>
      <c r="C2937" t="s">
        <v>995</v>
      </c>
      <c r="D2937" t="s">
        <v>7051</v>
      </c>
      <c r="E2937">
        <v>4.134333107048294</v>
      </c>
    </row>
    <row r="2938" spans="1:5">
      <c r="A2938" t="s">
        <v>4555</v>
      </c>
      <c r="B2938" t="s">
        <v>964</v>
      </c>
      <c r="C2938" t="s">
        <v>995</v>
      </c>
      <c r="D2938" t="s">
        <v>7052</v>
      </c>
      <c r="E2938">
        <v>0.03498537153048219</v>
      </c>
    </row>
    <row r="2939" spans="1:5">
      <c r="A2939" t="s">
        <v>4556</v>
      </c>
      <c r="B2939" t="s">
        <v>964</v>
      </c>
      <c r="C2939" t="s">
        <v>995</v>
      </c>
      <c r="D2939" t="s">
        <v>7053</v>
      </c>
      <c r="E2939">
        <v>40.14086347055152</v>
      </c>
    </row>
    <row r="2940" spans="1:5">
      <c r="A2940" t="s">
        <v>4557</v>
      </c>
      <c r="B2940" t="s">
        <v>964</v>
      </c>
      <c r="C2940" t="s">
        <v>995</v>
      </c>
      <c r="D2940" t="s">
        <v>7054</v>
      </c>
      <c r="E2940">
        <v>1.460593460798897</v>
      </c>
    </row>
    <row r="2941" spans="1:5">
      <c r="A2941" t="s">
        <v>4558</v>
      </c>
      <c r="B2941" t="s">
        <v>964</v>
      </c>
      <c r="C2941" t="s">
        <v>995</v>
      </c>
      <c r="D2941" t="s">
        <v>6989</v>
      </c>
      <c r="E2941">
        <v>39.16910797915222</v>
      </c>
    </row>
    <row r="2942" spans="1:5">
      <c r="A2942" t="s">
        <v>4559</v>
      </c>
      <c r="B2942" t="s">
        <v>964</v>
      </c>
      <c r="C2942" t="s">
        <v>995</v>
      </c>
      <c r="D2942" t="s">
        <v>7055</v>
      </c>
      <c r="E2942">
        <v>11.44385216660074</v>
      </c>
    </row>
    <row r="2943" spans="1:5">
      <c r="A2943" t="s">
        <v>4560</v>
      </c>
      <c r="B2943" t="s">
        <v>964</v>
      </c>
      <c r="C2943" t="s">
        <v>995</v>
      </c>
      <c r="D2943" t="s">
        <v>7056</v>
      </c>
      <c r="E2943">
        <v>46.72635184816511</v>
      </c>
    </row>
    <row r="2944" spans="1:5">
      <c r="A2944" t="s">
        <v>4561</v>
      </c>
      <c r="B2944" t="s">
        <v>964</v>
      </c>
      <c r="C2944" t="s">
        <v>995</v>
      </c>
      <c r="D2944" t="s">
        <v>7057</v>
      </c>
      <c r="E2944">
        <v>2.33754610326627</v>
      </c>
    </row>
    <row r="2945" spans="1:5">
      <c r="A2945" t="s">
        <v>4562</v>
      </c>
      <c r="B2945" t="s">
        <v>964</v>
      </c>
      <c r="C2945" t="s">
        <v>995</v>
      </c>
      <c r="D2945" t="s">
        <v>6990</v>
      </c>
      <c r="E2945">
        <v>0.01727934988813197</v>
      </c>
    </row>
    <row r="2946" spans="1:5">
      <c r="A2946" t="s">
        <v>4563</v>
      </c>
      <c r="B2946" t="s">
        <v>964</v>
      </c>
      <c r="C2946" t="s">
        <v>995</v>
      </c>
      <c r="D2946" t="s">
        <v>6991</v>
      </c>
      <c r="E2946">
        <v>103.8265076031173</v>
      </c>
    </row>
    <row r="2947" spans="1:5">
      <c r="A2947" t="s">
        <v>4564</v>
      </c>
      <c r="B2947" t="s">
        <v>964</v>
      </c>
      <c r="C2947" t="s">
        <v>995</v>
      </c>
      <c r="D2947" t="s">
        <v>7058</v>
      </c>
      <c r="E2947">
        <v>405.9593233159869</v>
      </c>
    </row>
    <row r="2948" spans="1:5">
      <c r="A2948" t="s">
        <v>4565</v>
      </c>
      <c r="B2948" t="s">
        <v>964</v>
      </c>
      <c r="C2948" t="s">
        <v>995</v>
      </c>
      <c r="D2948" t="s">
        <v>6992</v>
      </c>
      <c r="E2948">
        <v>3.253966568870743</v>
      </c>
    </row>
    <row r="2949" spans="1:5">
      <c r="A2949" t="s">
        <v>4566</v>
      </c>
      <c r="B2949" t="s">
        <v>964</v>
      </c>
      <c r="C2949" t="s">
        <v>995</v>
      </c>
      <c r="D2949" t="s">
        <v>7059</v>
      </c>
      <c r="E2949">
        <v>0.2336551827503663</v>
      </c>
    </row>
    <row r="2950" spans="1:5">
      <c r="A2950" t="s">
        <v>4567</v>
      </c>
      <c r="B2950" t="s">
        <v>964</v>
      </c>
      <c r="C2950" t="s">
        <v>995</v>
      </c>
      <c r="D2950" t="s">
        <v>7060</v>
      </c>
      <c r="E2950">
        <v>0.0002235442157537541</v>
      </c>
    </row>
    <row r="2951" spans="1:5">
      <c r="A2951" t="s">
        <v>4568</v>
      </c>
      <c r="B2951" t="s">
        <v>964</v>
      </c>
      <c r="C2951" t="s">
        <v>995</v>
      </c>
      <c r="D2951" t="s">
        <v>6993</v>
      </c>
      <c r="E2951">
        <v>2.443821832143948</v>
      </c>
    </row>
    <row r="2952" spans="1:5">
      <c r="A2952" t="s">
        <v>4569</v>
      </c>
      <c r="B2952" t="s">
        <v>964</v>
      </c>
      <c r="C2952" t="s">
        <v>995</v>
      </c>
      <c r="D2952" t="s">
        <v>7061</v>
      </c>
      <c r="E2952">
        <v>405.9593233159869</v>
      </c>
    </row>
    <row r="2953" spans="1:5">
      <c r="A2953" t="s">
        <v>4570</v>
      </c>
      <c r="B2953" t="s">
        <v>964</v>
      </c>
      <c r="C2953" t="s">
        <v>995</v>
      </c>
      <c r="D2953" t="s">
        <v>7062</v>
      </c>
      <c r="E2953">
        <v>1.943517445987782</v>
      </c>
    </row>
    <row r="2954" spans="1:5">
      <c r="A2954" t="s">
        <v>4571</v>
      </c>
      <c r="B2954" t="s">
        <v>964</v>
      </c>
      <c r="C2954" t="s">
        <v>995</v>
      </c>
      <c r="D2954" t="s">
        <v>7063</v>
      </c>
      <c r="E2954">
        <v>432.9600071819821</v>
      </c>
    </row>
    <row r="2955" spans="1:5">
      <c r="A2955" t="s">
        <v>4572</v>
      </c>
      <c r="B2955" t="s">
        <v>964</v>
      </c>
      <c r="C2955" t="s">
        <v>995</v>
      </c>
      <c r="D2955" t="s">
        <v>6994</v>
      </c>
      <c r="E2955">
        <v>1.903398450402233</v>
      </c>
    </row>
    <row r="2956" spans="1:5">
      <c r="A2956" t="s">
        <v>4573</v>
      </c>
      <c r="B2956" t="s">
        <v>964</v>
      </c>
      <c r="C2956" t="s">
        <v>995</v>
      </c>
      <c r="D2956" t="s">
        <v>7064</v>
      </c>
      <c r="E2956">
        <v>2.36868311883992</v>
      </c>
    </row>
    <row r="2957" spans="1:5">
      <c r="A2957" t="s">
        <v>4574</v>
      </c>
      <c r="B2957" t="s">
        <v>964</v>
      </c>
      <c r="C2957" t="s">
        <v>995</v>
      </c>
      <c r="D2957" t="s">
        <v>7065</v>
      </c>
      <c r="E2957">
        <v>3.509826445782357</v>
      </c>
    </row>
    <row r="2958" spans="1:5">
      <c r="A2958" t="s">
        <v>4575</v>
      </c>
      <c r="B2958" t="s">
        <v>964</v>
      </c>
      <c r="C2958" t="s">
        <v>995</v>
      </c>
      <c r="D2958" t="s">
        <v>7066</v>
      </c>
      <c r="E2958">
        <v>0.07556508036689098</v>
      </c>
    </row>
    <row r="2959" spans="1:5">
      <c r="A2959" t="s">
        <v>4576</v>
      </c>
      <c r="B2959" t="s">
        <v>964</v>
      </c>
      <c r="C2959" t="s">
        <v>995</v>
      </c>
      <c r="D2959" t="s">
        <v>7067</v>
      </c>
      <c r="E2959">
        <v>215.309517941354</v>
      </c>
    </row>
    <row r="2960" spans="1:5">
      <c r="A2960" t="s">
        <v>4577</v>
      </c>
      <c r="B2960" t="s">
        <v>964</v>
      </c>
      <c r="C2960" t="s">
        <v>995</v>
      </c>
      <c r="D2960" t="s">
        <v>7068</v>
      </c>
      <c r="E2960">
        <v>0.7156153995866599</v>
      </c>
    </row>
    <row r="2961" spans="1:5">
      <c r="A2961" t="s">
        <v>4578</v>
      </c>
      <c r="B2961" t="s">
        <v>964</v>
      </c>
      <c r="C2961" t="s">
        <v>995</v>
      </c>
      <c r="D2961" t="s">
        <v>6995</v>
      </c>
      <c r="E2961">
        <v>0.200555757879343</v>
      </c>
    </row>
    <row r="2962" spans="1:5">
      <c r="A2962" t="s">
        <v>4579</v>
      </c>
      <c r="B2962" t="s">
        <v>964</v>
      </c>
      <c r="C2962" t="s">
        <v>995</v>
      </c>
      <c r="D2962" t="s">
        <v>7069</v>
      </c>
      <c r="E2962">
        <v>998.532797091132</v>
      </c>
    </row>
    <row r="2963" spans="1:5">
      <c r="A2963" t="s">
        <v>4580</v>
      </c>
      <c r="B2963" t="s">
        <v>964</v>
      </c>
      <c r="C2963" t="s">
        <v>995</v>
      </c>
      <c r="D2963" t="s">
        <v>7070</v>
      </c>
      <c r="E2963">
        <v>368.362308695957</v>
      </c>
    </row>
    <row r="2964" spans="1:5">
      <c r="A2964" t="s">
        <v>4581</v>
      </c>
      <c r="B2964" t="s">
        <v>964</v>
      </c>
      <c r="C2964" t="s">
        <v>995</v>
      </c>
      <c r="D2964" t="s">
        <v>7071</v>
      </c>
      <c r="E2964">
        <v>0.6293322173637692</v>
      </c>
    </row>
    <row r="2965" spans="1:5">
      <c r="A2965" t="s">
        <v>4582</v>
      </c>
      <c r="B2965" t="s">
        <v>964</v>
      </c>
      <c r="C2965" t="s">
        <v>995</v>
      </c>
      <c r="D2965" t="s">
        <v>7072</v>
      </c>
      <c r="E2965">
        <v>0.01391791186528413</v>
      </c>
    </row>
    <row r="2966" spans="1:5">
      <c r="A2966" t="s">
        <v>4583</v>
      </c>
      <c r="B2966" t="s">
        <v>964</v>
      </c>
      <c r="C2966" t="s">
        <v>995</v>
      </c>
      <c r="D2966" t="s">
        <v>7073</v>
      </c>
      <c r="E2966">
        <v>0.003429815287968859</v>
      </c>
    </row>
    <row r="2967" spans="1:5">
      <c r="A2967" t="s">
        <v>4584</v>
      </c>
      <c r="B2967" t="s">
        <v>964</v>
      </c>
      <c r="C2967" t="s">
        <v>995</v>
      </c>
      <c r="D2967" t="s">
        <v>7074</v>
      </c>
      <c r="E2967">
        <v>0.9196706712037962</v>
      </c>
    </row>
    <row r="2968" spans="1:5">
      <c r="A2968" t="s">
        <v>4585</v>
      </c>
      <c r="B2968" t="s">
        <v>964</v>
      </c>
      <c r="C2968" t="s">
        <v>995</v>
      </c>
      <c r="D2968" t="s">
        <v>7075</v>
      </c>
      <c r="E2968">
        <v>1.677722570526514</v>
      </c>
    </row>
    <row r="2969" spans="1:5">
      <c r="A2969" t="s">
        <v>4586</v>
      </c>
      <c r="B2969" t="s">
        <v>964</v>
      </c>
      <c r="C2969" t="s">
        <v>995</v>
      </c>
      <c r="D2969" t="s">
        <v>7076</v>
      </c>
      <c r="E2969">
        <v>18.65436150324843</v>
      </c>
    </row>
    <row r="2970" spans="1:5">
      <c r="A2970" t="s">
        <v>4587</v>
      </c>
      <c r="B2970" t="s">
        <v>964</v>
      </c>
      <c r="C2970" t="s">
        <v>995</v>
      </c>
      <c r="D2970" t="s">
        <v>7077</v>
      </c>
      <c r="E2970">
        <v>48.05243187334217</v>
      </c>
    </row>
    <row r="2971" spans="1:5">
      <c r="A2971" t="s">
        <v>4588</v>
      </c>
      <c r="B2971" t="s">
        <v>964</v>
      </c>
      <c r="C2971" t="s">
        <v>995</v>
      </c>
      <c r="D2971" t="s">
        <v>7078</v>
      </c>
      <c r="E2971">
        <v>32.96678036404511</v>
      </c>
    </row>
    <row r="2972" spans="1:5">
      <c r="A2972" t="s">
        <v>4589</v>
      </c>
      <c r="B2972" t="s">
        <v>964</v>
      </c>
      <c r="C2972" t="s">
        <v>995</v>
      </c>
      <c r="D2972" t="s">
        <v>7079</v>
      </c>
      <c r="E2972">
        <v>17.48390377974653</v>
      </c>
    </row>
    <row r="2973" spans="1:5">
      <c r="A2973" t="s">
        <v>4590</v>
      </c>
      <c r="B2973" t="s">
        <v>964</v>
      </c>
      <c r="C2973" t="s">
        <v>995</v>
      </c>
      <c r="D2973" t="s">
        <v>7080</v>
      </c>
      <c r="E2973">
        <v>0.07292876897262994</v>
      </c>
    </row>
    <row r="2974" spans="1:5">
      <c r="A2974" t="s">
        <v>4591</v>
      </c>
      <c r="B2974" t="s">
        <v>964</v>
      </c>
      <c r="C2974" t="s">
        <v>995</v>
      </c>
      <c r="D2974" t="s">
        <v>7081</v>
      </c>
      <c r="E2974">
        <v>5.713121691576198</v>
      </c>
    </row>
    <row r="2975" spans="1:5">
      <c r="A2975" t="s">
        <v>4592</v>
      </c>
      <c r="B2975" t="s">
        <v>964</v>
      </c>
      <c r="C2975" t="s">
        <v>995</v>
      </c>
      <c r="D2975" t="s">
        <v>7082</v>
      </c>
      <c r="E2975">
        <v>0.1454962960362107</v>
      </c>
    </row>
    <row r="2976" spans="1:5">
      <c r="A2976" t="s">
        <v>4593</v>
      </c>
      <c r="B2976" t="s">
        <v>964</v>
      </c>
      <c r="C2976" t="s">
        <v>995</v>
      </c>
      <c r="D2976" t="s">
        <v>7083</v>
      </c>
      <c r="E2976">
        <v>0.08634662288864769</v>
      </c>
    </row>
    <row r="2977" spans="1:5">
      <c r="A2977" t="s">
        <v>4594</v>
      </c>
      <c r="B2977" t="s">
        <v>964</v>
      </c>
      <c r="C2977" t="s">
        <v>995</v>
      </c>
      <c r="D2977" t="s">
        <v>7084</v>
      </c>
      <c r="E2977">
        <v>38.02827225051715</v>
      </c>
    </row>
    <row r="2978" spans="1:5">
      <c r="A2978" t="s">
        <v>4595</v>
      </c>
      <c r="B2978" t="s">
        <v>964</v>
      </c>
      <c r="C2978" t="s">
        <v>995</v>
      </c>
      <c r="D2978" t="s">
        <v>7085</v>
      </c>
      <c r="E2978">
        <v>7.65394723872192</v>
      </c>
    </row>
    <row r="2979" spans="1:5">
      <c r="A2979" t="s">
        <v>4596</v>
      </c>
      <c r="B2979" t="s">
        <v>964</v>
      </c>
      <c r="C2979" t="s">
        <v>995</v>
      </c>
      <c r="D2979" t="s">
        <v>7086</v>
      </c>
      <c r="E2979">
        <v>6.453567353287399</v>
      </c>
    </row>
    <row r="2980" spans="1:5">
      <c r="A2980" t="s">
        <v>4597</v>
      </c>
      <c r="B2980" t="s">
        <v>964</v>
      </c>
      <c r="C2980" t="s">
        <v>995</v>
      </c>
      <c r="D2980" t="s">
        <v>7087</v>
      </c>
      <c r="E2980">
        <v>19.78852787132174</v>
      </c>
    </row>
    <row r="2981" spans="1:5">
      <c r="A2981" t="s">
        <v>4598</v>
      </c>
      <c r="B2981" t="s">
        <v>964</v>
      </c>
      <c r="C2981" t="s">
        <v>995</v>
      </c>
      <c r="D2981" t="s">
        <v>7088</v>
      </c>
      <c r="E2981">
        <v>0.1755257835332416</v>
      </c>
    </row>
    <row r="2982" spans="1:5">
      <c r="A2982" t="s">
        <v>4599</v>
      </c>
      <c r="B2982" t="s">
        <v>964</v>
      </c>
      <c r="C2982" t="s">
        <v>995</v>
      </c>
      <c r="D2982" t="s">
        <v>6996</v>
      </c>
      <c r="E2982">
        <v>17.71025057465552</v>
      </c>
    </row>
    <row r="2983" spans="1:5">
      <c r="A2983" t="s">
        <v>4600</v>
      </c>
      <c r="B2983" t="s">
        <v>964</v>
      </c>
      <c r="C2983" t="s">
        <v>995</v>
      </c>
      <c r="D2983" t="s">
        <v>6997</v>
      </c>
      <c r="E2983">
        <v>74.25743513595033</v>
      </c>
    </row>
    <row r="2984" spans="1:5">
      <c r="A2984" t="s">
        <v>4601</v>
      </c>
      <c r="B2984" t="s">
        <v>964</v>
      </c>
      <c r="C2984" t="s">
        <v>995</v>
      </c>
      <c r="D2984" t="s">
        <v>7089</v>
      </c>
      <c r="E2984">
        <v>4.802889785276292</v>
      </c>
    </row>
    <row r="2985" spans="1:5">
      <c r="A2985" t="s">
        <v>4602</v>
      </c>
      <c r="B2985" t="s">
        <v>964</v>
      </c>
      <c r="C2985" t="s">
        <v>995</v>
      </c>
      <c r="D2985" t="s">
        <v>7090</v>
      </c>
      <c r="E2985">
        <v>18.65436150324843</v>
      </c>
    </row>
    <row r="2986" spans="1:5">
      <c r="A2986" t="s">
        <v>4603</v>
      </c>
      <c r="B2986" t="s">
        <v>964</v>
      </c>
      <c r="C2986" t="s">
        <v>995</v>
      </c>
      <c r="D2986" t="s">
        <v>7091</v>
      </c>
      <c r="E2986">
        <v>0.2275822244014812</v>
      </c>
    </row>
    <row r="2987" spans="1:5">
      <c r="A2987" t="s">
        <v>4604</v>
      </c>
      <c r="B2987" t="s">
        <v>964</v>
      </c>
      <c r="C2987" t="s">
        <v>995</v>
      </c>
      <c r="D2987" t="s">
        <v>7092</v>
      </c>
      <c r="E2987">
        <v>8.312356212653421</v>
      </c>
    </row>
    <row r="2988" spans="1:5">
      <c r="A2988" t="s">
        <v>4605</v>
      </c>
      <c r="B2988" t="s">
        <v>964</v>
      </c>
      <c r="C2988" t="s">
        <v>995</v>
      </c>
      <c r="D2988" t="s">
        <v>6998</v>
      </c>
      <c r="E2988">
        <v>31.679305916124</v>
      </c>
    </row>
    <row r="2989" spans="1:5">
      <c r="A2989" t="s">
        <v>4606</v>
      </c>
      <c r="B2989" t="s">
        <v>964</v>
      </c>
      <c r="C2989" t="s">
        <v>995</v>
      </c>
      <c r="D2989" t="s">
        <v>7093</v>
      </c>
      <c r="E2989">
        <v>2.033730212221599</v>
      </c>
    </row>
    <row r="2990" spans="1:5">
      <c r="A2990" t="s">
        <v>4607</v>
      </c>
      <c r="B2990" t="s">
        <v>964</v>
      </c>
      <c r="C2990" t="s">
        <v>995</v>
      </c>
      <c r="D2990" t="s">
        <v>6999</v>
      </c>
      <c r="E2990">
        <v>176.2348100841279</v>
      </c>
    </row>
    <row r="2991" spans="1:5">
      <c r="A2991" t="s">
        <v>4608</v>
      </c>
      <c r="B2991" t="s">
        <v>964</v>
      </c>
      <c r="C2991" t="s">
        <v>995</v>
      </c>
      <c r="D2991" t="s">
        <v>7094</v>
      </c>
      <c r="E2991">
        <v>798.3629486345093</v>
      </c>
    </row>
    <row r="2992" spans="1:5">
      <c r="A2992" t="s">
        <v>4609</v>
      </c>
      <c r="B2992" t="s">
        <v>964</v>
      </c>
      <c r="C2992" t="s">
        <v>995</v>
      </c>
      <c r="D2992" t="s">
        <v>7095</v>
      </c>
      <c r="E2992">
        <v>306.9684835189364</v>
      </c>
    </row>
    <row r="2993" spans="1:5">
      <c r="A2993" t="s">
        <v>4610</v>
      </c>
      <c r="B2993" t="s">
        <v>964</v>
      </c>
      <c r="C2993" t="s">
        <v>995</v>
      </c>
      <c r="D2993" t="s">
        <v>7096</v>
      </c>
      <c r="E2993">
        <v>90.68753139394526</v>
      </c>
    </row>
    <row r="2994" spans="1:5">
      <c r="A2994" t="s">
        <v>4611</v>
      </c>
      <c r="B2994" t="s">
        <v>964</v>
      </c>
      <c r="C2994" t="s">
        <v>995</v>
      </c>
      <c r="D2994" t="s">
        <v>7097</v>
      </c>
      <c r="E2994">
        <v>69.85817385584473</v>
      </c>
    </row>
    <row r="2995" spans="1:5">
      <c r="A2995" t="s">
        <v>4612</v>
      </c>
      <c r="B2995" t="s">
        <v>964</v>
      </c>
      <c r="C2995" t="s">
        <v>995</v>
      </c>
      <c r="D2995" t="s">
        <v>7000</v>
      </c>
      <c r="E2995">
        <v>5.056992887324641</v>
      </c>
    </row>
    <row r="2996" spans="1:5">
      <c r="A2996" t="s">
        <v>4613</v>
      </c>
      <c r="B2996" t="s">
        <v>964</v>
      </c>
      <c r="C2996" t="s">
        <v>995</v>
      </c>
      <c r="D2996" t="s">
        <v>7098</v>
      </c>
      <c r="E2996">
        <v>1.102780108972159</v>
      </c>
    </row>
    <row r="2997" spans="1:5">
      <c r="A2997" t="s">
        <v>4614</v>
      </c>
      <c r="B2997" t="s">
        <v>964</v>
      </c>
      <c r="C2997" t="s">
        <v>995</v>
      </c>
      <c r="D2997" t="s">
        <v>7001</v>
      </c>
      <c r="E2997">
        <v>82.65328833875341</v>
      </c>
    </row>
    <row r="2998" spans="1:5">
      <c r="A2998" t="s">
        <v>4615</v>
      </c>
      <c r="B2998" t="s">
        <v>964</v>
      </c>
      <c r="C2998" t="s">
        <v>995</v>
      </c>
      <c r="D2998" t="s">
        <v>7099</v>
      </c>
      <c r="E2998">
        <v>0.05045969979731044</v>
      </c>
    </row>
    <row r="2999" spans="1:5">
      <c r="A2999" t="s">
        <v>4616</v>
      </c>
      <c r="B2999" t="s">
        <v>964</v>
      </c>
      <c r="C2999" t="s">
        <v>995</v>
      </c>
      <c r="D2999" t="s">
        <v>7100</v>
      </c>
      <c r="E2999">
        <v>84.33199854264525</v>
      </c>
    </row>
    <row r="3000" spans="1:5">
      <c r="A3000" t="s">
        <v>4617</v>
      </c>
      <c r="B3000" t="s">
        <v>964</v>
      </c>
      <c r="C3000" t="s">
        <v>995</v>
      </c>
      <c r="D3000" t="s">
        <v>7002</v>
      </c>
      <c r="E3000">
        <v>67.19337684893598</v>
      </c>
    </row>
    <row r="3001" spans="1:5">
      <c r="A3001" t="s">
        <v>4618</v>
      </c>
      <c r="B3001" t="s">
        <v>964</v>
      </c>
      <c r="C3001" t="s">
        <v>995</v>
      </c>
      <c r="D3001" t="s">
        <v>7101</v>
      </c>
      <c r="E3001">
        <v>2.999050467402834</v>
      </c>
    </row>
    <row r="3002" spans="1:5">
      <c r="A3002" t="s">
        <v>4619</v>
      </c>
      <c r="B3002" t="s">
        <v>964</v>
      </c>
      <c r="C3002" t="s">
        <v>995</v>
      </c>
      <c r="D3002" t="s">
        <v>7102</v>
      </c>
      <c r="E3002">
        <v>4.182163117212154</v>
      </c>
    </row>
    <row r="3003" spans="1:5">
      <c r="A3003" t="s">
        <v>4620</v>
      </c>
      <c r="B3003" t="s">
        <v>964</v>
      </c>
      <c r="C3003" t="s">
        <v>995</v>
      </c>
      <c r="D3003" t="s">
        <v>7103</v>
      </c>
      <c r="E3003">
        <v>0.2091722772229979</v>
      </c>
    </row>
    <row r="3004" spans="1:5">
      <c r="A3004" t="s">
        <v>4621</v>
      </c>
      <c r="B3004" t="s">
        <v>964</v>
      </c>
      <c r="C3004" t="s">
        <v>995</v>
      </c>
      <c r="D3004" t="s">
        <v>7104</v>
      </c>
      <c r="E3004">
        <v>81.85826227171638</v>
      </c>
    </row>
    <row r="3005" spans="1:5">
      <c r="A3005" t="s">
        <v>4622</v>
      </c>
      <c r="B3005" t="s">
        <v>964</v>
      </c>
      <c r="C3005" t="s">
        <v>995</v>
      </c>
      <c r="D3005" t="s">
        <v>7105</v>
      </c>
      <c r="E3005">
        <v>38.58606257861125</v>
      </c>
    </row>
    <row r="3006" spans="1:5">
      <c r="A3006" t="s">
        <v>4623</v>
      </c>
      <c r="B3006" t="s">
        <v>964</v>
      </c>
      <c r="C3006" t="s">
        <v>995</v>
      </c>
      <c r="D3006" t="s">
        <v>7106</v>
      </c>
      <c r="E3006">
        <v>20.84304080369451</v>
      </c>
    </row>
    <row r="3007" spans="1:5">
      <c r="A3007" t="s">
        <v>4624</v>
      </c>
      <c r="B3007" t="s">
        <v>964</v>
      </c>
      <c r="C3007" t="s">
        <v>995</v>
      </c>
      <c r="D3007" t="s">
        <v>7107</v>
      </c>
      <c r="E3007">
        <v>0.6830685551150371</v>
      </c>
    </row>
    <row r="3008" spans="1:5">
      <c r="A3008" t="s">
        <v>4625</v>
      </c>
      <c r="B3008" t="s">
        <v>964</v>
      </c>
      <c r="C3008" t="s">
        <v>995</v>
      </c>
      <c r="D3008" t="s">
        <v>7003</v>
      </c>
      <c r="E3008">
        <v>32.04884453465959</v>
      </c>
    </row>
    <row r="3009" spans="1:5">
      <c r="A3009" t="s">
        <v>4626</v>
      </c>
      <c r="B3009" t="s">
        <v>964</v>
      </c>
      <c r="C3009" t="s">
        <v>995</v>
      </c>
      <c r="D3009" t="s">
        <v>7004</v>
      </c>
      <c r="E3009">
        <v>237.7242960300022</v>
      </c>
    </row>
    <row r="3010" spans="1:5">
      <c r="A3010" t="s">
        <v>4627</v>
      </c>
      <c r="B3010" t="s">
        <v>964</v>
      </c>
      <c r="C3010" t="s">
        <v>995</v>
      </c>
      <c r="D3010" t="s">
        <v>7108</v>
      </c>
      <c r="E3010">
        <v>405.9593233159869</v>
      </c>
    </row>
    <row r="3011" spans="1:5">
      <c r="A3011" t="s">
        <v>4628</v>
      </c>
      <c r="B3011" t="s">
        <v>964</v>
      </c>
      <c r="C3011" t="s">
        <v>995</v>
      </c>
      <c r="D3011" t="s">
        <v>7109</v>
      </c>
      <c r="E3011">
        <v>12.20964010974605</v>
      </c>
    </row>
    <row r="3012" spans="1:5">
      <c r="A3012" t="s">
        <v>4629</v>
      </c>
      <c r="B3012" t="s">
        <v>964</v>
      </c>
      <c r="C3012" t="s">
        <v>995</v>
      </c>
      <c r="D3012" t="s">
        <v>7110</v>
      </c>
      <c r="E3012">
        <v>0.01220964955410546</v>
      </c>
    </row>
    <row r="3013" spans="1:5">
      <c r="A3013" t="s">
        <v>4630</v>
      </c>
      <c r="B3013" t="s">
        <v>964</v>
      </c>
      <c r="C3013" t="s">
        <v>995</v>
      </c>
      <c r="D3013" t="s">
        <v>7111</v>
      </c>
      <c r="E3013">
        <v>0.5349212271219559</v>
      </c>
    </row>
    <row r="3014" spans="1:5">
      <c r="A3014" t="s">
        <v>4631</v>
      </c>
      <c r="B3014" t="s">
        <v>964</v>
      </c>
      <c r="C3014" t="s">
        <v>995</v>
      </c>
      <c r="D3014" t="s">
        <v>7112</v>
      </c>
      <c r="E3014">
        <v>8.117280391939138</v>
      </c>
    </row>
    <row r="3015" spans="1:5">
      <c r="A3015" t="s">
        <v>4632</v>
      </c>
      <c r="B3015" t="s">
        <v>964</v>
      </c>
      <c r="C3015" t="s">
        <v>995</v>
      </c>
      <c r="D3015" t="s">
        <v>7113</v>
      </c>
      <c r="E3015">
        <v>0.06518092410854119</v>
      </c>
    </row>
    <row r="3016" spans="1:5">
      <c r="A3016" t="s">
        <v>4633</v>
      </c>
      <c r="B3016" t="s">
        <v>964</v>
      </c>
      <c r="C3016" t="s">
        <v>995</v>
      </c>
      <c r="D3016" t="s">
        <v>7114</v>
      </c>
      <c r="E3016">
        <v>14.36978359183674</v>
      </c>
    </row>
    <row r="3017" spans="1:5">
      <c r="A3017" t="s">
        <v>4634</v>
      </c>
      <c r="B3017" t="s">
        <v>964</v>
      </c>
      <c r="C3017" t="s">
        <v>995</v>
      </c>
      <c r="D3017" t="s">
        <v>7115</v>
      </c>
      <c r="E3017">
        <v>2.698527205042238</v>
      </c>
    </row>
    <row r="3018" spans="1:5">
      <c r="A3018" t="s">
        <v>4635</v>
      </c>
      <c r="B3018" t="s">
        <v>964</v>
      </c>
      <c r="C3018" t="s">
        <v>995</v>
      </c>
      <c r="D3018" t="s">
        <v>7116</v>
      </c>
      <c r="E3018">
        <v>18.65436150324843</v>
      </c>
    </row>
    <row r="3019" spans="1:5">
      <c r="A3019" t="s">
        <v>4636</v>
      </c>
      <c r="B3019" t="s">
        <v>964</v>
      </c>
      <c r="C3019" t="s">
        <v>995</v>
      </c>
      <c r="D3019" t="s">
        <v>7005</v>
      </c>
      <c r="E3019">
        <v>9.336563183374571</v>
      </c>
    </row>
    <row r="3020" spans="1:5">
      <c r="A3020" t="s">
        <v>4637</v>
      </c>
      <c r="B3020" t="s">
        <v>964</v>
      </c>
      <c r="C3020" t="s">
        <v>995</v>
      </c>
      <c r="D3020" t="s">
        <v>7117</v>
      </c>
      <c r="E3020">
        <v>33.06704766219924</v>
      </c>
    </row>
    <row r="3021" spans="1:5">
      <c r="A3021" t="s">
        <v>4638</v>
      </c>
      <c r="B3021" t="s">
        <v>964</v>
      </c>
      <c r="C3021" t="s">
        <v>995</v>
      </c>
      <c r="D3021" t="s">
        <v>7118</v>
      </c>
      <c r="E3021">
        <v>87.76641389904485</v>
      </c>
    </row>
    <row r="3022" spans="1:5">
      <c r="A3022" t="s">
        <v>4639</v>
      </c>
      <c r="B3022" t="s">
        <v>964</v>
      </c>
      <c r="C3022" t="s">
        <v>995</v>
      </c>
      <c r="D3022" t="s">
        <v>7119</v>
      </c>
      <c r="E3022">
        <v>104.20089189126</v>
      </c>
    </row>
    <row r="3023" spans="1:5">
      <c r="A3023" t="s">
        <v>4640</v>
      </c>
      <c r="B3023" t="s">
        <v>964</v>
      </c>
      <c r="C3023" t="s">
        <v>995</v>
      </c>
      <c r="D3023" t="s">
        <v>7120</v>
      </c>
      <c r="E3023">
        <v>128.9409872714341</v>
      </c>
    </row>
    <row r="3024" spans="1:5">
      <c r="A3024" t="s">
        <v>4641</v>
      </c>
      <c r="B3024" t="s">
        <v>964</v>
      </c>
      <c r="C3024" t="s">
        <v>995</v>
      </c>
      <c r="D3024" t="s">
        <v>7006</v>
      </c>
      <c r="E3024">
        <v>6.608034893817689</v>
      </c>
    </row>
    <row r="3025" spans="1:5">
      <c r="A3025" t="s">
        <v>4642</v>
      </c>
      <c r="B3025" t="s">
        <v>964</v>
      </c>
      <c r="C3025" t="s">
        <v>995</v>
      </c>
      <c r="D3025" t="s">
        <v>7121</v>
      </c>
      <c r="E3025">
        <v>43.69717950264658</v>
      </c>
    </row>
    <row r="3026" spans="1:5">
      <c r="A3026" t="s">
        <v>4643</v>
      </c>
      <c r="B3026" t="s">
        <v>964</v>
      </c>
      <c r="C3026" t="s">
        <v>995</v>
      </c>
      <c r="D3026" t="s">
        <v>7122</v>
      </c>
      <c r="E3026">
        <v>215.309517941354</v>
      </c>
    </row>
    <row r="3027" spans="1:5">
      <c r="A3027" t="s">
        <v>4644</v>
      </c>
      <c r="B3027" t="s">
        <v>964</v>
      </c>
      <c r="C3027" t="s">
        <v>995</v>
      </c>
      <c r="D3027" t="s">
        <v>7123</v>
      </c>
      <c r="E3027">
        <v>9.705333943746783</v>
      </c>
    </row>
    <row r="3028" spans="1:5">
      <c r="A3028" t="s">
        <v>4645</v>
      </c>
      <c r="B3028" t="s">
        <v>964</v>
      </c>
      <c r="C3028" t="s">
        <v>995</v>
      </c>
      <c r="D3028" t="s">
        <v>7124</v>
      </c>
      <c r="E3028">
        <v>0.117627492025262</v>
      </c>
    </row>
    <row r="3029" spans="1:5">
      <c r="A3029" t="s">
        <v>4646</v>
      </c>
      <c r="B3029" t="s">
        <v>964</v>
      </c>
      <c r="C3029" t="s">
        <v>995</v>
      </c>
      <c r="D3029" t="s">
        <v>7125</v>
      </c>
      <c r="E3029">
        <v>6.8393861091067</v>
      </c>
    </row>
    <row r="3030" spans="1:5">
      <c r="A3030" t="s">
        <v>4647</v>
      </c>
      <c r="B3030" t="s">
        <v>964</v>
      </c>
      <c r="C3030" t="s">
        <v>995</v>
      </c>
      <c r="D3030" t="s">
        <v>7126</v>
      </c>
      <c r="E3030">
        <v>0.08486364181449955</v>
      </c>
    </row>
    <row r="3031" spans="1:5">
      <c r="A3031" t="s">
        <v>4648</v>
      </c>
      <c r="B3031" t="s">
        <v>964</v>
      </c>
      <c r="C3031" t="s">
        <v>995</v>
      </c>
      <c r="D3031" t="s">
        <v>998</v>
      </c>
      <c r="E3031">
        <v>306.9682158666938</v>
      </c>
    </row>
    <row r="3032" spans="1:5">
      <c r="A3032" t="s">
        <v>4649</v>
      </c>
      <c r="B3032" t="s">
        <v>964</v>
      </c>
      <c r="C3032" t="s">
        <v>995</v>
      </c>
      <c r="D3032" t="s">
        <v>7127</v>
      </c>
      <c r="E3032">
        <v>7.599066509372518</v>
      </c>
    </row>
    <row r="3033" spans="1:5">
      <c r="A3033" t="s">
        <v>4650</v>
      </c>
      <c r="B3033" t="s">
        <v>964</v>
      </c>
      <c r="C3033" t="s">
        <v>995</v>
      </c>
      <c r="D3033" t="s">
        <v>7128</v>
      </c>
      <c r="E3033">
        <v>0.02536795918418886</v>
      </c>
    </row>
    <row r="3034" spans="1:5">
      <c r="A3034" t="s">
        <v>4651</v>
      </c>
      <c r="B3034" t="s">
        <v>964</v>
      </c>
      <c r="C3034" t="s">
        <v>995</v>
      </c>
      <c r="D3034" t="s">
        <v>7129</v>
      </c>
      <c r="E3034">
        <v>0.5012067224899764</v>
      </c>
    </row>
    <row r="3035" spans="1:5">
      <c r="A3035" t="s">
        <v>4652</v>
      </c>
      <c r="B3035" t="s">
        <v>964</v>
      </c>
      <c r="C3035" t="s">
        <v>995</v>
      </c>
      <c r="D3035" t="s">
        <v>7130</v>
      </c>
      <c r="E3035">
        <v>0.01166707893203302</v>
      </c>
    </row>
    <row r="3036" spans="1:5">
      <c r="A3036" t="s">
        <v>4653</v>
      </c>
      <c r="B3036" t="s">
        <v>964</v>
      </c>
      <c r="C3036" t="s">
        <v>995</v>
      </c>
      <c r="D3036" t="s">
        <v>7131</v>
      </c>
      <c r="E3036">
        <v>2.587883404248795</v>
      </c>
    </row>
    <row r="3037" spans="1:5">
      <c r="A3037" t="s">
        <v>4654</v>
      </c>
      <c r="B3037" t="s">
        <v>964</v>
      </c>
      <c r="C3037" t="s">
        <v>995</v>
      </c>
      <c r="D3037" t="s">
        <v>7132</v>
      </c>
      <c r="E3037">
        <v>113.0793968622576</v>
      </c>
    </row>
    <row r="3038" spans="1:5">
      <c r="A3038" t="s">
        <v>4655</v>
      </c>
      <c r="B3038" t="s">
        <v>964</v>
      </c>
      <c r="C3038" t="s">
        <v>995</v>
      </c>
      <c r="D3038" t="s">
        <v>7133</v>
      </c>
      <c r="E3038">
        <v>0.536711549689995</v>
      </c>
    </row>
    <row r="3039" spans="1:5">
      <c r="A3039" t="s">
        <v>4656</v>
      </c>
      <c r="B3039" t="s">
        <v>964</v>
      </c>
      <c r="C3039" t="s">
        <v>995</v>
      </c>
      <c r="D3039" t="s">
        <v>7134</v>
      </c>
      <c r="E3039">
        <v>113.6920089039333</v>
      </c>
    </row>
    <row r="3040" spans="1:5">
      <c r="A3040" t="s">
        <v>4657</v>
      </c>
      <c r="B3040" t="s">
        <v>964</v>
      </c>
      <c r="C3040" t="s">
        <v>995</v>
      </c>
      <c r="D3040" t="s">
        <v>7135</v>
      </c>
      <c r="E3040">
        <v>171.4907461846126</v>
      </c>
    </row>
    <row r="3041" spans="1:5">
      <c r="A3041" t="s">
        <v>4658</v>
      </c>
      <c r="B3041" t="s">
        <v>964</v>
      </c>
      <c r="C3041" t="s">
        <v>995</v>
      </c>
      <c r="D3041" t="s">
        <v>7136</v>
      </c>
      <c r="E3041">
        <v>417.5677222696651</v>
      </c>
    </row>
    <row r="3042" spans="1:5">
      <c r="A3042" t="s">
        <v>4659</v>
      </c>
      <c r="B3042" t="s">
        <v>964</v>
      </c>
      <c r="C3042" t="s">
        <v>995</v>
      </c>
      <c r="D3042" t="s">
        <v>7137</v>
      </c>
      <c r="E3042">
        <v>0.536711549689995</v>
      </c>
    </row>
    <row r="3043" spans="1:5">
      <c r="A3043" t="s">
        <v>4660</v>
      </c>
      <c r="B3043" t="s">
        <v>964</v>
      </c>
      <c r="C3043" t="s">
        <v>995</v>
      </c>
      <c r="D3043" t="s">
        <v>7138</v>
      </c>
      <c r="E3043">
        <v>2.950253896691584</v>
      </c>
    </row>
    <row r="3044" spans="1:5">
      <c r="A3044" t="s">
        <v>4661</v>
      </c>
      <c r="B3044" t="s">
        <v>964</v>
      </c>
      <c r="C3044" t="s">
        <v>995</v>
      </c>
      <c r="D3044" t="s">
        <v>7139</v>
      </c>
      <c r="E3044">
        <v>1.282077251852126</v>
      </c>
    </row>
    <row r="3045" spans="1:5">
      <c r="A3045" t="s">
        <v>4662</v>
      </c>
      <c r="B3045" t="s">
        <v>964</v>
      </c>
      <c r="C3045" t="s">
        <v>995</v>
      </c>
      <c r="D3045" t="s">
        <v>7007</v>
      </c>
      <c r="E3045">
        <v>18.65435161898674</v>
      </c>
    </row>
    <row r="3046" spans="1:5">
      <c r="A3046" t="s">
        <v>4663</v>
      </c>
      <c r="B3046" t="s">
        <v>964</v>
      </c>
      <c r="C3046" t="s">
        <v>995</v>
      </c>
      <c r="D3046" t="s">
        <v>7140</v>
      </c>
      <c r="E3046">
        <v>17.1815515091946</v>
      </c>
    </row>
    <row r="3047" spans="1:5">
      <c r="A3047" t="s">
        <v>4664</v>
      </c>
      <c r="B3047" t="s">
        <v>964</v>
      </c>
      <c r="C3047" t="s">
        <v>995</v>
      </c>
      <c r="D3047" t="s">
        <v>7141</v>
      </c>
      <c r="E3047">
        <v>11.51342126089829</v>
      </c>
    </row>
    <row r="3048" spans="1:5">
      <c r="A3048" t="s">
        <v>4665</v>
      </c>
      <c r="B3048" t="s">
        <v>964</v>
      </c>
      <c r="C3048" t="s">
        <v>995</v>
      </c>
      <c r="D3048" t="s">
        <v>7142</v>
      </c>
      <c r="E3048">
        <v>11.51342126089829</v>
      </c>
    </row>
    <row r="3049" spans="1:5">
      <c r="A3049" t="s">
        <v>4501</v>
      </c>
      <c r="B3049" t="s">
        <v>964</v>
      </c>
      <c r="C3049" t="s">
        <v>995</v>
      </c>
      <c r="D3049" t="s">
        <v>996</v>
      </c>
      <c r="E3049">
        <v>352.059698</v>
      </c>
    </row>
    <row r="3050" spans="1:5">
      <c r="A3050" t="s">
        <v>4666</v>
      </c>
      <c r="B3050" t="s">
        <v>965</v>
      </c>
      <c r="C3050" t="s">
        <v>995</v>
      </c>
      <c r="D3050" t="s">
        <v>996</v>
      </c>
      <c r="E3050">
        <v>352.260085</v>
      </c>
    </row>
    <row r="3051" spans="1:5">
      <c r="A3051" t="s">
        <v>4667</v>
      </c>
      <c r="B3051" t="s">
        <v>965</v>
      </c>
      <c r="C3051" t="s">
        <v>995</v>
      </c>
      <c r="D3051" t="s">
        <v>7008</v>
      </c>
      <c r="E3051">
        <v>83.87264699019511</v>
      </c>
    </row>
    <row r="3052" spans="1:5">
      <c r="A3052" t="s">
        <v>4668</v>
      </c>
      <c r="B3052" t="s">
        <v>965</v>
      </c>
      <c r="C3052" t="s">
        <v>995</v>
      </c>
      <c r="D3052" t="s">
        <v>7009</v>
      </c>
      <c r="E3052">
        <v>4.819391810029378</v>
      </c>
    </row>
    <row r="3053" spans="1:5">
      <c r="A3053" t="s">
        <v>4669</v>
      </c>
      <c r="B3053" t="s">
        <v>965</v>
      </c>
      <c r="C3053" t="s">
        <v>995</v>
      </c>
      <c r="D3053" t="s">
        <v>7010</v>
      </c>
      <c r="E3053">
        <v>3.732374122809913</v>
      </c>
    </row>
    <row r="3054" spans="1:5">
      <c r="A3054" t="s">
        <v>4670</v>
      </c>
      <c r="B3054" t="s">
        <v>965</v>
      </c>
      <c r="C3054" t="s">
        <v>995</v>
      </c>
      <c r="D3054" t="s">
        <v>7011</v>
      </c>
      <c r="E3054">
        <v>0.8353483544436993</v>
      </c>
    </row>
    <row r="3055" spans="1:5">
      <c r="A3055" t="s">
        <v>4671</v>
      </c>
      <c r="B3055" t="s">
        <v>965</v>
      </c>
      <c r="C3055" t="s">
        <v>995</v>
      </c>
      <c r="D3055" t="s">
        <v>7012</v>
      </c>
      <c r="E3055">
        <v>172.0795480580359</v>
      </c>
    </row>
    <row r="3056" spans="1:5">
      <c r="A3056" t="s">
        <v>4672</v>
      </c>
      <c r="B3056" t="s">
        <v>965</v>
      </c>
      <c r="C3056" t="s">
        <v>995</v>
      </c>
      <c r="D3056" t="s">
        <v>7013</v>
      </c>
      <c r="E3056">
        <v>0.3224544234339951</v>
      </c>
    </row>
    <row r="3057" spans="1:5">
      <c r="A3057" t="s">
        <v>4673</v>
      </c>
      <c r="B3057" t="s">
        <v>965</v>
      </c>
      <c r="C3057" t="s">
        <v>995</v>
      </c>
      <c r="D3057" t="s">
        <v>7014</v>
      </c>
      <c r="E3057">
        <v>0.2113642473673301</v>
      </c>
    </row>
    <row r="3058" spans="1:5">
      <c r="A3058" t="s">
        <v>4674</v>
      </c>
      <c r="B3058" t="s">
        <v>965</v>
      </c>
      <c r="C3058" t="s">
        <v>995</v>
      </c>
      <c r="D3058" t="s">
        <v>6981</v>
      </c>
      <c r="E3058">
        <v>215.5876484819331</v>
      </c>
    </row>
    <row r="3059" spans="1:5">
      <c r="A3059" t="s">
        <v>4675</v>
      </c>
      <c r="B3059" t="s">
        <v>965</v>
      </c>
      <c r="C3059" t="s">
        <v>995</v>
      </c>
      <c r="D3059" t="s">
        <v>7015</v>
      </c>
      <c r="E3059">
        <v>172.0795480580359</v>
      </c>
    </row>
    <row r="3060" spans="1:5">
      <c r="A3060" t="s">
        <v>4676</v>
      </c>
      <c r="B3060" t="s">
        <v>965</v>
      </c>
      <c r="C3060" t="s">
        <v>995</v>
      </c>
      <c r="D3060" t="s">
        <v>7016</v>
      </c>
      <c r="E3060">
        <v>180.8566403676894</v>
      </c>
    </row>
    <row r="3061" spans="1:5">
      <c r="A3061" t="s">
        <v>4677</v>
      </c>
      <c r="B3061" t="s">
        <v>965</v>
      </c>
      <c r="C3061" t="s">
        <v>995</v>
      </c>
      <c r="D3061" t="s">
        <v>7017</v>
      </c>
      <c r="E3061">
        <v>180.1077215299898</v>
      </c>
    </row>
    <row r="3062" spans="1:5">
      <c r="A3062" t="s">
        <v>4678</v>
      </c>
      <c r="B3062" t="s">
        <v>965</v>
      </c>
      <c r="C3062" t="s">
        <v>995</v>
      </c>
      <c r="D3062" t="s">
        <v>7018</v>
      </c>
      <c r="E3062">
        <v>154.0111868599537</v>
      </c>
    </row>
    <row r="3063" spans="1:5">
      <c r="A3063" t="s">
        <v>4679</v>
      </c>
      <c r="B3063" t="s">
        <v>965</v>
      </c>
      <c r="C3063" t="s">
        <v>995</v>
      </c>
      <c r="D3063" t="s">
        <v>7019</v>
      </c>
      <c r="E3063">
        <v>2.506762710586501</v>
      </c>
    </row>
    <row r="3064" spans="1:5">
      <c r="A3064" t="s">
        <v>4680</v>
      </c>
      <c r="B3064" t="s">
        <v>965</v>
      </c>
      <c r="C3064" t="s">
        <v>995</v>
      </c>
      <c r="D3064" t="s">
        <v>997</v>
      </c>
      <c r="E3064">
        <v>180.1077215299898</v>
      </c>
    </row>
    <row r="3065" spans="1:5">
      <c r="A3065" t="s">
        <v>4681</v>
      </c>
      <c r="B3065" t="s">
        <v>965</v>
      </c>
      <c r="C3065" t="s">
        <v>995</v>
      </c>
      <c r="D3065" t="s">
        <v>7020</v>
      </c>
      <c r="E3065">
        <v>819.2075948660585</v>
      </c>
    </row>
    <row r="3066" spans="1:5">
      <c r="A3066" t="s">
        <v>4682</v>
      </c>
      <c r="B3066" t="s">
        <v>965</v>
      </c>
      <c r="C3066" t="s">
        <v>995</v>
      </c>
      <c r="D3066" t="s">
        <v>7021</v>
      </c>
      <c r="E3066">
        <v>0.1028232745011358</v>
      </c>
    </row>
    <row r="3067" spans="1:5">
      <c r="A3067" t="s">
        <v>4683</v>
      </c>
      <c r="B3067" t="s">
        <v>965</v>
      </c>
      <c r="C3067" t="s">
        <v>995</v>
      </c>
      <c r="D3067" t="s">
        <v>7022</v>
      </c>
      <c r="E3067">
        <v>308.0222390498934</v>
      </c>
    </row>
    <row r="3068" spans="1:5">
      <c r="A3068" t="s">
        <v>4684</v>
      </c>
      <c r="B3068" t="s">
        <v>965</v>
      </c>
      <c r="C3068" t="s">
        <v>995</v>
      </c>
      <c r="D3068" t="s">
        <v>7023</v>
      </c>
      <c r="E3068">
        <v>238.107204995478</v>
      </c>
    </row>
    <row r="3069" spans="1:5">
      <c r="A3069" t="s">
        <v>4685</v>
      </c>
      <c r="B3069" t="s">
        <v>965</v>
      </c>
      <c r="C3069" t="s">
        <v>995</v>
      </c>
      <c r="D3069" t="s">
        <v>7024</v>
      </c>
      <c r="E3069">
        <v>44.43987428764196</v>
      </c>
    </row>
    <row r="3070" spans="1:5">
      <c r="A3070" t="s">
        <v>4686</v>
      </c>
      <c r="B3070" t="s">
        <v>965</v>
      </c>
      <c r="C3070" t="s">
        <v>995</v>
      </c>
      <c r="D3070" t="s">
        <v>6982</v>
      </c>
      <c r="E3070">
        <v>59.78592161199615</v>
      </c>
    </row>
    <row r="3071" spans="1:5">
      <c r="A3071" t="s">
        <v>4687</v>
      </c>
      <c r="B3071" t="s">
        <v>965</v>
      </c>
      <c r="C3071" t="s">
        <v>995</v>
      </c>
      <c r="D3071" t="s">
        <v>7025</v>
      </c>
      <c r="E3071">
        <v>308.0222390498934</v>
      </c>
    </row>
    <row r="3072" spans="1:5">
      <c r="A3072" t="s">
        <v>4688</v>
      </c>
      <c r="B3072" t="s">
        <v>965</v>
      </c>
      <c r="C3072" t="s">
        <v>995</v>
      </c>
      <c r="D3072" t="s">
        <v>7026</v>
      </c>
      <c r="E3072">
        <v>3.252829425797439</v>
      </c>
    </row>
    <row r="3073" spans="1:5">
      <c r="A3073" t="s">
        <v>4689</v>
      </c>
      <c r="B3073" t="s">
        <v>965</v>
      </c>
      <c r="C3073" t="s">
        <v>995</v>
      </c>
      <c r="D3073" t="s">
        <v>7027</v>
      </c>
      <c r="E3073">
        <v>21.77974497808084</v>
      </c>
    </row>
    <row r="3074" spans="1:5">
      <c r="A3074" t="s">
        <v>4690</v>
      </c>
      <c r="B3074" t="s">
        <v>965</v>
      </c>
      <c r="C3074" t="s">
        <v>995</v>
      </c>
      <c r="D3074" t="s">
        <v>7028</v>
      </c>
      <c r="E3074">
        <v>110.1445752731023</v>
      </c>
    </row>
    <row r="3075" spans="1:5">
      <c r="A3075" t="s">
        <v>4691</v>
      </c>
      <c r="B3075" t="s">
        <v>965</v>
      </c>
      <c r="C3075" t="s">
        <v>995</v>
      </c>
      <c r="D3075" t="s">
        <v>7029</v>
      </c>
      <c r="E3075">
        <v>154.0111868599537</v>
      </c>
    </row>
    <row r="3076" spans="1:5">
      <c r="A3076" t="s">
        <v>4692</v>
      </c>
      <c r="B3076" t="s">
        <v>965</v>
      </c>
      <c r="C3076" t="s">
        <v>995</v>
      </c>
      <c r="D3076" t="s">
        <v>6983</v>
      </c>
      <c r="E3076">
        <v>217.5606635641871</v>
      </c>
    </row>
    <row r="3077" spans="1:5">
      <c r="A3077" t="s">
        <v>4693</v>
      </c>
      <c r="B3077" t="s">
        <v>965</v>
      </c>
      <c r="C3077" t="s">
        <v>995</v>
      </c>
      <c r="D3077" t="s">
        <v>7030</v>
      </c>
      <c r="E3077">
        <v>0.1329422901435496</v>
      </c>
    </row>
    <row r="3078" spans="1:5">
      <c r="A3078" t="s">
        <v>4694</v>
      </c>
      <c r="B3078" t="s">
        <v>965</v>
      </c>
      <c r="C3078" t="s">
        <v>995</v>
      </c>
      <c r="D3078" t="s">
        <v>6984</v>
      </c>
      <c r="E3078">
        <v>380.8476523265909</v>
      </c>
    </row>
    <row r="3079" spans="1:5">
      <c r="A3079" t="s">
        <v>4695</v>
      </c>
      <c r="B3079" t="s">
        <v>965</v>
      </c>
      <c r="C3079" t="s">
        <v>995</v>
      </c>
      <c r="D3079" t="s">
        <v>7031</v>
      </c>
      <c r="E3079">
        <v>13468.17377174536</v>
      </c>
    </row>
    <row r="3080" spans="1:5">
      <c r="A3080" t="s">
        <v>4696</v>
      </c>
      <c r="B3080" t="s">
        <v>965</v>
      </c>
      <c r="C3080" t="s">
        <v>995</v>
      </c>
      <c r="D3080" t="s">
        <v>7032</v>
      </c>
      <c r="E3080">
        <v>0.3407324084395867</v>
      </c>
    </row>
    <row r="3081" spans="1:5">
      <c r="A3081" t="s">
        <v>4697</v>
      </c>
      <c r="B3081" t="s">
        <v>965</v>
      </c>
      <c r="C3081" t="s">
        <v>995</v>
      </c>
      <c r="D3081" t="s">
        <v>7033</v>
      </c>
      <c r="E3081">
        <v>45.4510961497024</v>
      </c>
    </row>
    <row r="3082" spans="1:5">
      <c r="A3082" t="s">
        <v>4698</v>
      </c>
      <c r="B3082" t="s">
        <v>965</v>
      </c>
      <c r="C3082" t="s">
        <v>995</v>
      </c>
      <c r="D3082" t="s">
        <v>6985</v>
      </c>
      <c r="E3082">
        <v>45.39372663127625</v>
      </c>
    </row>
    <row r="3083" spans="1:5">
      <c r="A3083" t="s">
        <v>4699</v>
      </c>
      <c r="B3083" t="s">
        <v>965</v>
      </c>
      <c r="C3083" t="s">
        <v>995</v>
      </c>
      <c r="D3083" t="s">
        <v>7034</v>
      </c>
      <c r="E3083">
        <v>0.08903756735725037</v>
      </c>
    </row>
    <row r="3084" spans="1:5">
      <c r="A3084" t="s">
        <v>4700</v>
      </c>
      <c r="B3084" t="s">
        <v>965</v>
      </c>
      <c r="C3084" t="s">
        <v>995</v>
      </c>
      <c r="D3084" t="s">
        <v>7035</v>
      </c>
      <c r="E3084">
        <v>0.6777066273206754</v>
      </c>
    </row>
    <row r="3085" spans="1:5">
      <c r="A3085" t="s">
        <v>4701</v>
      </c>
      <c r="B3085" t="s">
        <v>965</v>
      </c>
      <c r="C3085" t="s">
        <v>995</v>
      </c>
      <c r="D3085" t="s">
        <v>7036</v>
      </c>
      <c r="E3085">
        <v>12.83426323364114</v>
      </c>
    </row>
    <row r="3086" spans="1:5">
      <c r="A3086" t="s">
        <v>4702</v>
      </c>
      <c r="B3086" t="s">
        <v>965</v>
      </c>
      <c r="C3086" t="s">
        <v>995</v>
      </c>
      <c r="D3086" t="s">
        <v>7037</v>
      </c>
      <c r="E3086">
        <v>3.194668163061715</v>
      </c>
    </row>
    <row r="3087" spans="1:5">
      <c r="A3087" t="s">
        <v>4703</v>
      </c>
      <c r="B3087" t="s">
        <v>965</v>
      </c>
      <c r="C3087" t="s">
        <v>995</v>
      </c>
      <c r="D3087" t="s">
        <v>6986</v>
      </c>
      <c r="E3087">
        <v>14.55936400897649</v>
      </c>
    </row>
    <row r="3088" spans="1:5">
      <c r="A3088" t="s">
        <v>4704</v>
      </c>
      <c r="B3088" t="s">
        <v>965</v>
      </c>
      <c r="C3088" t="s">
        <v>995</v>
      </c>
      <c r="D3088" t="s">
        <v>7038</v>
      </c>
      <c r="E3088">
        <v>1.733179100144118</v>
      </c>
    </row>
    <row r="3089" spans="1:5">
      <c r="A3089" t="s">
        <v>4705</v>
      </c>
      <c r="B3089" t="s">
        <v>965</v>
      </c>
      <c r="C3089" t="s">
        <v>995</v>
      </c>
      <c r="D3089" t="s">
        <v>6987</v>
      </c>
      <c r="E3089">
        <v>47.19709976263453</v>
      </c>
    </row>
    <row r="3090" spans="1:5">
      <c r="A3090" t="s">
        <v>4706</v>
      </c>
      <c r="B3090" t="s">
        <v>965</v>
      </c>
      <c r="C3090" t="s">
        <v>995</v>
      </c>
      <c r="D3090" t="s">
        <v>7039</v>
      </c>
      <c r="E3090">
        <v>5.260281820583308</v>
      </c>
    </row>
    <row r="3091" spans="1:5">
      <c r="A3091" t="s">
        <v>4707</v>
      </c>
      <c r="B3091" t="s">
        <v>965</v>
      </c>
      <c r="C3091" t="s">
        <v>995</v>
      </c>
      <c r="D3091" t="s">
        <v>7040</v>
      </c>
      <c r="E3091">
        <v>2.303418398673279</v>
      </c>
    </row>
    <row r="3092" spans="1:5">
      <c r="A3092" t="s">
        <v>4708</v>
      </c>
      <c r="B3092" t="s">
        <v>965</v>
      </c>
      <c r="C3092" t="s">
        <v>995</v>
      </c>
      <c r="D3092" t="s">
        <v>7041</v>
      </c>
      <c r="E3092">
        <v>6.181463678504865</v>
      </c>
    </row>
    <row r="3093" spans="1:5">
      <c r="A3093" t="s">
        <v>4709</v>
      </c>
      <c r="B3093" t="s">
        <v>965</v>
      </c>
      <c r="C3093" t="s">
        <v>995</v>
      </c>
      <c r="D3093" t="s">
        <v>7042</v>
      </c>
      <c r="E3093">
        <v>20.53482192199264</v>
      </c>
    </row>
    <row r="3094" spans="1:5">
      <c r="A3094" t="s">
        <v>4710</v>
      </c>
      <c r="B3094" t="s">
        <v>965</v>
      </c>
      <c r="C3094" t="s">
        <v>995</v>
      </c>
      <c r="D3094" t="s">
        <v>7043</v>
      </c>
      <c r="E3094">
        <v>1.914882264476836</v>
      </c>
    </row>
    <row r="3095" spans="1:5">
      <c r="A3095" t="s">
        <v>4711</v>
      </c>
      <c r="B3095" t="s">
        <v>965</v>
      </c>
      <c r="C3095" t="s">
        <v>995</v>
      </c>
      <c r="D3095" t="s">
        <v>7044</v>
      </c>
      <c r="E3095">
        <v>137.4780265862598</v>
      </c>
    </row>
    <row r="3096" spans="1:5">
      <c r="A3096" t="s">
        <v>4712</v>
      </c>
      <c r="B3096" t="s">
        <v>965</v>
      </c>
      <c r="C3096" t="s">
        <v>995</v>
      </c>
      <c r="D3096" t="s">
        <v>7045</v>
      </c>
      <c r="E3096">
        <v>407.928921071922</v>
      </c>
    </row>
    <row r="3097" spans="1:5">
      <c r="A3097" t="s">
        <v>4713</v>
      </c>
      <c r="B3097" t="s">
        <v>965</v>
      </c>
      <c r="C3097" t="s">
        <v>995</v>
      </c>
      <c r="D3097" t="s">
        <v>7046</v>
      </c>
      <c r="E3097">
        <v>47.19711240991941</v>
      </c>
    </row>
    <row r="3098" spans="1:5">
      <c r="A3098" t="s">
        <v>4714</v>
      </c>
      <c r="B3098" t="s">
        <v>965</v>
      </c>
      <c r="C3098" t="s">
        <v>995</v>
      </c>
      <c r="D3098" t="s">
        <v>6988</v>
      </c>
      <c r="E3098">
        <v>407.9275038909785</v>
      </c>
    </row>
    <row r="3099" spans="1:5">
      <c r="A3099" t="s">
        <v>4715</v>
      </c>
      <c r="B3099" t="s">
        <v>965</v>
      </c>
      <c r="C3099" t="s">
        <v>995</v>
      </c>
      <c r="D3099" t="s">
        <v>7047</v>
      </c>
      <c r="E3099">
        <v>116.1191838233549</v>
      </c>
    </row>
    <row r="3100" spans="1:5">
      <c r="A3100" t="s">
        <v>4716</v>
      </c>
      <c r="B3100" t="s">
        <v>965</v>
      </c>
      <c r="C3100" t="s">
        <v>995</v>
      </c>
      <c r="D3100" t="s">
        <v>7048</v>
      </c>
      <c r="E3100">
        <v>407.928921071922</v>
      </c>
    </row>
    <row r="3101" spans="1:5">
      <c r="A3101" t="s">
        <v>4717</v>
      </c>
      <c r="B3101" t="s">
        <v>965</v>
      </c>
      <c r="C3101" t="s">
        <v>995</v>
      </c>
      <c r="D3101" t="s">
        <v>7049</v>
      </c>
      <c r="E3101">
        <v>27.38290189816961</v>
      </c>
    </row>
    <row r="3102" spans="1:5">
      <c r="A3102" t="s">
        <v>4718</v>
      </c>
      <c r="B3102" t="s">
        <v>965</v>
      </c>
      <c r="C3102" t="s">
        <v>995</v>
      </c>
      <c r="D3102" t="s">
        <v>7050</v>
      </c>
      <c r="E3102">
        <v>407.928921071922</v>
      </c>
    </row>
    <row r="3103" spans="1:5">
      <c r="A3103" t="s">
        <v>4719</v>
      </c>
      <c r="B3103" t="s">
        <v>965</v>
      </c>
      <c r="C3103" t="s">
        <v>995</v>
      </c>
      <c r="D3103" t="s">
        <v>7051</v>
      </c>
      <c r="E3103">
        <v>4.148890324041259</v>
      </c>
    </row>
    <row r="3104" spans="1:5">
      <c r="A3104" t="s">
        <v>4720</v>
      </c>
      <c r="B3104" t="s">
        <v>965</v>
      </c>
      <c r="C3104" t="s">
        <v>995</v>
      </c>
      <c r="D3104" t="s">
        <v>7052</v>
      </c>
      <c r="E3104">
        <v>0.03507879025400747</v>
      </c>
    </row>
    <row r="3105" spans="1:5">
      <c r="A3105" t="s">
        <v>4721</v>
      </c>
      <c r="B3105" t="s">
        <v>965</v>
      </c>
      <c r="C3105" t="s">
        <v>995</v>
      </c>
      <c r="D3105" t="s">
        <v>7053</v>
      </c>
      <c r="E3105">
        <v>40.31743996106746</v>
      </c>
    </row>
    <row r="3106" spans="1:5">
      <c r="A3106" t="s">
        <v>4722</v>
      </c>
      <c r="B3106" t="s">
        <v>965</v>
      </c>
      <c r="C3106" t="s">
        <v>995</v>
      </c>
      <c r="D3106" t="s">
        <v>7054</v>
      </c>
      <c r="E3106">
        <v>1.470361722712712</v>
      </c>
    </row>
    <row r="3107" spans="1:5">
      <c r="A3107" t="s">
        <v>4723</v>
      </c>
      <c r="B3107" t="s">
        <v>965</v>
      </c>
      <c r="C3107" t="s">
        <v>995</v>
      </c>
      <c r="D3107" t="s">
        <v>6989</v>
      </c>
      <c r="E3107">
        <v>39.29510723269188</v>
      </c>
    </row>
    <row r="3108" spans="1:5">
      <c r="A3108" t="s">
        <v>4724</v>
      </c>
      <c r="B3108" t="s">
        <v>965</v>
      </c>
      <c r="C3108" t="s">
        <v>995</v>
      </c>
      <c r="D3108" t="s">
        <v>7055</v>
      </c>
      <c r="E3108">
        <v>11.49433440980526</v>
      </c>
    </row>
    <row r="3109" spans="1:5">
      <c r="A3109" t="s">
        <v>4725</v>
      </c>
      <c r="B3109" t="s">
        <v>965</v>
      </c>
      <c r="C3109" t="s">
        <v>995</v>
      </c>
      <c r="D3109" t="s">
        <v>7056</v>
      </c>
      <c r="E3109">
        <v>46.75294777357489</v>
      </c>
    </row>
    <row r="3110" spans="1:5">
      <c r="A3110" t="s">
        <v>4726</v>
      </c>
      <c r="B3110" t="s">
        <v>965</v>
      </c>
      <c r="C3110" t="s">
        <v>995</v>
      </c>
      <c r="D3110" t="s">
        <v>7057</v>
      </c>
      <c r="E3110">
        <v>2.353978145256789</v>
      </c>
    </row>
    <row r="3111" spans="1:5">
      <c r="A3111" t="s">
        <v>4727</v>
      </c>
      <c r="B3111" t="s">
        <v>965</v>
      </c>
      <c r="C3111" t="s">
        <v>995</v>
      </c>
      <c r="D3111" t="s">
        <v>6990</v>
      </c>
      <c r="E3111">
        <v>0.01723967511002336</v>
      </c>
    </row>
    <row r="3112" spans="1:5">
      <c r="A3112" t="s">
        <v>4728</v>
      </c>
      <c r="B3112" t="s">
        <v>965</v>
      </c>
      <c r="C3112" t="s">
        <v>995</v>
      </c>
      <c r="D3112" t="s">
        <v>6991</v>
      </c>
      <c r="E3112">
        <v>103.6606645745812</v>
      </c>
    </row>
    <row r="3113" spans="1:5">
      <c r="A3113" t="s">
        <v>4729</v>
      </c>
      <c r="B3113" t="s">
        <v>965</v>
      </c>
      <c r="C3113" t="s">
        <v>995</v>
      </c>
      <c r="D3113" t="s">
        <v>7058</v>
      </c>
      <c r="E3113">
        <v>407.928921071922</v>
      </c>
    </row>
    <row r="3114" spans="1:5">
      <c r="A3114" t="s">
        <v>4730</v>
      </c>
      <c r="B3114" t="s">
        <v>965</v>
      </c>
      <c r="C3114" t="s">
        <v>995</v>
      </c>
      <c r="D3114" t="s">
        <v>6992</v>
      </c>
      <c r="E3114">
        <v>3.253984615250175</v>
      </c>
    </row>
    <row r="3115" spans="1:5">
      <c r="A3115" t="s">
        <v>4731</v>
      </c>
      <c r="B3115" t="s">
        <v>965</v>
      </c>
      <c r="C3115" t="s">
        <v>995</v>
      </c>
      <c r="D3115" t="s">
        <v>7059</v>
      </c>
      <c r="E3115">
        <v>0.2348980315366328</v>
      </c>
    </row>
    <row r="3116" spans="1:5">
      <c r="A3116" t="s">
        <v>4732</v>
      </c>
      <c r="B3116" t="s">
        <v>965</v>
      </c>
      <c r="C3116" t="s">
        <v>995</v>
      </c>
      <c r="D3116" t="s">
        <v>7060</v>
      </c>
      <c r="E3116">
        <v>0.0002238471969198135</v>
      </c>
    </row>
    <row r="3117" spans="1:5">
      <c r="A3117" t="s">
        <v>4733</v>
      </c>
      <c r="B3117" t="s">
        <v>965</v>
      </c>
      <c r="C3117" t="s">
        <v>995</v>
      </c>
      <c r="D3117" t="s">
        <v>6993</v>
      </c>
      <c r="E3117">
        <v>2.446223155205586</v>
      </c>
    </row>
    <row r="3118" spans="1:5">
      <c r="A3118" t="s">
        <v>4734</v>
      </c>
      <c r="B3118" t="s">
        <v>965</v>
      </c>
      <c r="C3118" t="s">
        <v>995</v>
      </c>
      <c r="D3118" t="s">
        <v>7061</v>
      </c>
      <c r="E3118">
        <v>407.928921071922</v>
      </c>
    </row>
    <row r="3119" spans="1:5">
      <c r="A3119" t="s">
        <v>4735</v>
      </c>
      <c r="B3119" t="s">
        <v>965</v>
      </c>
      <c r="C3119" t="s">
        <v>995</v>
      </c>
      <c r="D3119" t="s">
        <v>7062</v>
      </c>
      <c r="E3119">
        <v>1.948393282530537</v>
      </c>
    </row>
    <row r="3120" spans="1:5">
      <c r="A3120" t="s">
        <v>4736</v>
      </c>
      <c r="B3120" t="s">
        <v>965</v>
      </c>
      <c r="C3120" t="s">
        <v>995</v>
      </c>
      <c r="D3120" t="s">
        <v>7063</v>
      </c>
      <c r="E3120">
        <v>434.4459662122329</v>
      </c>
    </row>
    <row r="3121" spans="1:5">
      <c r="A3121" t="s">
        <v>4737</v>
      </c>
      <c r="B3121" t="s">
        <v>965</v>
      </c>
      <c r="C3121" t="s">
        <v>995</v>
      </c>
      <c r="D3121" t="s">
        <v>6994</v>
      </c>
      <c r="E3121">
        <v>1.905802929388168</v>
      </c>
    </row>
    <row r="3122" spans="1:5">
      <c r="A3122" t="s">
        <v>4738</v>
      </c>
      <c r="B3122" t="s">
        <v>965</v>
      </c>
      <c r="C3122" t="s">
        <v>995</v>
      </c>
      <c r="D3122" t="s">
        <v>7064</v>
      </c>
      <c r="E3122">
        <v>2.376571735042338</v>
      </c>
    </row>
    <row r="3123" spans="1:5">
      <c r="A3123" t="s">
        <v>4739</v>
      </c>
      <c r="B3123" t="s">
        <v>965</v>
      </c>
      <c r="C3123" t="s">
        <v>995</v>
      </c>
      <c r="D3123" t="s">
        <v>7065</v>
      </c>
      <c r="E3123">
        <v>3.515940252785124</v>
      </c>
    </row>
    <row r="3124" spans="1:5">
      <c r="A3124" t="s">
        <v>4740</v>
      </c>
      <c r="B3124" t="s">
        <v>965</v>
      </c>
      <c r="C3124" t="s">
        <v>995</v>
      </c>
      <c r="D3124" t="s">
        <v>7066</v>
      </c>
      <c r="E3124">
        <v>0.07596702295145828</v>
      </c>
    </row>
    <row r="3125" spans="1:5">
      <c r="A3125" t="s">
        <v>4741</v>
      </c>
      <c r="B3125" t="s">
        <v>965</v>
      </c>
      <c r="C3125" t="s">
        <v>995</v>
      </c>
      <c r="D3125" t="s">
        <v>7067</v>
      </c>
      <c r="E3125">
        <v>215.5877804243943</v>
      </c>
    </row>
    <row r="3126" spans="1:5">
      <c r="A3126" t="s">
        <v>4742</v>
      </c>
      <c r="B3126" t="s">
        <v>965</v>
      </c>
      <c r="C3126" t="s">
        <v>995</v>
      </c>
      <c r="D3126" t="s">
        <v>7068</v>
      </c>
      <c r="E3126">
        <v>0.7160227169362219</v>
      </c>
    </row>
    <row r="3127" spans="1:5">
      <c r="A3127" t="s">
        <v>4743</v>
      </c>
      <c r="B3127" t="s">
        <v>965</v>
      </c>
      <c r="C3127" t="s">
        <v>995</v>
      </c>
      <c r="D3127" t="s">
        <v>6995</v>
      </c>
      <c r="E3127">
        <v>0.2001683297848866</v>
      </c>
    </row>
    <row r="3128" spans="1:5">
      <c r="A3128" t="s">
        <v>4744</v>
      </c>
      <c r="B3128" t="s">
        <v>965</v>
      </c>
      <c r="C3128" t="s">
        <v>995</v>
      </c>
      <c r="D3128" t="s">
        <v>7069</v>
      </c>
      <c r="E3128">
        <v>998.3196543603143</v>
      </c>
    </row>
    <row r="3129" spans="1:5">
      <c r="A3129" t="s">
        <v>4745</v>
      </c>
      <c r="B3129" t="s">
        <v>965</v>
      </c>
      <c r="C3129" t="s">
        <v>995</v>
      </c>
      <c r="D3129" t="s">
        <v>7070</v>
      </c>
      <c r="E3129">
        <v>369.6270100680472</v>
      </c>
    </row>
    <row r="3130" spans="1:5">
      <c r="A3130" t="s">
        <v>4746</v>
      </c>
      <c r="B3130" t="s">
        <v>965</v>
      </c>
      <c r="C3130" t="s">
        <v>995</v>
      </c>
      <c r="D3130" t="s">
        <v>7071</v>
      </c>
      <c r="E3130">
        <v>0.6321367451458043</v>
      </c>
    </row>
    <row r="3131" spans="1:5">
      <c r="A3131" t="s">
        <v>4747</v>
      </c>
      <c r="B3131" t="s">
        <v>965</v>
      </c>
      <c r="C3131" t="s">
        <v>995</v>
      </c>
      <c r="D3131" t="s">
        <v>7072</v>
      </c>
      <c r="E3131">
        <v>0.01394824986616611</v>
      </c>
    </row>
    <row r="3132" spans="1:5">
      <c r="A3132" t="s">
        <v>4748</v>
      </c>
      <c r="B3132" t="s">
        <v>965</v>
      </c>
      <c r="C3132" t="s">
        <v>995</v>
      </c>
      <c r="D3132" t="s">
        <v>7073</v>
      </c>
      <c r="E3132">
        <v>0.003441590194725388</v>
      </c>
    </row>
    <row r="3133" spans="1:5">
      <c r="A3133" t="s">
        <v>4749</v>
      </c>
      <c r="B3133" t="s">
        <v>965</v>
      </c>
      <c r="C3133" t="s">
        <v>995</v>
      </c>
      <c r="D3133" t="s">
        <v>7074</v>
      </c>
      <c r="E3133">
        <v>0.9213876466031272</v>
      </c>
    </row>
    <row r="3134" spans="1:5">
      <c r="A3134" t="s">
        <v>4750</v>
      </c>
      <c r="B3134" t="s">
        <v>965</v>
      </c>
      <c r="C3134" t="s">
        <v>995</v>
      </c>
      <c r="D3134" t="s">
        <v>7075</v>
      </c>
      <c r="E3134">
        <v>1.689120934561147</v>
      </c>
    </row>
    <row r="3135" spans="1:5">
      <c r="A3135" t="s">
        <v>4751</v>
      </c>
      <c r="B3135" t="s">
        <v>965</v>
      </c>
      <c r="C3135" t="s">
        <v>995</v>
      </c>
      <c r="D3135" t="s">
        <v>7076</v>
      </c>
      <c r="E3135">
        <v>18.78512764962039</v>
      </c>
    </row>
    <row r="3136" spans="1:5">
      <c r="A3136" t="s">
        <v>4752</v>
      </c>
      <c r="B3136" t="s">
        <v>965</v>
      </c>
      <c r="C3136" t="s">
        <v>995</v>
      </c>
      <c r="D3136" t="s">
        <v>7077</v>
      </c>
      <c r="E3136">
        <v>48.21606818631333</v>
      </c>
    </row>
    <row r="3137" spans="1:5">
      <c r="A3137" t="s">
        <v>4753</v>
      </c>
      <c r="B3137" t="s">
        <v>965</v>
      </c>
      <c r="C3137" t="s">
        <v>995</v>
      </c>
      <c r="D3137" t="s">
        <v>7078</v>
      </c>
      <c r="E3137">
        <v>32.98593373973462</v>
      </c>
    </row>
    <row r="3138" spans="1:5">
      <c r="A3138" t="s">
        <v>4754</v>
      </c>
      <c r="B3138" t="s">
        <v>965</v>
      </c>
      <c r="C3138" t="s">
        <v>995</v>
      </c>
      <c r="D3138" t="s">
        <v>7079</v>
      </c>
      <c r="E3138">
        <v>17.51759118608674</v>
      </c>
    </row>
    <row r="3139" spans="1:5">
      <c r="A3139" t="s">
        <v>4755</v>
      </c>
      <c r="B3139" t="s">
        <v>965</v>
      </c>
      <c r="C3139" t="s">
        <v>995</v>
      </c>
      <c r="D3139" t="s">
        <v>7080</v>
      </c>
      <c r="E3139">
        <v>0.07297572277424143</v>
      </c>
    </row>
    <row r="3140" spans="1:5">
      <c r="A3140" t="s">
        <v>4756</v>
      </c>
      <c r="B3140" t="s">
        <v>965</v>
      </c>
      <c r="C3140" t="s">
        <v>995</v>
      </c>
      <c r="D3140" t="s">
        <v>7081</v>
      </c>
      <c r="E3140">
        <v>5.715510941503076</v>
      </c>
    </row>
    <row r="3141" spans="1:5">
      <c r="A3141" t="s">
        <v>4757</v>
      </c>
      <c r="B3141" t="s">
        <v>965</v>
      </c>
      <c r="C3141" t="s">
        <v>995</v>
      </c>
      <c r="D3141" t="s">
        <v>7082</v>
      </c>
      <c r="E3141">
        <v>0.1462320132544771</v>
      </c>
    </row>
    <row r="3142" spans="1:5">
      <c r="A3142" t="s">
        <v>4758</v>
      </c>
      <c r="B3142" t="s">
        <v>965</v>
      </c>
      <c r="C3142" t="s">
        <v>995</v>
      </c>
      <c r="D3142" t="s">
        <v>7083</v>
      </c>
      <c r="E3142">
        <v>0.08612913833716311</v>
      </c>
    </row>
    <row r="3143" spans="1:5">
      <c r="A3143" t="s">
        <v>4759</v>
      </c>
      <c r="B3143" t="s">
        <v>965</v>
      </c>
      <c r="C3143" t="s">
        <v>995</v>
      </c>
      <c r="D3143" t="s">
        <v>7084</v>
      </c>
      <c r="E3143">
        <v>38.14612900700212</v>
      </c>
    </row>
    <row r="3144" spans="1:5">
      <c r="A3144" t="s">
        <v>4760</v>
      </c>
      <c r="B3144" t="s">
        <v>965</v>
      </c>
      <c r="C3144" t="s">
        <v>995</v>
      </c>
      <c r="D3144" t="s">
        <v>7085</v>
      </c>
      <c r="E3144">
        <v>7.705654924729555</v>
      </c>
    </row>
    <row r="3145" spans="1:5">
      <c r="A3145" t="s">
        <v>4761</v>
      </c>
      <c r="B3145" t="s">
        <v>965</v>
      </c>
      <c r="C3145" t="s">
        <v>995</v>
      </c>
      <c r="D3145" t="s">
        <v>7086</v>
      </c>
      <c r="E3145">
        <v>6.431067665053807</v>
      </c>
    </row>
    <row r="3146" spans="1:5">
      <c r="A3146" t="s">
        <v>4762</v>
      </c>
      <c r="B3146" t="s">
        <v>965</v>
      </c>
      <c r="C3146" t="s">
        <v>995</v>
      </c>
      <c r="D3146" t="s">
        <v>7087</v>
      </c>
      <c r="E3146">
        <v>19.88947274841946</v>
      </c>
    </row>
    <row r="3147" spans="1:5">
      <c r="A3147" t="s">
        <v>4763</v>
      </c>
      <c r="B3147" t="s">
        <v>965</v>
      </c>
      <c r="C3147" t="s">
        <v>995</v>
      </c>
      <c r="D3147" t="s">
        <v>7088</v>
      </c>
      <c r="E3147">
        <v>0.1763582097255339</v>
      </c>
    </row>
    <row r="3148" spans="1:5">
      <c r="A3148" t="s">
        <v>4764</v>
      </c>
      <c r="B3148" t="s">
        <v>965</v>
      </c>
      <c r="C3148" t="s">
        <v>995</v>
      </c>
      <c r="D3148" t="s">
        <v>6996</v>
      </c>
      <c r="E3148">
        <v>17.75598252367363</v>
      </c>
    </row>
    <row r="3149" spans="1:5">
      <c r="A3149" t="s">
        <v>4765</v>
      </c>
      <c r="B3149" t="s">
        <v>965</v>
      </c>
      <c r="C3149" t="s">
        <v>995</v>
      </c>
      <c r="D3149" t="s">
        <v>6997</v>
      </c>
      <c r="E3149">
        <v>74.20726058020938</v>
      </c>
    </row>
    <row r="3150" spans="1:5">
      <c r="A3150" t="s">
        <v>4766</v>
      </c>
      <c r="B3150" t="s">
        <v>965</v>
      </c>
      <c r="C3150" t="s">
        <v>995</v>
      </c>
      <c r="D3150" t="s">
        <v>7089</v>
      </c>
      <c r="E3150">
        <v>4.825047155352811</v>
      </c>
    </row>
    <row r="3151" spans="1:5">
      <c r="A3151" t="s">
        <v>4767</v>
      </c>
      <c r="B3151" t="s">
        <v>965</v>
      </c>
      <c r="C3151" t="s">
        <v>995</v>
      </c>
      <c r="D3151" t="s">
        <v>7090</v>
      </c>
      <c r="E3151">
        <v>18.78512764962039</v>
      </c>
    </row>
    <row r="3152" spans="1:5">
      <c r="A3152" t="s">
        <v>4768</v>
      </c>
      <c r="B3152" t="s">
        <v>965</v>
      </c>
      <c r="C3152" t="s">
        <v>995</v>
      </c>
      <c r="D3152" t="s">
        <v>7091</v>
      </c>
      <c r="E3152">
        <v>0.2270852067648859</v>
      </c>
    </row>
    <row r="3153" spans="1:5">
      <c r="A3153" t="s">
        <v>4769</v>
      </c>
      <c r="B3153" t="s">
        <v>965</v>
      </c>
      <c r="C3153" t="s">
        <v>995</v>
      </c>
      <c r="D3153" t="s">
        <v>7092</v>
      </c>
      <c r="E3153">
        <v>8.355161719754006</v>
      </c>
    </row>
    <row r="3154" spans="1:5">
      <c r="A3154" t="s">
        <v>4770</v>
      </c>
      <c r="B3154" t="s">
        <v>965</v>
      </c>
      <c r="C3154" t="s">
        <v>995</v>
      </c>
      <c r="D3154" t="s">
        <v>6998</v>
      </c>
      <c r="E3154">
        <v>31.78997907471564</v>
      </c>
    </row>
    <row r="3155" spans="1:5">
      <c r="A3155" t="s">
        <v>4771</v>
      </c>
      <c r="B3155" t="s">
        <v>965</v>
      </c>
      <c r="C3155" t="s">
        <v>995</v>
      </c>
      <c r="D3155" t="s">
        <v>7093</v>
      </c>
      <c r="E3155">
        <v>2.033018395816709</v>
      </c>
    </row>
    <row r="3156" spans="1:5">
      <c r="A3156" t="s">
        <v>4772</v>
      </c>
      <c r="B3156" t="s">
        <v>965</v>
      </c>
      <c r="C3156" t="s">
        <v>995</v>
      </c>
      <c r="D3156" t="s">
        <v>6999</v>
      </c>
      <c r="E3156">
        <v>176.1425486209521</v>
      </c>
    </row>
    <row r="3157" spans="1:5">
      <c r="A3157" t="s">
        <v>4773</v>
      </c>
      <c r="B3157" t="s">
        <v>965</v>
      </c>
      <c r="C3157" t="s">
        <v>995</v>
      </c>
      <c r="D3157" t="s">
        <v>7094</v>
      </c>
      <c r="E3157">
        <v>801.1045374535498</v>
      </c>
    </row>
    <row r="3158" spans="1:5">
      <c r="A3158" t="s">
        <v>4774</v>
      </c>
      <c r="B3158" t="s">
        <v>965</v>
      </c>
      <c r="C3158" t="s">
        <v>995</v>
      </c>
      <c r="D3158" t="s">
        <v>7095</v>
      </c>
      <c r="E3158">
        <v>308.0222390498934</v>
      </c>
    </row>
    <row r="3159" spans="1:5">
      <c r="A3159" t="s">
        <v>4775</v>
      </c>
      <c r="B3159" t="s">
        <v>965</v>
      </c>
      <c r="C3159" t="s">
        <v>995</v>
      </c>
      <c r="D3159" t="s">
        <v>7096</v>
      </c>
      <c r="E3159">
        <v>90.96747499079376</v>
      </c>
    </row>
    <row r="3160" spans="1:5">
      <c r="A3160" t="s">
        <v>4776</v>
      </c>
      <c r="B3160" t="s">
        <v>965</v>
      </c>
      <c r="C3160" t="s">
        <v>995</v>
      </c>
      <c r="D3160" t="s">
        <v>7097</v>
      </c>
      <c r="E3160">
        <v>69.46167412729747</v>
      </c>
    </row>
    <row r="3161" spans="1:5">
      <c r="A3161" t="s">
        <v>4777</v>
      </c>
      <c r="B3161" t="s">
        <v>965</v>
      </c>
      <c r="C3161" t="s">
        <v>995</v>
      </c>
      <c r="D3161" t="s">
        <v>7000</v>
      </c>
      <c r="E3161">
        <v>5.042897039860523</v>
      </c>
    </row>
    <row r="3162" spans="1:5">
      <c r="A3162" t="s">
        <v>4778</v>
      </c>
      <c r="B3162" t="s">
        <v>965</v>
      </c>
      <c r="C3162" t="s">
        <v>995</v>
      </c>
      <c r="D3162" t="s">
        <v>7098</v>
      </c>
      <c r="E3162">
        <v>1.107105824991296</v>
      </c>
    </row>
    <row r="3163" spans="1:5">
      <c r="A3163" t="s">
        <v>4779</v>
      </c>
      <c r="B3163" t="s">
        <v>965</v>
      </c>
      <c r="C3163" t="s">
        <v>995</v>
      </c>
      <c r="D3163" t="s">
        <v>7001</v>
      </c>
      <c r="E3163">
        <v>82.46286526667576</v>
      </c>
    </row>
    <row r="3164" spans="1:5">
      <c r="A3164" t="s">
        <v>4780</v>
      </c>
      <c r="B3164" t="s">
        <v>965</v>
      </c>
      <c r="C3164" t="s">
        <v>995</v>
      </c>
      <c r="D3164" t="s">
        <v>7099</v>
      </c>
      <c r="E3164">
        <v>0.05038249118443958</v>
      </c>
    </row>
    <row r="3165" spans="1:5">
      <c r="A3165" t="s">
        <v>4781</v>
      </c>
      <c r="B3165" t="s">
        <v>965</v>
      </c>
      <c r="C3165" t="s">
        <v>995</v>
      </c>
      <c r="D3165" t="s">
        <v>7100</v>
      </c>
      <c r="E3165">
        <v>84.62151782514151</v>
      </c>
    </row>
    <row r="3166" spans="1:5">
      <c r="A3166" t="s">
        <v>4782</v>
      </c>
      <c r="B3166" t="s">
        <v>965</v>
      </c>
      <c r="C3166" t="s">
        <v>995</v>
      </c>
      <c r="D3166" t="s">
        <v>7002</v>
      </c>
      <c r="E3166">
        <v>67.24719073239019</v>
      </c>
    </row>
    <row r="3167" spans="1:5">
      <c r="A3167" t="s">
        <v>4783</v>
      </c>
      <c r="B3167" t="s">
        <v>965</v>
      </c>
      <c r="C3167" t="s">
        <v>995</v>
      </c>
      <c r="D3167" t="s">
        <v>7101</v>
      </c>
      <c r="E3167">
        <v>3.001664651270237</v>
      </c>
    </row>
    <row r="3168" spans="1:5">
      <c r="A3168" t="s">
        <v>4784</v>
      </c>
      <c r="B3168" t="s">
        <v>965</v>
      </c>
      <c r="C3168" t="s">
        <v>995</v>
      </c>
      <c r="D3168" t="s">
        <v>7102</v>
      </c>
      <c r="E3168">
        <v>4.159638505702715</v>
      </c>
    </row>
    <row r="3169" spans="1:5">
      <c r="A3169" t="s">
        <v>4785</v>
      </c>
      <c r="B3169" t="s">
        <v>965</v>
      </c>
      <c r="C3169" t="s">
        <v>995</v>
      </c>
      <c r="D3169" t="s">
        <v>7103</v>
      </c>
      <c r="E3169">
        <v>0.2100834346702178</v>
      </c>
    </row>
    <row r="3170" spans="1:5">
      <c r="A3170" t="s">
        <v>4786</v>
      </c>
      <c r="B3170" t="s">
        <v>965</v>
      </c>
      <c r="C3170" t="s">
        <v>995</v>
      </c>
      <c r="D3170" t="s">
        <v>7104</v>
      </c>
      <c r="E3170">
        <v>82.13928768797058</v>
      </c>
    </row>
    <row r="3171" spans="1:5">
      <c r="A3171" t="s">
        <v>4787</v>
      </c>
      <c r="B3171" t="s">
        <v>965</v>
      </c>
      <c r="C3171" t="s">
        <v>995</v>
      </c>
      <c r="D3171" t="s">
        <v>7105</v>
      </c>
      <c r="E3171">
        <v>38.36186877338537</v>
      </c>
    </row>
    <row r="3172" spans="1:5">
      <c r="A3172" t="s">
        <v>4788</v>
      </c>
      <c r="B3172" t="s">
        <v>965</v>
      </c>
      <c r="C3172" t="s">
        <v>995</v>
      </c>
      <c r="D3172" t="s">
        <v>7106</v>
      </c>
      <c r="E3172">
        <v>21.41456492807465</v>
      </c>
    </row>
    <row r="3173" spans="1:5">
      <c r="A3173" t="s">
        <v>4789</v>
      </c>
      <c r="B3173" t="s">
        <v>965</v>
      </c>
      <c r="C3173" t="s">
        <v>995</v>
      </c>
      <c r="D3173" t="s">
        <v>7107</v>
      </c>
      <c r="E3173">
        <v>0.6877014705074865</v>
      </c>
    </row>
    <row r="3174" spans="1:5">
      <c r="A3174" t="s">
        <v>4790</v>
      </c>
      <c r="B3174" t="s">
        <v>965</v>
      </c>
      <c r="C3174" t="s">
        <v>995</v>
      </c>
      <c r="D3174" t="s">
        <v>7003</v>
      </c>
      <c r="E3174">
        <v>32.04236557122967</v>
      </c>
    </row>
    <row r="3175" spans="1:5">
      <c r="A3175" t="s">
        <v>4791</v>
      </c>
      <c r="B3175" t="s">
        <v>965</v>
      </c>
      <c r="C3175" t="s">
        <v>995</v>
      </c>
      <c r="D3175" t="s">
        <v>7004</v>
      </c>
      <c r="E3175">
        <v>238.1068831028376</v>
      </c>
    </row>
    <row r="3176" spans="1:5">
      <c r="A3176" t="s">
        <v>4792</v>
      </c>
      <c r="B3176" t="s">
        <v>965</v>
      </c>
      <c r="C3176" t="s">
        <v>995</v>
      </c>
      <c r="D3176" t="s">
        <v>7108</v>
      </c>
      <c r="E3176">
        <v>407.928921071922</v>
      </c>
    </row>
    <row r="3177" spans="1:5">
      <c r="A3177" t="s">
        <v>4793</v>
      </c>
      <c r="B3177" t="s">
        <v>965</v>
      </c>
      <c r="C3177" t="s">
        <v>995</v>
      </c>
      <c r="D3177" t="s">
        <v>7109</v>
      </c>
      <c r="E3177">
        <v>12.25154158934099</v>
      </c>
    </row>
    <row r="3178" spans="1:5">
      <c r="A3178" t="s">
        <v>4794</v>
      </c>
      <c r="B3178" t="s">
        <v>965</v>
      </c>
      <c r="C3178" t="s">
        <v>995</v>
      </c>
      <c r="D3178" t="s">
        <v>7110</v>
      </c>
      <c r="E3178">
        <v>0.01225147862562852</v>
      </c>
    </row>
    <row r="3179" spans="1:5">
      <c r="A3179" t="s">
        <v>4795</v>
      </c>
      <c r="B3179" t="s">
        <v>965</v>
      </c>
      <c r="C3179" t="s">
        <v>995</v>
      </c>
      <c r="D3179" t="s">
        <v>7111</v>
      </c>
      <c r="E3179">
        <v>0.5377665571632286</v>
      </c>
    </row>
    <row r="3180" spans="1:5">
      <c r="A3180" t="s">
        <v>4796</v>
      </c>
      <c r="B3180" t="s">
        <v>965</v>
      </c>
      <c r="C3180" t="s">
        <v>995</v>
      </c>
      <c r="D3180" t="s">
        <v>7112</v>
      </c>
      <c r="E3180">
        <v>8.178449732113233</v>
      </c>
    </row>
    <row r="3181" spans="1:5">
      <c r="A3181" t="s">
        <v>4797</v>
      </c>
      <c r="B3181" t="s">
        <v>965</v>
      </c>
      <c r="C3181" t="s">
        <v>995</v>
      </c>
      <c r="D3181" t="s">
        <v>7113</v>
      </c>
      <c r="E3181">
        <v>0.0653873008341786</v>
      </c>
    </row>
    <row r="3182" spans="1:5">
      <c r="A3182" t="s">
        <v>4798</v>
      </c>
      <c r="B3182" t="s">
        <v>965</v>
      </c>
      <c r="C3182" t="s">
        <v>995</v>
      </c>
      <c r="D3182" t="s">
        <v>7114</v>
      </c>
      <c r="E3182">
        <v>14.37796265306122</v>
      </c>
    </row>
    <row r="3183" spans="1:5">
      <c r="A3183" t="s">
        <v>4799</v>
      </c>
      <c r="B3183" t="s">
        <v>965</v>
      </c>
      <c r="C3183" t="s">
        <v>995</v>
      </c>
      <c r="D3183" t="s">
        <v>7115</v>
      </c>
      <c r="E3183">
        <v>2.73809771340758</v>
      </c>
    </row>
    <row r="3184" spans="1:5">
      <c r="A3184" t="s">
        <v>4800</v>
      </c>
      <c r="B3184" t="s">
        <v>965</v>
      </c>
      <c r="C3184" t="s">
        <v>995</v>
      </c>
      <c r="D3184" t="s">
        <v>7116</v>
      </c>
      <c r="E3184">
        <v>18.78512764962039</v>
      </c>
    </row>
    <row r="3185" spans="1:5">
      <c r="A3185" t="s">
        <v>4801</v>
      </c>
      <c r="B3185" t="s">
        <v>965</v>
      </c>
      <c r="C3185" t="s">
        <v>995</v>
      </c>
      <c r="D3185" t="s">
        <v>7005</v>
      </c>
      <c r="E3185">
        <v>9.348825878146766</v>
      </c>
    </row>
    <row r="3186" spans="1:5">
      <c r="A3186" t="s">
        <v>4802</v>
      </c>
      <c r="B3186" t="s">
        <v>965</v>
      </c>
      <c r="C3186" t="s">
        <v>995</v>
      </c>
      <c r="D3186" t="s">
        <v>7117</v>
      </c>
      <c r="E3186">
        <v>33.09486157912603</v>
      </c>
    </row>
    <row r="3187" spans="1:5">
      <c r="A3187" t="s">
        <v>4803</v>
      </c>
      <c r="B3187" t="s">
        <v>965</v>
      </c>
      <c r="C3187" t="s">
        <v>995</v>
      </c>
      <c r="D3187" t="s">
        <v>7118</v>
      </c>
      <c r="E3187">
        <v>87.84104853649407</v>
      </c>
    </row>
    <row r="3188" spans="1:5">
      <c r="A3188" t="s">
        <v>4804</v>
      </c>
      <c r="B3188" t="s">
        <v>965</v>
      </c>
      <c r="C3188" t="s">
        <v>995</v>
      </c>
      <c r="D3188" t="s">
        <v>7119</v>
      </c>
      <c r="E3188">
        <v>104.5267883583785</v>
      </c>
    </row>
    <row r="3189" spans="1:5">
      <c r="A3189" t="s">
        <v>4805</v>
      </c>
      <c r="B3189" t="s">
        <v>965</v>
      </c>
      <c r="C3189" t="s">
        <v>995</v>
      </c>
      <c r="D3189" t="s">
        <v>7120</v>
      </c>
      <c r="E3189">
        <v>129.0720507376957</v>
      </c>
    </row>
    <row r="3190" spans="1:5">
      <c r="A3190" t="s">
        <v>4806</v>
      </c>
      <c r="B3190" t="s">
        <v>965</v>
      </c>
      <c r="C3190" t="s">
        <v>995</v>
      </c>
      <c r="D3190" t="s">
        <v>7006</v>
      </c>
      <c r="E3190">
        <v>6.630132966450756</v>
      </c>
    </row>
    <row r="3191" spans="1:5">
      <c r="A3191" t="s">
        <v>4807</v>
      </c>
      <c r="B3191" t="s">
        <v>965</v>
      </c>
      <c r="C3191" t="s">
        <v>995</v>
      </c>
      <c r="D3191" t="s">
        <v>7121</v>
      </c>
      <c r="E3191">
        <v>41.70290305456584</v>
      </c>
    </row>
    <row r="3192" spans="1:5">
      <c r="A3192" t="s">
        <v>4808</v>
      </c>
      <c r="B3192" t="s">
        <v>965</v>
      </c>
      <c r="C3192" t="s">
        <v>995</v>
      </c>
      <c r="D3192" t="s">
        <v>7122</v>
      </c>
      <c r="E3192">
        <v>215.5877804243943</v>
      </c>
    </row>
    <row r="3193" spans="1:5">
      <c r="A3193" t="s">
        <v>4809</v>
      </c>
      <c r="B3193" t="s">
        <v>965</v>
      </c>
      <c r="C3193" t="s">
        <v>995</v>
      </c>
      <c r="D3193" t="s">
        <v>7123</v>
      </c>
      <c r="E3193">
        <v>9.731587569196927</v>
      </c>
    </row>
    <row r="3194" spans="1:5">
      <c r="A3194" t="s">
        <v>4810</v>
      </c>
      <c r="B3194" t="s">
        <v>965</v>
      </c>
      <c r="C3194" t="s">
        <v>995</v>
      </c>
      <c r="D3194" t="s">
        <v>7124</v>
      </c>
      <c r="E3194">
        <v>0.1179178933227157</v>
      </c>
    </row>
    <row r="3195" spans="1:5">
      <c r="A3195" t="s">
        <v>4811</v>
      </c>
      <c r="B3195" t="s">
        <v>965</v>
      </c>
      <c r="C3195" t="s">
        <v>995</v>
      </c>
      <c r="D3195" t="s">
        <v>7125</v>
      </c>
      <c r="E3195">
        <v>6.841918982033955</v>
      </c>
    </row>
    <row r="3196" spans="1:5">
      <c r="A3196" t="s">
        <v>4812</v>
      </c>
      <c r="B3196" t="s">
        <v>965</v>
      </c>
      <c r="C3196" t="s">
        <v>995</v>
      </c>
      <c r="D3196" t="s">
        <v>7126</v>
      </c>
      <c r="E3196">
        <v>0.08495103297249063</v>
      </c>
    </row>
    <row r="3197" spans="1:5">
      <c r="A3197" t="s">
        <v>4813</v>
      </c>
      <c r="B3197" t="s">
        <v>965</v>
      </c>
      <c r="C3197" t="s">
        <v>995</v>
      </c>
      <c r="D3197" t="s">
        <v>998</v>
      </c>
      <c r="E3197">
        <v>308.0217003710145</v>
      </c>
    </row>
    <row r="3198" spans="1:5">
      <c r="A3198" t="s">
        <v>4814</v>
      </c>
      <c r="B3198" t="s">
        <v>965</v>
      </c>
      <c r="C3198" t="s">
        <v>995</v>
      </c>
      <c r="D3198" t="s">
        <v>7127</v>
      </c>
      <c r="E3198">
        <v>7.690438235017561</v>
      </c>
    </row>
    <row r="3199" spans="1:5">
      <c r="A3199" t="s">
        <v>4815</v>
      </c>
      <c r="B3199" t="s">
        <v>965</v>
      </c>
      <c r="C3199" t="s">
        <v>995</v>
      </c>
      <c r="D3199" t="s">
        <v>7128</v>
      </c>
      <c r="E3199">
        <v>0.02543404804067381</v>
      </c>
    </row>
    <row r="3200" spans="1:5">
      <c r="A3200" t="s">
        <v>4816</v>
      </c>
      <c r="B3200" t="s">
        <v>965</v>
      </c>
      <c r="C3200" t="s">
        <v>995</v>
      </c>
      <c r="D3200" t="s">
        <v>7129</v>
      </c>
      <c r="E3200">
        <v>0.501492001697083</v>
      </c>
    </row>
    <row r="3201" spans="1:5">
      <c r="A3201" t="s">
        <v>4817</v>
      </c>
      <c r="B3201" t="s">
        <v>965</v>
      </c>
      <c r="C3201" t="s">
        <v>995</v>
      </c>
      <c r="D3201" t="s">
        <v>7130</v>
      </c>
      <c r="E3201">
        <v>0.01173584790882711</v>
      </c>
    </row>
    <row r="3202" spans="1:5">
      <c r="A3202" t="s">
        <v>4818</v>
      </c>
      <c r="B3202" t="s">
        <v>965</v>
      </c>
      <c r="C3202" t="s">
        <v>995</v>
      </c>
      <c r="D3202" t="s">
        <v>7131</v>
      </c>
      <c r="E3202">
        <v>2.595202699788143</v>
      </c>
    </row>
    <row r="3203" spans="1:5">
      <c r="A3203" t="s">
        <v>4819</v>
      </c>
      <c r="B3203" t="s">
        <v>965</v>
      </c>
      <c r="C3203" t="s">
        <v>995</v>
      </c>
      <c r="D3203" t="s">
        <v>7132</v>
      </c>
      <c r="E3203">
        <v>113.0862975434411</v>
      </c>
    </row>
    <row r="3204" spans="1:5">
      <c r="A3204" t="s">
        <v>4820</v>
      </c>
      <c r="B3204" t="s">
        <v>965</v>
      </c>
      <c r="C3204" t="s">
        <v>995</v>
      </c>
      <c r="D3204" t="s">
        <v>7133</v>
      </c>
      <c r="E3204">
        <v>0.5370170377021665</v>
      </c>
    </row>
    <row r="3205" spans="1:5">
      <c r="A3205" t="s">
        <v>4821</v>
      </c>
      <c r="B3205" t="s">
        <v>965</v>
      </c>
      <c r="C3205" t="s">
        <v>995</v>
      </c>
      <c r="D3205" t="s">
        <v>7134</v>
      </c>
      <c r="E3205">
        <v>114.0823587896767</v>
      </c>
    </row>
    <row r="3206" spans="1:5">
      <c r="A3206" t="s">
        <v>4822</v>
      </c>
      <c r="B3206" t="s">
        <v>965</v>
      </c>
      <c r="C3206" t="s">
        <v>995</v>
      </c>
      <c r="D3206" t="s">
        <v>7135</v>
      </c>
      <c r="E3206">
        <v>172.0795480580359</v>
      </c>
    </row>
    <row r="3207" spans="1:5">
      <c r="A3207" t="s">
        <v>4823</v>
      </c>
      <c r="B3207" t="s">
        <v>965</v>
      </c>
      <c r="C3207" t="s">
        <v>995</v>
      </c>
      <c r="D3207" t="s">
        <v>7136</v>
      </c>
      <c r="E3207">
        <v>417.9124609682716</v>
      </c>
    </row>
    <row r="3208" spans="1:5">
      <c r="A3208" t="s">
        <v>4824</v>
      </c>
      <c r="B3208" t="s">
        <v>965</v>
      </c>
      <c r="C3208" t="s">
        <v>995</v>
      </c>
      <c r="D3208" t="s">
        <v>7137</v>
      </c>
      <c r="E3208">
        <v>0.5370170377021665</v>
      </c>
    </row>
    <row r="3209" spans="1:5">
      <c r="A3209" t="s">
        <v>4825</v>
      </c>
      <c r="B3209" t="s">
        <v>965</v>
      </c>
      <c r="C3209" t="s">
        <v>995</v>
      </c>
      <c r="D3209" t="s">
        <v>7138</v>
      </c>
      <c r="E3209">
        <v>2.951933136124426</v>
      </c>
    </row>
    <row r="3210" spans="1:5">
      <c r="A3210" t="s">
        <v>4826</v>
      </c>
      <c r="B3210" t="s">
        <v>965</v>
      </c>
      <c r="C3210" t="s">
        <v>995</v>
      </c>
      <c r="D3210" t="s">
        <v>7139</v>
      </c>
      <c r="E3210">
        <v>1.292319258660755</v>
      </c>
    </row>
    <row r="3211" spans="1:5">
      <c r="A3211" t="s">
        <v>4827</v>
      </c>
      <c r="B3211" t="s">
        <v>965</v>
      </c>
      <c r="C3211" t="s">
        <v>995</v>
      </c>
      <c r="D3211" t="s">
        <v>7007</v>
      </c>
      <c r="E3211">
        <v>18.78509459150881</v>
      </c>
    </row>
    <row r="3212" spans="1:5">
      <c r="A3212" t="s">
        <v>4828</v>
      </c>
      <c r="B3212" t="s">
        <v>965</v>
      </c>
      <c r="C3212" t="s">
        <v>995</v>
      </c>
      <c r="D3212" t="s">
        <v>7140</v>
      </c>
      <c r="E3212">
        <v>17.20284540835138</v>
      </c>
    </row>
    <row r="3213" spans="1:5">
      <c r="A3213" t="s">
        <v>4829</v>
      </c>
      <c r="B3213" t="s">
        <v>965</v>
      </c>
      <c r="C3213" t="s">
        <v>995</v>
      </c>
      <c r="D3213" t="s">
        <v>7141</v>
      </c>
      <c r="E3213">
        <v>11.48403316826357</v>
      </c>
    </row>
    <row r="3214" spans="1:5">
      <c r="A3214" t="s">
        <v>4830</v>
      </c>
      <c r="B3214" t="s">
        <v>965</v>
      </c>
      <c r="C3214" t="s">
        <v>995</v>
      </c>
      <c r="D3214" t="s">
        <v>7142</v>
      </c>
      <c r="E3214">
        <v>11.48403316826357</v>
      </c>
    </row>
    <row r="3215" spans="1:5">
      <c r="A3215" t="s">
        <v>4666</v>
      </c>
      <c r="B3215" t="s">
        <v>965</v>
      </c>
      <c r="C3215" t="s">
        <v>995</v>
      </c>
      <c r="D3215" t="s">
        <v>996</v>
      </c>
      <c r="E3215">
        <v>352.260085</v>
      </c>
    </row>
    <row r="3216" spans="1:5">
      <c r="A3216" t="s">
        <v>4831</v>
      </c>
      <c r="B3216" t="s">
        <v>966</v>
      </c>
      <c r="C3216" t="s">
        <v>995</v>
      </c>
      <c r="D3216" t="s">
        <v>996</v>
      </c>
      <c r="E3216">
        <v>355.043551</v>
      </c>
    </row>
    <row r="3217" spans="1:5">
      <c r="A3217" t="s">
        <v>4832</v>
      </c>
      <c r="B3217" t="s">
        <v>966</v>
      </c>
      <c r="C3217" t="s">
        <v>995</v>
      </c>
      <c r="D3217" t="s">
        <v>7008</v>
      </c>
      <c r="E3217">
        <v>84.87767065909347</v>
      </c>
    </row>
    <row r="3218" spans="1:5">
      <c r="A3218" t="s">
        <v>4833</v>
      </c>
      <c r="B3218" t="s">
        <v>966</v>
      </c>
      <c r="C3218" t="s">
        <v>995</v>
      </c>
      <c r="D3218" t="s">
        <v>7009</v>
      </c>
      <c r="E3218">
        <v>4.866742603211907</v>
      </c>
    </row>
    <row r="3219" spans="1:5">
      <c r="A3219" t="s">
        <v>4834</v>
      </c>
      <c r="B3219" t="s">
        <v>966</v>
      </c>
      <c r="C3219" t="s">
        <v>995</v>
      </c>
      <c r="D3219" t="s">
        <v>7010</v>
      </c>
      <c r="E3219">
        <v>3.76201100915487</v>
      </c>
    </row>
    <row r="3220" spans="1:5">
      <c r="A3220" t="s">
        <v>4835</v>
      </c>
      <c r="B3220" t="s">
        <v>966</v>
      </c>
      <c r="C3220" t="s">
        <v>995</v>
      </c>
      <c r="D3220" t="s">
        <v>7011</v>
      </c>
      <c r="E3220">
        <v>0.8453909697213193</v>
      </c>
    </row>
    <row r="3221" spans="1:5">
      <c r="A3221" t="s">
        <v>4836</v>
      </c>
      <c r="B3221" t="s">
        <v>966</v>
      </c>
      <c r="C3221" t="s">
        <v>995</v>
      </c>
      <c r="D3221" t="s">
        <v>7012</v>
      </c>
      <c r="E3221">
        <v>174.1415145608592</v>
      </c>
    </row>
    <row r="3222" spans="1:5">
      <c r="A3222" t="s">
        <v>4837</v>
      </c>
      <c r="B3222" t="s">
        <v>966</v>
      </c>
      <c r="C3222" t="s">
        <v>995</v>
      </c>
      <c r="D3222" t="s">
        <v>7013</v>
      </c>
      <c r="E3222">
        <v>0.3274858792012879</v>
      </c>
    </row>
    <row r="3223" spans="1:5">
      <c r="A3223" t="s">
        <v>4838</v>
      </c>
      <c r="B3223" t="s">
        <v>966</v>
      </c>
      <c r="C3223" t="s">
        <v>995</v>
      </c>
      <c r="D3223" t="s">
        <v>7014</v>
      </c>
      <c r="E3223">
        <v>0.2120622644322782</v>
      </c>
    </row>
    <row r="3224" spans="1:5">
      <c r="A3224" t="s">
        <v>4839</v>
      </c>
      <c r="B3224" t="s">
        <v>966</v>
      </c>
      <c r="C3224" t="s">
        <v>995</v>
      </c>
      <c r="D3224" t="s">
        <v>6981</v>
      </c>
      <c r="E3224">
        <v>215.8486101966535</v>
      </c>
    </row>
    <row r="3225" spans="1:5">
      <c r="A3225" t="s">
        <v>4840</v>
      </c>
      <c r="B3225" t="s">
        <v>966</v>
      </c>
      <c r="C3225" t="s">
        <v>995</v>
      </c>
      <c r="D3225" t="s">
        <v>7015</v>
      </c>
      <c r="E3225">
        <v>174.1415145608592</v>
      </c>
    </row>
    <row r="3226" spans="1:5">
      <c r="A3226" t="s">
        <v>4841</v>
      </c>
      <c r="B3226" t="s">
        <v>966</v>
      </c>
      <c r="C3226" t="s">
        <v>995</v>
      </c>
      <c r="D3226" t="s">
        <v>7016</v>
      </c>
      <c r="E3226">
        <v>183.0003484311578</v>
      </c>
    </row>
    <row r="3227" spans="1:5">
      <c r="A3227" t="s">
        <v>4842</v>
      </c>
      <c r="B3227" t="s">
        <v>966</v>
      </c>
      <c r="C3227" t="s">
        <v>995</v>
      </c>
      <c r="D3227" t="s">
        <v>7017</v>
      </c>
      <c r="E3227">
        <v>181.5308850973755</v>
      </c>
    </row>
    <row r="3228" spans="1:5">
      <c r="A3228" t="s">
        <v>4843</v>
      </c>
      <c r="B3228" t="s">
        <v>966</v>
      </c>
      <c r="C3228" t="s">
        <v>995</v>
      </c>
      <c r="D3228" t="s">
        <v>7018</v>
      </c>
      <c r="E3228">
        <v>155.8566150164134</v>
      </c>
    </row>
    <row r="3229" spans="1:5">
      <c r="A3229" t="s">
        <v>4844</v>
      </c>
      <c r="B3229" t="s">
        <v>966</v>
      </c>
      <c r="C3229" t="s">
        <v>995</v>
      </c>
      <c r="D3229" t="s">
        <v>7019</v>
      </c>
      <c r="E3229">
        <v>2.53678774148168</v>
      </c>
    </row>
    <row r="3230" spans="1:5">
      <c r="A3230" t="s">
        <v>4845</v>
      </c>
      <c r="B3230" t="s">
        <v>966</v>
      </c>
      <c r="C3230" t="s">
        <v>995</v>
      </c>
      <c r="D3230" t="s">
        <v>997</v>
      </c>
      <c r="E3230">
        <v>181.5308850973755</v>
      </c>
    </row>
    <row r="3231" spans="1:5">
      <c r="A3231" t="s">
        <v>4846</v>
      </c>
      <c r="B3231" t="s">
        <v>966</v>
      </c>
      <c r="C3231" t="s">
        <v>995</v>
      </c>
      <c r="D3231" t="s">
        <v>7020</v>
      </c>
      <c r="E3231">
        <v>829.0238355978863</v>
      </c>
    </row>
    <row r="3232" spans="1:5">
      <c r="A3232" t="s">
        <v>4847</v>
      </c>
      <c r="B3232" t="s">
        <v>966</v>
      </c>
      <c r="C3232" t="s">
        <v>995</v>
      </c>
      <c r="D3232" t="s">
        <v>7021</v>
      </c>
      <c r="E3232">
        <v>0.1039254567787247</v>
      </c>
    </row>
    <row r="3233" spans="1:5">
      <c r="A3233" t="s">
        <v>4848</v>
      </c>
      <c r="B3233" t="s">
        <v>966</v>
      </c>
      <c r="C3233" t="s">
        <v>995</v>
      </c>
      <c r="D3233" t="s">
        <v>7022</v>
      </c>
      <c r="E3233">
        <v>311.7132300328268</v>
      </c>
    </row>
    <row r="3234" spans="1:5">
      <c r="A3234" t="s">
        <v>4849</v>
      </c>
      <c r="B3234" t="s">
        <v>966</v>
      </c>
      <c r="C3234" t="s">
        <v>995</v>
      </c>
      <c r="D3234" t="s">
        <v>7023</v>
      </c>
      <c r="E3234">
        <v>240.4697939257331</v>
      </c>
    </row>
    <row r="3235" spans="1:5">
      <c r="A3235" t="s">
        <v>4850</v>
      </c>
      <c r="B3235" t="s">
        <v>966</v>
      </c>
      <c r="C3235" t="s">
        <v>995</v>
      </c>
      <c r="D3235" t="s">
        <v>7024</v>
      </c>
      <c r="E3235">
        <v>44.9772355694623</v>
      </c>
    </row>
    <row r="3236" spans="1:5">
      <c r="A3236" t="s">
        <v>4851</v>
      </c>
      <c r="B3236" t="s">
        <v>966</v>
      </c>
      <c r="C3236" t="s">
        <v>995</v>
      </c>
      <c r="D3236" t="s">
        <v>6982</v>
      </c>
      <c r="E3236">
        <v>60.25288359535597</v>
      </c>
    </row>
    <row r="3237" spans="1:5">
      <c r="A3237" t="s">
        <v>4852</v>
      </c>
      <c r="B3237" t="s">
        <v>966</v>
      </c>
      <c r="C3237" t="s">
        <v>995</v>
      </c>
      <c r="D3237" t="s">
        <v>7025</v>
      </c>
      <c r="E3237">
        <v>311.7132300328268</v>
      </c>
    </row>
    <row r="3238" spans="1:5">
      <c r="A3238" t="s">
        <v>4853</v>
      </c>
      <c r="B3238" t="s">
        <v>966</v>
      </c>
      <c r="C3238" t="s">
        <v>995</v>
      </c>
      <c r="D3238" t="s">
        <v>7026</v>
      </c>
      <c r="E3238">
        <v>3.291154080153651</v>
      </c>
    </row>
    <row r="3239" spans="1:5">
      <c r="A3239" t="s">
        <v>4854</v>
      </c>
      <c r="B3239" t="s">
        <v>966</v>
      </c>
      <c r="C3239" t="s">
        <v>995</v>
      </c>
      <c r="D3239" t="s">
        <v>7027</v>
      </c>
      <c r="E3239">
        <v>22.17520932078982</v>
      </c>
    </row>
    <row r="3240" spans="1:5">
      <c r="A3240" t="s">
        <v>4855</v>
      </c>
      <c r="B3240" t="s">
        <v>966</v>
      </c>
      <c r="C3240" t="s">
        <v>995</v>
      </c>
      <c r="D3240" t="s">
        <v>7028</v>
      </c>
      <c r="E3240">
        <v>110.7993146264617</v>
      </c>
    </row>
    <row r="3241" spans="1:5">
      <c r="A3241" t="s">
        <v>4856</v>
      </c>
      <c r="B3241" t="s">
        <v>966</v>
      </c>
      <c r="C3241" t="s">
        <v>995</v>
      </c>
      <c r="D3241" t="s">
        <v>7029</v>
      </c>
      <c r="E3241">
        <v>155.8566150164134</v>
      </c>
    </row>
    <row r="3242" spans="1:5">
      <c r="A3242" t="s">
        <v>4857</v>
      </c>
      <c r="B3242" t="s">
        <v>966</v>
      </c>
      <c r="C3242" t="s">
        <v>995</v>
      </c>
      <c r="D3242" t="s">
        <v>6983</v>
      </c>
      <c r="E3242">
        <v>219.58301106006</v>
      </c>
    </row>
    <row r="3243" spans="1:5">
      <c r="A3243" t="s">
        <v>4858</v>
      </c>
      <c r="B3243" t="s">
        <v>966</v>
      </c>
      <c r="C3243" t="s">
        <v>995</v>
      </c>
      <c r="D3243" t="s">
        <v>7030</v>
      </c>
      <c r="E3243">
        <v>0.1353489589912241</v>
      </c>
    </row>
    <row r="3244" spans="1:5">
      <c r="A3244" t="s">
        <v>4859</v>
      </c>
      <c r="B3244" t="s">
        <v>966</v>
      </c>
      <c r="C3244" t="s">
        <v>995</v>
      </c>
      <c r="D3244" t="s">
        <v>6984</v>
      </c>
      <c r="E3244">
        <v>385.0463636560819</v>
      </c>
    </row>
    <row r="3245" spans="1:5">
      <c r="A3245" t="s">
        <v>4860</v>
      </c>
      <c r="B3245" t="s">
        <v>966</v>
      </c>
      <c r="C3245" t="s">
        <v>995</v>
      </c>
      <c r="D3245" t="s">
        <v>7031</v>
      </c>
      <c r="E3245">
        <v>13571.48239746187</v>
      </c>
    </row>
    <row r="3246" spans="1:5">
      <c r="A3246" t="s">
        <v>4861</v>
      </c>
      <c r="B3246" t="s">
        <v>966</v>
      </c>
      <c r="C3246" t="s">
        <v>995</v>
      </c>
      <c r="D3246" t="s">
        <v>7032</v>
      </c>
      <c r="E3246">
        <v>0.3433532398081111</v>
      </c>
    </row>
    <row r="3247" spans="1:5">
      <c r="A3247" t="s">
        <v>4862</v>
      </c>
      <c r="B3247" t="s">
        <v>966</v>
      </c>
      <c r="C3247" t="s">
        <v>995</v>
      </c>
      <c r="D3247" t="s">
        <v>7033</v>
      </c>
      <c r="E3247">
        <v>45.91196368149643</v>
      </c>
    </row>
    <row r="3248" spans="1:5">
      <c r="A3248" t="s">
        <v>4863</v>
      </c>
      <c r="B3248" t="s">
        <v>966</v>
      </c>
      <c r="C3248" t="s">
        <v>995</v>
      </c>
      <c r="D3248" t="s">
        <v>6985</v>
      </c>
      <c r="E3248">
        <v>45.85433400100247</v>
      </c>
    </row>
    <row r="3249" spans="1:5">
      <c r="A3249" t="s">
        <v>4864</v>
      </c>
      <c r="B3249" t="s">
        <v>966</v>
      </c>
      <c r="C3249" t="s">
        <v>995</v>
      </c>
      <c r="D3249" t="s">
        <v>7034</v>
      </c>
      <c r="E3249">
        <v>0.0907286169580066</v>
      </c>
    </row>
    <row r="3250" spans="1:5">
      <c r="A3250" t="s">
        <v>4865</v>
      </c>
      <c r="B3250" t="s">
        <v>966</v>
      </c>
      <c r="C3250" t="s">
        <v>995</v>
      </c>
      <c r="D3250" t="s">
        <v>7035</v>
      </c>
      <c r="E3250">
        <v>0.6847561690293669</v>
      </c>
    </row>
    <row r="3251" spans="1:5">
      <c r="A3251" t="s">
        <v>4866</v>
      </c>
      <c r="B3251" t="s">
        <v>966</v>
      </c>
      <c r="C3251" t="s">
        <v>995</v>
      </c>
      <c r="D3251" t="s">
        <v>7036</v>
      </c>
      <c r="E3251">
        <v>12.98805220161452</v>
      </c>
    </row>
    <row r="3252" spans="1:5">
      <c r="A3252" t="s">
        <v>4867</v>
      </c>
      <c r="B3252" t="s">
        <v>966</v>
      </c>
      <c r="C3252" t="s">
        <v>995</v>
      </c>
      <c r="D3252" t="s">
        <v>7037</v>
      </c>
      <c r="E3252">
        <v>3.219911585725298</v>
      </c>
    </row>
    <row r="3253" spans="1:5">
      <c r="A3253" t="s">
        <v>4868</v>
      </c>
      <c r="B3253" t="s">
        <v>966</v>
      </c>
      <c r="C3253" t="s">
        <v>995</v>
      </c>
      <c r="D3253" t="s">
        <v>6986</v>
      </c>
      <c r="E3253">
        <v>14.66428466667027</v>
      </c>
    </row>
    <row r="3254" spans="1:5">
      <c r="A3254" t="s">
        <v>4869</v>
      </c>
      <c r="B3254" t="s">
        <v>966</v>
      </c>
      <c r="C3254" t="s">
        <v>995</v>
      </c>
      <c r="D3254" t="s">
        <v>7038</v>
      </c>
      <c r="E3254">
        <v>1.753947190168295</v>
      </c>
    </row>
    <row r="3255" spans="1:5">
      <c r="A3255" t="s">
        <v>4870</v>
      </c>
      <c r="B3255" t="s">
        <v>966</v>
      </c>
      <c r="C3255" t="s">
        <v>995</v>
      </c>
      <c r="D3255" t="s">
        <v>6987</v>
      </c>
      <c r="E3255">
        <v>47.56975194814434</v>
      </c>
    </row>
    <row r="3256" spans="1:5">
      <c r="A3256" t="s">
        <v>4871</v>
      </c>
      <c r="B3256" t="s">
        <v>966</v>
      </c>
      <c r="C3256" t="s">
        <v>995</v>
      </c>
      <c r="D3256" t="s">
        <v>7039</v>
      </c>
      <c r="E3256">
        <v>5.315086633593517</v>
      </c>
    </row>
    <row r="3257" spans="1:5">
      <c r="A3257" t="s">
        <v>4872</v>
      </c>
      <c r="B3257" t="s">
        <v>966</v>
      </c>
      <c r="C3257" t="s">
        <v>995</v>
      </c>
      <c r="D3257" t="s">
        <v>7040</v>
      </c>
      <c r="E3257">
        <v>2.329785160180774</v>
      </c>
    </row>
    <row r="3258" spans="1:5">
      <c r="A3258" t="s">
        <v>4873</v>
      </c>
      <c r="B3258" t="s">
        <v>966</v>
      </c>
      <c r="C3258" t="s">
        <v>995</v>
      </c>
      <c r="D3258" t="s">
        <v>7041</v>
      </c>
      <c r="E3258">
        <v>6.266786989514991</v>
      </c>
    </row>
    <row r="3259" spans="1:5">
      <c r="A3259" t="s">
        <v>4874</v>
      </c>
      <c r="B3259" t="s">
        <v>966</v>
      </c>
      <c r="C3259" t="s">
        <v>995</v>
      </c>
      <c r="D3259" t="s">
        <v>7042</v>
      </c>
      <c r="E3259">
        <v>20.78088321850426</v>
      </c>
    </row>
    <row r="3260" spans="1:5">
      <c r="A3260" t="s">
        <v>4875</v>
      </c>
      <c r="B3260" t="s">
        <v>966</v>
      </c>
      <c r="C3260" t="s">
        <v>995</v>
      </c>
      <c r="D3260" t="s">
        <v>7043</v>
      </c>
      <c r="E3260">
        <v>1.91181349295725</v>
      </c>
    </row>
    <row r="3261" spans="1:5">
      <c r="A3261" t="s">
        <v>4876</v>
      </c>
      <c r="B3261" t="s">
        <v>966</v>
      </c>
      <c r="C3261" t="s">
        <v>995</v>
      </c>
      <c r="D3261" t="s">
        <v>7044</v>
      </c>
      <c r="E3261">
        <v>138.4921309062086</v>
      </c>
    </row>
    <row r="3262" spans="1:5">
      <c r="A3262" t="s">
        <v>4877</v>
      </c>
      <c r="B3262" t="s">
        <v>966</v>
      </c>
      <c r="C3262" t="s">
        <v>995</v>
      </c>
      <c r="D3262" t="s">
        <v>7045</v>
      </c>
      <c r="E3262">
        <v>411.6905197564019</v>
      </c>
    </row>
    <row r="3263" spans="1:5">
      <c r="A3263" t="s">
        <v>4878</v>
      </c>
      <c r="B3263" t="s">
        <v>966</v>
      </c>
      <c r="C3263" t="s">
        <v>995</v>
      </c>
      <c r="D3263" t="s">
        <v>7046</v>
      </c>
      <c r="E3263">
        <v>47.56976469521101</v>
      </c>
    </row>
    <row r="3264" spans="1:5">
      <c r="A3264" t="s">
        <v>4879</v>
      </c>
      <c r="B3264" t="s">
        <v>966</v>
      </c>
      <c r="C3264" t="s">
        <v>995</v>
      </c>
      <c r="D3264" t="s">
        <v>6988</v>
      </c>
      <c r="E3264">
        <v>411.6905197564019</v>
      </c>
    </row>
    <row r="3265" spans="1:5">
      <c r="A3265" t="s">
        <v>4880</v>
      </c>
      <c r="B3265" t="s">
        <v>966</v>
      </c>
      <c r="C3265" t="s">
        <v>995</v>
      </c>
      <c r="D3265" t="s">
        <v>7047</v>
      </c>
      <c r="E3265">
        <v>117.5420992430224</v>
      </c>
    </row>
    <row r="3266" spans="1:5">
      <c r="A3266" t="s">
        <v>4881</v>
      </c>
      <c r="B3266" t="s">
        <v>966</v>
      </c>
      <c r="C3266" t="s">
        <v>995</v>
      </c>
      <c r="D3266" t="s">
        <v>7048</v>
      </c>
      <c r="E3266">
        <v>411.6905197564019</v>
      </c>
    </row>
    <row r="3267" spans="1:5">
      <c r="A3267" t="s">
        <v>4882</v>
      </c>
      <c r="B3267" t="s">
        <v>966</v>
      </c>
      <c r="C3267" t="s">
        <v>995</v>
      </c>
      <c r="D3267" t="s">
        <v>7049</v>
      </c>
      <c r="E3267">
        <v>27.71378983768658</v>
      </c>
    </row>
    <row r="3268" spans="1:5">
      <c r="A3268" t="s">
        <v>4883</v>
      </c>
      <c r="B3268" t="s">
        <v>966</v>
      </c>
      <c r="C3268" t="s">
        <v>995</v>
      </c>
      <c r="D3268" t="s">
        <v>7050</v>
      </c>
      <c r="E3268">
        <v>411.6905197564019</v>
      </c>
    </row>
    <row r="3269" spans="1:5">
      <c r="A3269" t="s">
        <v>4884</v>
      </c>
      <c r="B3269" t="s">
        <v>966</v>
      </c>
      <c r="C3269" t="s">
        <v>995</v>
      </c>
      <c r="D3269" t="s">
        <v>7051</v>
      </c>
      <c r="E3269">
        <v>4.194369750504126</v>
      </c>
    </row>
    <row r="3270" spans="1:5">
      <c r="A3270" t="s">
        <v>4885</v>
      </c>
      <c r="B3270" t="s">
        <v>966</v>
      </c>
      <c r="C3270" t="s">
        <v>995</v>
      </c>
      <c r="D3270" t="s">
        <v>7052</v>
      </c>
      <c r="E3270">
        <v>0.03546894393851805</v>
      </c>
    </row>
    <row r="3271" spans="1:5">
      <c r="A3271" t="s">
        <v>4886</v>
      </c>
      <c r="B3271" t="s">
        <v>966</v>
      </c>
      <c r="C3271" t="s">
        <v>995</v>
      </c>
      <c r="D3271" t="s">
        <v>7053</v>
      </c>
      <c r="E3271">
        <v>40.77340427877594</v>
      </c>
    </row>
    <row r="3272" spans="1:5">
      <c r="A3272" t="s">
        <v>4887</v>
      </c>
      <c r="B3272" t="s">
        <v>966</v>
      </c>
      <c r="C3272" t="s">
        <v>995</v>
      </c>
      <c r="D3272" t="s">
        <v>7054</v>
      </c>
      <c r="E3272">
        <v>1.484798279223661</v>
      </c>
    </row>
    <row r="3273" spans="1:5">
      <c r="A3273" t="s">
        <v>4888</v>
      </c>
      <c r="B3273" t="s">
        <v>966</v>
      </c>
      <c r="C3273" t="s">
        <v>995</v>
      </c>
      <c r="D3273" t="s">
        <v>6989</v>
      </c>
      <c r="E3273">
        <v>39.77127611490136</v>
      </c>
    </row>
    <row r="3274" spans="1:5">
      <c r="A3274" t="s">
        <v>4889</v>
      </c>
      <c r="B3274" t="s">
        <v>966</v>
      </c>
      <c r="C3274" t="s">
        <v>995</v>
      </c>
      <c r="D3274" t="s">
        <v>7055</v>
      </c>
      <c r="E3274">
        <v>11.63534093937856</v>
      </c>
    </row>
    <row r="3275" spans="1:5">
      <c r="A3275" t="s">
        <v>4890</v>
      </c>
      <c r="B3275" t="s">
        <v>966</v>
      </c>
      <c r="C3275" t="s">
        <v>995</v>
      </c>
      <c r="D3275" t="s">
        <v>7056</v>
      </c>
      <c r="E3275">
        <v>47.12237719822151</v>
      </c>
    </row>
    <row r="3276" spans="1:5">
      <c r="A3276" t="s">
        <v>4891</v>
      </c>
      <c r="B3276" t="s">
        <v>966</v>
      </c>
      <c r="C3276" t="s">
        <v>995</v>
      </c>
      <c r="D3276" t="s">
        <v>7057</v>
      </c>
      <c r="E3276">
        <v>2.376687323012903</v>
      </c>
    </row>
    <row r="3277" spans="1:5">
      <c r="A3277" t="s">
        <v>4892</v>
      </c>
      <c r="B3277" t="s">
        <v>966</v>
      </c>
      <c r="C3277" t="s">
        <v>995</v>
      </c>
      <c r="D3277" t="s">
        <v>6990</v>
      </c>
      <c r="E3277">
        <v>0.01748422084610328</v>
      </c>
    </row>
    <row r="3278" spans="1:5">
      <c r="A3278" t="s">
        <v>4893</v>
      </c>
      <c r="B3278" t="s">
        <v>966</v>
      </c>
      <c r="C3278" t="s">
        <v>995</v>
      </c>
      <c r="D3278" t="s">
        <v>6991</v>
      </c>
      <c r="E3278">
        <v>104.1043000064507</v>
      </c>
    </row>
    <row r="3279" spans="1:5">
      <c r="A3279" t="s">
        <v>4894</v>
      </c>
      <c r="B3279" t="s">
        <v>966</v>
      </c>
      <c r="C3279" t="s">
        <v>995</v>
      </c>
      <c r="D3279" t="s">
        <v>7058</v>
      </c>
      <c r="E3279">
        <v>411.6905197564019</v>
      </c>
    </row>
    <row r="3280" spans="1:5">
      <c r="A3280" t="s">
        <v>4895</v>
      </c>
      <c r="B3280" t="s">
        <v>966</v>
      </c>
      <c r="C3280" t="s">
        <v>995</v>
      </c>
      <c r="D3280" t="s">
        <v>6992</v>
      </c>
      <c r="E3280">
        <v>3.291147154835263</v>
      </c>
    </row>
    <row r="3281" spans="1:5">
      <c r="A3281" t="s">
        <v>4896</v>
      </c>
      <c r="B3281" t="s">
        <v>966</v>
      </c>
      <c r="C3281" t="s">
        <v>995</v>
      </c>
      <c r="D3281" t="s">
        <v>7059</v>
      </c>
      <c r="E3281">
        <v>0.2373657117535267</v>
      </c>
    </row>
    <row r="3282" spans="1:5">
      <c r="A3282" t="s">
        <v>4897</v>
      </c>
      <c r="B3282" t="s">
        <v>966</v>
      </c>
      <c r="C3282" t="s">
        <v>995</v>
      </c>
      <c r="D3282" t="s">
        <v>7060</v>
      </c>
      <c r="E3282">
        <v>0.0002267322426124762</v>
      </c>
    </row>
    <row r="3283" spans="1:5">
      <c r="A3283" t="s">
        <v>4898</v>
      </c>
      <c r="B3283" t="s">
        <v>966</v>
      </c>
      <c r="C3283" t="s">
        <v>995</v>
      </c>
      <c r="D3283" t="s">
        <v>6993</v>
      </c>
      <c r="E3283">
        <v>2.465515923525744</v>
      </c>
    </row>
    <row r="3284" spans="1:5">
      <c r="A3284" t="s">
        <v>4899</v>
      </c>
      <c r="B3284" t="s">
        <v>966</v>
      </c>
      <c r="C3284" t="s">
        <v>995</v>
      </c>
      <c r="D3284" t="s">
        <v>7061</v>
      </c>
      <c r="E3284">
        <v>411.6905197564019</v>
      </c>
    </row>
    <row r="3285" spans="1:5">
      <c r="A3285" t="s">
        <v>4900</v>
      </c>
      <c r="B3285" t="s">
        <v>966</v>
      </c>
      <c r="C3285" t="s">
        <v>995</v>
      </c>
      <c r="D3285" t="s">
        <v>7062</v>
      </c>
      <c r="E3285">
        <v>1.970669352265157</v>
      </c>
    </row>
    <row r="3286" spans="1:5">
      <c r="A3286" t="s">
        <v>4901</v>
      </c>
      <c r="B3286" t="s">
        <v>966</v>
      </c>
      <c r="C3286" t="s">
        <v>995</v>
      </c>
      <c r="D3286" t="s">
        <v>7063</v>
      </c>
      <c r="E3286">
        <v>439.6519263060394</v>
      </c>
    </row>
    <row r="3287" spans="1:5">
      <c r="A3287" t="s">
        <v>4902</v>
      </c>
      <c r="B3287" t="s">
        <v>966</v>
      </c>
      <c r="C3287" t="s">
        <v>995</v>
      </c>
      <c r="D3287" t="s">
        <v>6994</v>
      </c>
      <c r="E3287">
        <v>1.929573515637946</v>
      </c>
    </row>
    <row r="3288" spans="1:5">
      <c r="A3288" t="s">
        <v>4903</v>
      </c>
      <c r="B3288" t="s">
        <v>966</v>
      </c>
      <c r="C3288" t="s">
        <v>995</v>
      </c>
      <c r="D3288" t="s">
        <v>7064</v>
      </c>
      <c r="E3288">
        <v>2.402844400874601</v>
      </c>
    </row>
    <row r="3289" spans="1:5">
      <c r="A3289" t="s">
        <v>4904</v>
      </c>
      <c r="B3289" t="s">
        <v>966</v>
      </c>
      <c r="C3289" t="s">
        <v>995</v>
      </c>
      <c r="D3289" t="s">
        <v>7065</v>
      </c>
      <c r="E3289">
        <v>3.558379913410882</v>
      </c>
    </row>
    <row r="3290" spans="1:5">
      <c r="A3290" t="s">
        <v>4905</v>
      </c>
      <c r="B3290" t="s">
        <v>966</v>
      </c>
      <c r="C3290" t="s">
        <v>995</v>
      </c>
      <c r="D3290" t="s">
        <v>7066</v>
      </c>
      <c r="E3290">
        <v>0.07676508123288016</v>
      </c>
    </row>
    <row r="3291" spans="1:5">
      <c r="A3291" t="s">
        <v>4906</v>
      </c>
      <c r="B3291" t="s">
        <v>966</v>
      </c>
      <c r="C3291" t="s">
        <v>995</v>
      </c>
      <c r="D3291" t="s">
        <v>7067</v>
      </c>
      <c r="E3291">
        <v>215.8491350982966</v>
      </c>
    </row>
    <row r="3292" spans="1:5">
      <c r="A3292" t="s">
        <v>4907</v>
      </c>
      <c r="B3292" t="s">
        <v>966</v>
      </c>
      <c r="C3292" t="s">
        <v>995</v>
      </c>
      <c r="D3292" t="s">
        <v>7068</v>
      </c>
      <c r="E3292">
        <v>0.7216805390190718</v>
      </c>
    </row>
    <row r="3293" spans="1:5">
      <c r="A3293" t="s">
        <v>4908</v>
      </c>
      <c r="B3293" t="s">
        <v>966</v>
      </c>
      <c r="C3293" t="s">
        <v>995</v>
      </c>
      <c r="D3293" t="s">
        <v>6995</v>
      </c>
      <c r="E3293">
        <v>0.20293748963949</v>
      </c>
    </row>
    <row r="3294" spans="1:5">
      <c r="A3294" t="s">
        <v>4909</v>
      </c>
      <c r="B3294" t="s">
        <v>966</v>
      </c>
      <c r="C3294" t="s">
        <v>995</v>
      </c>
      <c r="D3294" t="s">
        <v>7069</v>
      </c>
      <c r="E3294">
        <v>1009.592945090568</v>
      </c>
    </row>
    <row r="3295" spans="1:5">
      <c r="A3295" t="s">
        <v>4910</v>
      </c>
      <c r="B3295" t="s">
        <v>966</v>
      </c>
      <c r="C3295" t="s">
        <v>995</v>
      </c>
      <c r="D3295" t="s">
        <v>7070</v>
      </c>
      <c r="E3295">
        <v>374.0560730826446</v>
      </c>
    </row>
    <row r="3296" spans="1:5">
      <c r="A3296" t="s">
        <v>4911</v>
      </c>
      <c r="B3296" t="s">
        <v>966</v>
      </c>
      <c r="C3296" t="s">
        <v>995</v>
      </c>
      <c r="D3296" t="s">
        <v>7071</v>
      </c>
      <c r="E3296">
        <v>0.6405182718791417</v>
      </c>
    </row>
    <row r="3297" spans="1:5">
      <c r="A3297" t="s">
        <v>4912</v>
      </c>
      <c r="B3297" t="s">
        <v>966</v>
      </c>
      <c r="C3297" t="s">
        <v>995</v>
      </c>
      <c r="D3297" t="s">
        <v>7072</v>
      </c>
      <c r="E3297">
        <v>0.01410014748251714</v>
      </c>
    </row>
    <row r="3298" spans="1:5">
      <c r="A3298" t="s">
        <v>4913</v>
      </c>
      <c r="B3298" t="s">
        <v>966</v>
      </c>
      <c r="C3298" t="s">
        <v>995</v>
      </c>
      <c r="D3298" t="s">
        <v>7073</v>
      </c>
      <c r="E3298">
        <v>0.003482829597494484</v>
      </c>
    </row>
    <row r="3299" spans="1:5">
      <c r="A3299" t="s">
        <v>4914</v>
      </c>
      <c r="B3299" t="s">
        <v>966</v>
      </c>
      <c r="C3299" t="s">
        <v>995</v>
      </c>
      <c r="D3299" t="s">
        <v>7074</v>
      </c>
      <c r="E3299">
        <v>0.931651612804697</v>
      </c>
    </row>
    <row r="3300" spans="1:5">
      <c r="A3300" t="s">
        <v>4915</v>
      </c>
      <c r="B3300" t="s">
        <v>966</v>
      </c>
      <c r="C3300" t="s">
        <v>995</v>
      </c>
      <c r="D3300" t="s">
        <v>7075</v>
      </c>
      <c r="E3300">
        <v>1.707382902976061</v>
      </c>
    </row>
    <row r="3301" spans="1:5">
      <c r="A3301" t="s">
        <v>4916</v>
      </c>
      <c r="B3301" t="s">
        <v>966</v>
      </c>
      <c r="C3301" t="s">
        <v>995</v>
      </c>
      <c r="D3301" t="s">
        <v>7076</v>
      </c>
      <c r="E3301">
        <v>18.87547098491556</v>
      </c>
    </row>
    <row r="3302" spans="1:5">
      <c r="A3302" t="s">
        <v>4917</v>
      </c>
      <c r="B3302" t="s">
        <v>966</v>
      </c>
      <c r="C3302" t="s">
        <v>995</v>
      </c>
      <c r="D3302" t="s">
        <v>7077</v>
      </c>
      <c r="E3302">
        <v>48.4518993748834</v>
      </c>
    </row>
    <row r="3303" spans="1:5">
      <c r="A3303" t="s">
        <v>4918</v>
      </c>
      <c r="B3303" t="s">
        <v>966</v>
      </c>
      <c r="C3303" t="s">
        <v>995</v>
      </c>
      <c r="D3303" t="s">
        <v>7078</v>
      </c>
      <c r="E3303">
        <v>33.26114062349963</v>
      </c>
    </row>
    <row r="3304" spans="1:5">
      <c r="A3304" t="s">
        <v>4919</v>
      </c>
      <c r="B3304" t="s">
        <v>966</v>
      </c>
      <c r="C3304" t="s">
        <v>995</v>
      </c>
      <c r="D3304" t="s">
        <v>7079</v>
      </c>
      <c r="E3304">
        <v>17.70807647095291</v>
      </c>
    </row>
    <row r="3305" spans="1:5">
      <c r="A3305" t="s">
        <v>4920</v>
      </c>
      <c r="B3305" t="s">
        <v>966</v>
      </c>
      <c r="C3305" t="s">
        <v>995</v>
      </c>
      <c r="D3305" t="s">
        <v>7080</v>
      </c>
      <c r="E3305">
        <v>0.07331190189461746</v>
      </c>
    </row>
    <row r="3306" spans="1:5">
      <c r="A3306" t="s">
        <v>4921</v>
      </c>
      <c r="B3306" t="s">
        <v>966</v>
      </c>
      <c r="C3306" t="s">
        <v>995</v>
      </c>
      <c r="D3306" t="s">
        <v>7081</v>
      </c>
      <c r="E3306">
        <v>5.75964542780805</v>
      </c>
    </row>
    <row r="3307" spans="1:5">
      <c r="A3307" t="s">
        <v>4922</v>
      </c>
      <c r="B3307" t="s">
        <v>966</v>
      </c>
      <c r="C3307" t="s">
        <v>995</v>
      </c>
      <c r="D3307" t="s">
        <v>7082</v>
      </c>
      <c r="E3307">
        <v>0.1479156990651388</v>
      </c>
    </row>
    <row r="3308" spans="1:5">
      <c r="A3308" t="s">
        <v>4923</v>
      </c>
      <c r="B3308" t="s">
        <v>966</v>
      </c>
      <c r="C3308" t="s">
        <v>995</v>
      </c>
      <c r="D3308" t="s">
        <v>7083</v>
      </c>
      <c r="E3308">
        <v>0.08735670622648602</v>
      </c>
    </row>
    <row r="3309" spans="1:5">
      <c r="A3309" t="s">
        <v>4924</v>
      </c>
      <c r="B3309" t="s">
        <v>966</v>
      </c>
      <c r="C3309" t="s">
        <v>995</v>
      </c>
      <c r="D3309" t="s">
        <v>7084</v>
      </c>
      <c r="E3309">
        <v>38.61291903744472</v>
      </c>
    </row>
    <row r="3310" spans="1:5">
      <c r="A3310" t="s">
        <v>4925</v>
      </c>
      <c r="B3310" t="s">
        <v>966</v>
      </c>
      <c r="C3310" t="s">
        <v>995</v>
      </c>
      <c r="D3310" t="s">
        <v>7085</v>
      </c>
      <c r="E3310">
        <v>7.751253087431159</v>
      </c>
    </row>
    <row r="3311" spans="1:5">
      <c r="A3311" t="s">
        <v>4926</v>
      </c>
      <c r="B3311" t="s">
        <v>966</v>
      </c>
      <c r="C3311" t="s">
        <v>995</v>
      </c>
      <c r="D3311" t="s">
        <v>7086</v>
      </c>
      <c r="E3311">
        <v>6.514250275344683</v>
      </c>
    </row>
    <row r="3312" spans="1:5">
      <c r="A3312" t="s">
        <v>4927</v>
      </c>
      <c r="B3312" t="s">
        <v>966</v>
      </c>
      <c r="C3312" t="s">
        <v>995</v>
      </c>
      <c r="D3312" t="s">
        <v>7087</v>
      </c>
      <c r="E3312">
        <v>20.11551182003958</v>
      </c>
    </row>
    <row r="3313" spans="1:5">
      <c r="A3313" t="s">
        <v>4928</v>
      </c>
      <c r="B3313" t="s">
        <v>966</v>
      </c>
      <c r="C3313" t="s">
        <v>995</v>
      </c>
      <c r="D3313" t="s">
        <v>7088</v>
      </c>
      <c r="E3313">
        <v>0.1783202287541179</v>
      </c>
    </row>
    <row r="3314" spans="1:5">
      <c r="A3314" t="s">
        <v>4929</v>
      </c>
      <c r="B3314" t="s">
        <v>966</v>
      </c>
      <c r="C3314" t="s">
        <v>995</v>
      </c>
      <c r="D3314" t="s">
        <v>6996</v>
      </c>
      <c r="E3314">
        <v>17.78243436206706</v>
      </c>
    </row>
    <row r="3315" spans="1:5">
      <c r="A3315" t="s">
        <v>4930</v>
      </c>
      <c r="B3315" t="s">
        <v>966</v>
      </c>
      <c r="C3315" t="s">
        <v>995</v>
      </c>
      <c r="D3315" t="s">
        <v>6997</v>
      </c>
      <c r="E3315">
        <v>75.23880112458674</v>
      </c>
    </row>
    <row r="3316" spans="1:5">
      <c r="A3316" t="s">
        <v>4931</v>
      </c>
      <c r="B3316" t="s">
        <v>966</v>
      </c>
      <c r="C3316" t="s">
        <v>995</v>
      </c>
      <c r="D3316" t="s">
        <v>7089</v>
      </c>
      <c r="E3316">
        <v>4.879002739285832</v>
      </c>
    </row>
    <row r="3317" spans="1:5">
      <c r="A3317" t="s">
        <v>4932</v>
      </c>
      <c r="B3317" t="s">
        <v>966</v>
      </c>
      <c r="C3317" t="s">
        <v>995</v>
      </c>
      <c r="D3317" t="s">
        <v>7090</v>
      </c>
      <c r="E3317">
        <v>18.87547098491556</v>
      </c>
    </row>
    <row r="3318" spans="1:5">
      <c r="A3318" t="s">
        <v>4933</v>
      </c>
      <c r="B3318" t="s">
        <v>966</v>
      </c>
      <c r="C3318" t="s">
        <v>995</v>
      </c>
      <c r="D3318" t="s">
        <v>7091</v>
      </c>
      <c r="E3318">
        <v>0.2289003758297822</v>
      </c>
    </row>
    <row r="3319" spans="1:5">
      <c r="A3319" t="s">
        <v>4934</v>
      </c>
      <c r="B3319" t="s">
        <v>966</v>
      </c>
      <c r="C3319" t="s">
        <v>995</v>
      </c>
      <c r="D3319" t="s">
        <v>7092</v>
      </c>
      <c r="E3319">
        <v>8.451360779494076</v>
      </c>
    </row>
    <row r="3320" spans="1:5">
      <c r="A3320" t="s">
        <v>4935</v>
      </c>
      <c r="B3320" t="s">
        <v>966</v>
      </c>
      <c r="C3320" t="s">
        <v>995</v>
      </c>
      <c r="D3320" t="s">
        <v>6998</v>
      </c>
      <c r="E3320">
        <v>31.86283171982096</v>
      </c>
    </row>
    <row r="3321" spans="1:5">
      <c r="A3321" t="s">
        <v>4936</v>
      </c>
      <c r="B3321" t="s">
        <v>966</v>
      </c>
      <c r="C3321" t="s">
        <v>995</v>
      </c>
      <c r="D3321" t="s">
        <v>7093</v>
      </c>
      <c r="E3321">
        <v>2.056971307246362</v>
      </c>
    </row>
    <row r="3322" spans="1:5">
      <c r="A3322" t="s">
        <v>4937</v>
      </c>
      <c r="B3322" t="s">
        <v>966</v>
      </c>
      <c r="C3322" t="s">
        <v>995</v>
      </c>
      <c r="D3322" t="s">
        <v>6999</v>
      </c>
      <c r="E3322">
        <v>176.839616678662</v>
      </c>
    </row>
    <row r="3323" spans="1:5">
      <c r="A3323" t="s">
        <v>4938</v>
      </c>
      <c r="B3323" t="s">
        <v>966</v>
      </c>
      <c r="C3323" t="s">
        <v>995</v>
      </c>
      <c r="D3323" t="s">
        <v>7094</v>
      </c>
      <c r="E3323">
        <v>810.7035152815993</v>
      </c>
    </row>
    <row r="3324" spans="1:5">
      <c r="A3324" t="s">
        <v>4939</v>
      </c>
      <c r="B3324" t="s">
        <v>966</v>
      </c>
      <c r="C3324" t="s">
        <v>995</v>
      </c>
      <c r="D3324" t="s">
        <v>7095</v>
      </c>
      <c r="E3324">
        <v>311.7132300328268</v>
      </c>
    </row>
    <row r="3325" spans="1:5">
      <c r="A3325" t="s">
        <v>4940</v>
      </c>
      <c r="B3325" t="s">
        <v>966</v>
      </c>
      <c r="C3325" t="s">
        <v>995</v>
      </c>
      <c r="D3325" t="s">
        <v>7096</v>
      </c>
      <c r="E3325">
        <v>91.77574388040735</v>
      </c>
    </row>
    <row r="3326" spans="1:5">
      <c r="A3326" t="s">
        <v>4941</v>
      </c>
      <c r="B3326" t="s">
        <v>966</v>
      </c>
      <c r="C3326" t="s">
        <v>995</v>
      </c>
      <c r="D3326" t="s">
        <v>7097</v>
      </c>
      <c r="E3326">
        <v>70.95759235047072</v>
      </c>
    </row>
    <row r="3327" spans="1:5">
      <c r="A3327" t="s">
        <v>4942</v>
      </c>
      <c r="B3327" t="s">
        <v>966</v>
      </c>
      <c r="C3327" t="s">
        <v>995</v>
      </c>
      <c r="D3327" t="s">
        <v>7000</v>
      </c>
      <c r="E3327">
        <v>5.097305181455659</v>
      </c>
    </row>
    <row r="3328" spans="1:5">
      <c r="A3328" t="s">
        <v>4943</v>
      </c>
      <c r="B3328" t="s">
        <v>966</v>
      </c>
      <c r="C3328" t="s">
        <v>995</v>
      </c>
      <c r="D3328" t="s">
        <v>7098</v>
      </c>
      <c r="E3328">
        <v>1.119624924230005</v>
      </c>
    </row>
    <row r="3329" spans="1:5">
      <c r="A3329" t="s">
        <v>4944</v>
      </c>
      <c r="B3329" t="s">
        <v>966</v>
      </c>
      <c r="C3329" t="s">
        <v>995</v>
      </c>
      <c r="D3329" t="s">
        <v>7001</v>
      </c>
      <c r="E3329">
        <v>82.90749429176029</v>
      </c>
    </row>
    <row r="3330" spans="1:5">
      <c r="A3330" t="s">
        <v>4945</v>
      </c>
      <c r="B3330" t="s">
        <v>966</v>
      </c>
      <c r="C3330" t="s">
        <v>995</v>
      </c>
      <c r="D3330" t="s">
        <v>7099</v>
      </c>
      <c r="E3330">
        <v>0.05111288652362769</v>
      </c>
    </row>
    <row r="3331" spans="1:5">
      <c r="A3331" t="s">
        <v>4946</v>
      </c>
      <c r="B3331" t="s">
        <v>966</v>
      </c>
      <c r="C3331" t="s">
        <v>995</v>
      </c>
      <c r="D3331" t="s">
        <v>7100</v>
      </c>
      <c r="E3331">
        <v>85.63551267069225</v>
      </c>
    </row>
    <row r="3332" spans="1:5">
      <c r="A3332" t="s">
        <v>4947</v>
      </c>
      <c r="B3332" t="s">
        <v>966</v>
      </c>
      <c r="C3332" t="s">
        <v>995</v>
      </c>
      <c r="D3332" t="s">
        <v>7002</v>
      </c>
      <c r="E3332">
        <v>67.69040471799536</v>
      </c>
    </row>
    <row r="3333" spans="1:5">
      <c r="A3333" t="s">
        <v>4948</v>
      </c>
      <c r="B3333" t="s">
        <v>966</v>
      </c>
      <c r="C3333" t="s">
        <v>995</v>
      </c>
      <c r="D3333" t="s">
        <v>7101</v>
      </c>
      <c r="E3333">
        <v>3.025004121808057</v>
      </c>
    </row>
    <row r="3334" spans="1:5">
      <c r="A3334" t="s">
        <v>4949</v>
      </c>
      <c r="B3334" t="s">
        <v>966</v>
      </c>
      <c r="C3334" t="s">
        <v>995</v>
      </c>
      <c r="D3334" t="s">
        <v>7102</v>
      </c>
      <c r="E3334">
        <v>4.169378839813125</v>
      </c>
    </row>
    <row r="3335" spans="1:5">
      <c r="A3335" t="s">
        <v>4950</v>
      </c>
      <c r="B3335" t="s">
        <v>966</v>
      </c>
      <c r="C3335" t="s">
        <v>995</v>
      </c>
      <c r="D3335" t="s">
        <v>7103</v>
      </c>
      <c r="E3335">
        <v>0.2120817523587506</v>
      </c>
    </row>
    <row r="3336" spans="1:5">
      <c r="A3336" t="s">
        <v>4951</v>
      </c>
      <c r="B3336" t="s">
        <v>966</v>
      </c>
      <c r="C3336" t="s">
        <v>995</v>
      </c>
      <c r="D3336" t="s">
        <v>7104</v>
      </c>
      <c r="E3336">
        <v>83.12353287401703</v>
      </c>
    </row>
    <row r="3337" spans="1:5">
      <c r="A3337" t="s">
        <v>4952</v>
      </c>
      <c r="B3337" t="s">
        <v>966</v>
      </c>
      <c r="C3337" t="s">
        <v>995</v>
      </c>
      <c r="D3337" t="s">
        <v>7105</v>
      </c>
      <c r="E3337">
        <v>38.88039841496942</v>
      </c>
    </row>
    <row r="3338" spans="1:5">
      <c r="A3338" t="s">
        <v>4953</v>
      </c>
      <c r="B3338" t="s">
        <v>966</v>
      </c>
      <c r="C3338" t="s">
        <v>995</v>
      </c>
      <c r="D3338" t="s">
        <v>7106</v>
      </c>
      <c r="E3338">
        <v>21.07428706864074</v>
      </c>
    </row>
    <row r="3339" spans="1:5">
      <c r="A3339" t="s">
        <v>4954</v>
      </c>
      <c r="B3339" t="s">
        <v>966</v>
      </c>
      <c r="C3339" t="s">
        <v>995</v>
      </c>
      <c r="D3339" t="s">
        <v>7107</v>
      </c>
      <c r="E3339">
        <v>0.6949259987743791</v>
      </c>
    </row>
    <row r="3340" spans="1:5">
      <c r="A3340" t="s">
        <v>4955</v>
      </c>
      <c r="B3340" t="s">
        <v>966</v>
      </c>
      <c r="C3340" t="s">
        <v>995</v>
      </c>
      <c r="D3340" t="s">
        <v>7003</v>
      </c>
      <c r="E3340">
        <v>32.05464972402526</v>
      </c>
    </row>
    <row r="3341" spans="1:5">
      <c r="A3341" t="s">
        <v>4956</v>
      </c>
      <c r="B3341" t="s">
        <v>966</v>
      </c>
      <c r="C3341" t="s">
        <v>995</v>
      </c>
      <c r="D3341" t="s">
        <v>7004</v>
      </c>
      <c r="E3341">
        <v>240.4696310564669</v>
      </c>
    </row>
    <row r="3342" spans="1:5">
      <c r="A3342" t="s">
        <v>4957</v>
      </c>
      <c r="B3342" t="s">
        <v>966</v>
      </c>
      <c r="C3342" t="s">
        <v>995</v>
      </c>
      <c r="D3342" t="s">
        <v>7108</v>
      </c>
      <c r="E3342">
        <v>411.6905197564019</v>
      </c>
    </row>
    <row r="3343" spans="1:5">
      <c r="A3343" t="s">
        <v>4958</v>
      </c>
      <c r="B3343" t="s">
        <v>966</v>
      </c>
      <c r="C3343" t="s">
        <v>995</v>
      </c>
      <c r="D3343" t="s">
        <v>7109</v>
      </c>
      <c r="E3343">
        <v>12.39834823274844</v>
      </c>
    </row>
    <row r="3344" spans="1:5">
      <c r="A3344" t="s">
        <v>4959</v>
      </c>
      <c r="B3344" t="s">
        <v>966</v>
      </c>
      <c r="C3344" t="s">
        <v>995</v>
      </c>
      <c r="D3344" t="s">
        <v>7110</v>
      </c>
      <c r="E3344">
        <v>0.0123988345449146</v>
      </c>
    </row>
    <row r="3345" spans="1:5">
      <c r="A3345" t="s">
        <v>4960</v>
      </c>
      <c r="B3345" t="s">
        <v>966</v>
      </c>
      <c r="C3345" t="s">
        <v>995</v>
      </c>
      <c r="D3345" t="s">
        <v>7111</v>
      </c>
      <c r="E3345">
        <v>0.5434159693812652</v>
      </c>
    </row>
    <row r="3346" spans="1:5">
      <c r="A3346" t="s">
        <v>4961</v>
      </c>
      <c r="B3346" t="s">
        <v>966</v>
      </c>
      <c r="C3346" t="s">
        <v>995</v>
      </c>
      <c r="D3346" t="s">
        <v>7112</v>
      </c>
      <c r="E3346">
        <v>8.279518038180546</v>
      </c>
    </row>
    <row r="3347" spans="1:5">
      <c r="A3347" t="s">
        <v>4962</v>
      </c>
      <c r="B3347" t="s">
        <v>966</v>
      </c>
      <c r="C3347" t="s">
        <v>995</v>
      </c>
      <c r="D3347" t="s">
        <v>7113</v>
      </c>
      <c r="E3347">
        <v>0.06008446104171725</v>
      </c>
    </row>
    <row r="3348" spans="1:5">
      <c r="A3348" t="s">
        <v>4963</v>
      </c>
      <c r="B3348" t="s">
        <v>966</v>
      </c>
      <c r="C3348" t="s">
        <v>995</v>
      </c>
      <c r="D3348" t="s">
        <v>7114</v>
      </c>
      <c r="E3348">
        <v>14.49157351020408</v>
      </c>
    </row>
    <row r="3349" spans="1:5">
      <c r="A3349" t="s">
        <v>4964</v>
      </c>
      <c r="B3349" t="s">
        <v>966</v>
      </c>
      <c r="C3349" t="s">
        <v>995</v>
      </c>
      <c r="D3349" t="s">
        <v>7115</v>
      </c>
      <c r="E3349">
        <v>2.768678075106426</v>
      </c>
    </row>
    <row r="3350" spans="1:5">
      <c r="A3350" t="s">
        <v>4965</v>
      </c>
      <c r="B3350" t="s">
        <v>966</v>
      </c>
      <c r="C3350" t="s">
        <v>995</v>
      </c>
      <c r="D3350" t="s">
        <v>7116</v>
      </c>
      <c r="E3350">
        <v>18.87547098491556</v>
      </c>
    </row>
    <row r="3351" spans="1:5">
      <c r="A3351" t="s">
        <v>4966</v>
      </c>
      <c r="B3351" t="s">
        <v>966</v>
      </c>
      <c r="C3351" t="s">
        <v>995</v>
      </c>
      <c r="D3351" t="s">
        <v>7005</v>
      </c>
      <c r="E3351">
        <v>9.382917874337917</v>
      </c>
    </row>
    <row r="3352" spans="1:5">
      <c r="A3352" t="s">
        <v>4967</v>
      </c>
      <c r="B3352" t="s">
        <v>966</v>
      </c>
      <c r="C3352" t="s">
        <v>995</v>
      </c>
      <c r="D3352" t="s">
        <v>7117</v>
      </c>
      <c r="E3352">
        <v>33.5835093413606</v>
      </c>
    </row>
    <row r="3353" spans="1:5">
      <c r="A3353" t="s">
        <v>4968</v>
      </c>
      <c r="B3353" t="s">
        <v>966</v>
      </c>
      <c r="C3353" t="s">
        <v>995</v>
      </c>
      <c r="D3353" t="s">
        <v>7118</v>
      </c>
      <c r="E3353">
        <v>88.93700525465553</v>
      </c>
    </row>
    <row r="3354" spans="1:5">
      <c r="A3354" t="s">
        <v>4969</v>
      </c>
      <c r="B3354" t="s">
        <v>966</v>
      </c>
      <c r="C3354" t="s">
        <v>995</v>
      </c>
      <c r="D3354" t="s">
        <v>7119</v>
      </c>
      <c r="E3354">
        <v>105.6163926877205</v>
      </c>
    </row>
    <row r="3355" spans="1:5">
      <c r="A3355" t="s">
        <v>4970</v>
      </c>
      <c r="B3355" t="s">
        <v>966</v>
      </c>
      <c r="C3355" t="s">
        <v>995</v>
      </c>
      <c r="D3355" t="s">
        <v>7120</v>
      </c>
      <c r="E3355">
        <v>130.6437817876206</v>
      </c>
    </row>
    <row r="3356" spans="1:5">
      <c r="A3356" t="s">
        <v>4971</v>
      </c>
      <c r="B3356" t="s">
        <v>966</v>
      </c>
      <c r="C3356" t="s">
        <v>995</v>
      </c>
      <c r="D3356" t="s">
        <v>7006</v>
      </c>
      <c r="E3356">
        <v>6.711286858048458</v>
      </c>
    </row>
    <row r="3357" spans="1:5">
      <c r="A3357" t="s">
        <v>4972</v>
      </c>
      <c r="B3357" t="s">
        <v>966</v>
      </c>
      <c r="C3357" t="s">
        <v>995</v>
      </c>
      <c r="D3357" t="s">
        <v>7121</v>
      </c>
      <c r="E3357">
        <v>42.40194779013825</v>
      </c>
    </row>
    <row r="3358" spans="1:5">
      <c r="A3358" t="s">
        <v>4973</v>
      </c>
      <c r="B3358" t="s">
        <v>966</v>
      </c>
      <c r="C3358" t="s">
        <v>995</v>
      </c>
      <c r="D3358" t="s">
        <v>7122</v>
      </c>
      <c r="E3358">
        <v>215.8491350982966</v>
      </c>
    </row>
    <row r="3359" spans="1:5">
      <c r="A3359" t="s">
        <v>4974</v>
      </c>
      <c r="B3359" t="s">
        <v>966</v>
      </c>
      <c r="C3359" t="s">
        <v>995</v>
      </c>
      <c r="D3359" t="s">
        <v>7123</v>
      </c>
      <c r="E3359">
        <v>9.842913097211683</v>
      </c>
    </row>
    <row r="3360" spans="1:5">
      <c r="A3360" t="s">
        <v>4975</v>
      </c>
      <c r="B3360" t="s">
        <v>966</v>
      </c>
      <c r="C3360" t="s">
        <v>995</v>
      </c>
      <c r="D3360" t="s">
        <v>7124</v>
      </c>
      <c r="E3360">
        <v>0.1190451301999165</v>
      </c>
    </row>
    <row r="3361" spans="1:5">
      <c r="A3361" t="s">
        <v>4976</v>
      </c>
      <c r="B3361" t="s">
        <v>966</v>
      </c>
      <c r="C3361" t="s">
        <v>995</v>
      </c>
      <c r="D3361" t="s">
        <v>7125</v>
      </c>
      <c r="E3361">
        <v>6.924931231189903</v>
      </c>
    </row>
    <row r="3362" spans="1:5">
      <c r="A3362" t="s">
        <v>4977</v>
      </c>
      <c r="B3362" t="s">
        <v>966</v>
      </c>
      <c r="C3362" t="s">
        <v>995</v>
      </c>
      <c r="D3362" t="s">
        <v>7126</v>
      </c>
      <c r="E3362">
        <v>0.08561923178238365</v>
      </c>
    </row>
    <row r="3363" spans="1:5">
      <c r="A3363" t="s">
        <v>4978</v>
      </c>
      <c r="B3363" t="s">
        <v>966</v>
      </c>
      <c r="C3363" t="s">
        <v>995</v>
      </c>
      <c r="D3363" t="s">
        <v>998</v>
      </c>
      <c r="E3363">
        <v>311.7126826917083</v>
      </c>
    </row>
    <row r="3364" spans="1:5">
      <c r="A3364" t="s">
        <v>4979</v>
      </c>
      <c r="B3364" t="s">
        <v>966</v>
      </c>
      <c r="C3364" t="s">
        <v>995</v>
      </c>
      <c r="D3364" t="s">
        <v>7127</v>
      </c>
      <c r="E3364">
        <v>7.765319599283421</v>
      </c>
    </row>
    <row r="3365" spans="1:5">
      <c r="A3365" t="s">
        <v>4980</v>
      </c>
      <c r="B3365" t="s">
        <v>966</v>
      </c>
      <c r="C3365" t="s">
        <v>995</v>
      </c>
      <c r="D3365" t="s">
        <v>7128</v>
      </c>
      <c r="E3365">
        <v>0.02601121603744027</v>
      </c>
    </row>
    <row r="3366" spans="1:5">
      <c r="A3366" t="s">
        <v>4981</v>
      </c>
      <c r="B3366" t="s">
        <v>966</v>
      </c>
      <c r="C3366" t="s">
        <v>995</v>
      </c>
      <c r="D3366" t="s">
        <v>7129</v>
      </c>
      <c r="E3366">
        <v>0.5018724890997938</v>
      </c>
    </row>
    <row r="3367" spans="1:5">
      <c r="A3367" t="s">
        <v>4982</v>
      </c>
      <c r="B3367" t="s">
        <v>966</v>
      </c>
      <c r="C3367" t="s">
        <v>995</v>
      </c>
      <c r="D3367" t="s">
        <v>7130</v>
      </c>
      <c r="E3367">
        <v>0.01186917498270419</v>
      </c>
    </row>
    <row r="3368" spans="1:5">
      <c r="A3368" t="s">
        <v>4983</v>
      </c>
      <c r="B3368" t="s">
        <v>966</v>
      </c>
      <c r="C3368" t="s">
        <v>995</v>
      </c>
      <c r="D3368" t="s">
        <v>7131</v>
      </c>
      <c r="E3368">
        <v>2.626996313917977</v>
      </c>
    </row>
    <row r="3369" spans="1:5">
      <c r="A3369" t="s">
        <v>4984</v>
      </c>
      <c r="B3369" t="s">
        <v>966</v>
      </c>
      <c r="C3369" t="s">
        <v>995</v>
      </c>
      <c r="D3369" t="s">
        <v>7132</v>
      </c>
      <c r="E3369">
        <v>114.3778338464671</v>
      </c>
    </row>
    <row r="3370" spans="1:5">
      <c r="A3370" t="s">
        <v>4985</v>
      </c>
      <c r="B3370" t="s">
        <v>966</v>
      </c>
      <c r="C3370" t="s">
        <v>995</v>
      </c>
      <c r="D3370" t="s">
        <v>7133</v>
      </c>
      <c r="E3370">
        <v>0.5412604042643039</v>
      </c>
    </row>
    <row r="3371" spans="1:5">
      <c r="A3371" t="s">
        <v>4986</v>
      </c>
      <c r="B3371" t="s">
        <v>966</v>
      </c>
      <c r="C3371" t="s">
        <v>995</v>
      </c>
      <c r="D3371" t="s">
        <v>7134</v>
      </c>
      <c r="E3371">
        <v>115.4493407025417</v>
      </c>
    </row>
    <row r="3372" spans="1:5">
      <c r="A3372" t="s">
        <v>4987</v>
      </c>
      <c r="B3372" t="s">
        <v>966</v>
      </c>
      <c r="C3372" t="s">
        <v>995</v>
      </c>
      <c r="D3372" t="s">
        <v>7135</v>
      </c>
      <c r="E3372">
        <v>174.1415145608592</v>
      </c>
    </row>
    <row r="3373" spans="1:5">
      <c r="A3373" t="s">
        <v>4988</v>
      </c>
      <c r="B3373" t="s">
        <v>966</v>
      </c>
      <c r="C3373" t="s">
        <v>995</v>
      </c>
      <c r="D3373" t="s">
        <v>7136</v>
      </c>
      <c r="E3373">
        <v>421.8603195764329</v>
      </c>
    </row>
    <row r="3374" spans="1:5">
      <c r="A3374" t="s">
        <v>4989</v>
      </c>
      <c r="B3374" t="s">
        <v>966</v>
      </c>
      <c r="C3374" t="s">
        <v>995</v>
      </c>
      <c r="D3374" t="s">
        <v>7137</v>
      </c>
      <c r="E3374">
        <v>0.5412604042643039</v>
      </c>
    </row>
    <row r="3375" spans="1:5">
      <c r="A3375" t="s">
        <v>4990</v>
      </c>
      <c r="B3375" t="s">
        <v>966</v>
      </c>
      <c r="C3375" t="s">
        <v>995</v>
      </c>
      <c r="D3375" t="s">
        <v>7138</v>
      </c>
      <c r="E3375">
        <v>2.975258530821574</v>
      </c>
    </row>
    <row r="3376" spans="1:5">
      <c r="A3376" t="s">
        <v>4991</v>
      </c>
      <c r="B3376" t="s">
        <v>966</v>
      </c>
      <c r="C3376" t="s">
        <v>995</v>
      </c>
      <c r="D3376" t="s">
        <v>7139</v>
      </c>
      <c r="E3376">
        <v>1.304866497310381</v>
      </c>
    </row>
    <row r="3377" spans="1:5">
      <c r="A3377" t="s">
        <v>4992</v>
      </c>
      <c r="B3377" t="s">
        <v>966</v>
      </c>
      <c r="C3377" t="s">
        <v>995</v>
      </c>
      <c r="D3377" t="s">
        <v>7007</v>
      </c>
      <c r="E3377">
        <v>18.87545292207473</v>
      </c>
    </row>
    <row r="3378" spans="1:5">
      <c r="A3378" t="s">
        <v>4993</v>
      </c>
      <c r="B3378" t="s">
        <v>966</v>
      </c>
      <c r="C3378" t="s">
        <v>995</v>
      </c>
      <c r="D3378" t="s">
        <v>7140</v>
      </c>
      <c r="E3378">
        <v>17.38947143274999</v>
      </c>
    </row>
    <row r="3379" spans="1:5">
      <c r="A3379" t="s">
        <v>4994</v>
      </c>
      <c r="B3379" t="s">
        <v>966</v>
      </c>
      <c r="C3379" t="s">
        <v>995</v>
      </c>
      <c r="D3379" t="s">
        <v>7141</v>
      </c>
      <c r="E3379">
        <v>11.59329666382584</v>
      </c>
    </row>
    <row r="3380" spans="1:5">
      <c r="A3380" t="s">
        <v>4995</v>
      </c>
      <c r="B3380" t="s">
        <v>966</v>
      </c>
      <c r="C3380" t="s">
        <v>995</v>
      </c>
      <c r="D3380" t="s">
        <v>7142</v>
      </c>
      <c r="E3380">
        <v>11.59329666382584</v>
      </c>
    </row>
    <row r="3381" spans="1:5">
      <c r="A3381" t="s">
        <v>4831</v>
      </c>
      <c r="B3381" t="s">
        <v>966</v>
      </c>
      <c r="C3381" t="s">
        <v>995</v>
      </c>
      <c r="D3381" t="s">
        <v>996</v>
      </c>
      <c r="E3381">
        <v>355.043551</v>
      </c>
    </row>
    <row r="3382" spans="1:5">
      <c r="A3382" t="s">
        <v>4996</v>
      </c>
      <c r="B3382" t="s">
        <v>967</v>
      </c>
      <c r="C3382" t="s">
        <v>995</v>
      </c>
      <c r="D3382" t="s">
        <v>996</v>
      </c>
      <c r="E3382">
        <v>355.96273</v>
      </c>
    </row>
    <row r="3383" spans="1:5">
      <c r="A3383" t="s">
        <v>4997</v>
      </c>
      <c r="B3383" t="s">
        <v>967</v>
      </c>
      <c r="C3383" t="s">
        <v>995</v>
      </c>
      <c r="D3383" t="s">
        <v>7008</v>
      </c>
      <c r="E3383">
        <v>85.37341107284362</v>
      </c>
    </row>
    <row r="3384" spans="1:5">
      <c r="A3384" t="s">
        <v>4998</v>
      </c>
      <c r="B3384" t="s">
        <v>967</v>
      </c>
      <c r="C3384" t="s">
        <v>995</v>
      </c>
      <c r="D3384" t="s">
        <v>7009</v>
      </c>
      <c r="E3384">
        <v>4.902010395498426</v>
      </c>
    </row>
    <row r="3385" spans="1:5">
      <c r="A3385" t="s">
        <v>4999</v>
      </c>
      <c r="B3385" t="s">
        <v>967</v>
      </c>
      <c r="C3385" t="s">
        <v>995</v>
      </c>
      <c r="D3385" t="s">
        <v>7010</v>
      </c>
      <c r="E3385">
        <v>3.779675349868674</v>
      </c>
    </row>
    <row r="3386" spans="1:5">
      <c r="A3386" t="s">
        <v>5000</v>
      </c>
      <c r="B3386" t="s">
        <v>967</v>
      </c>
      <c r="C3386" t="s">
        <v>995</v>
      </c>
      <c r="D3386" t="s">
        <v>7011</v>
      </c>
      <c r="E3386">
        <v>0.8527497572972208</v>
      </c>
    </row>
    <row r="3387" spans="1:5">
      <c r="A3387" t="s">
        <v>5001</v>
      </c>
      <c r="B3387" t="s">
        <v>967</v>
      </c>
      <c r="C3387" t="s">
        <v>995</v>
      </c>
      <c r="D3387" t="s">
        <v>7012</v>
      </c>
      <c r="E3387">
        <v>175.1585966359139</v>
      </c>
    </row>
    <row r="3388" spans="1:5">
      <c r="A3388" t="s">
        <v>5002</v>
      </c>
      <c r="B3388" t="s">
        <v>967</v>
      </c>
      <c r="C3388" t="s">
        <v>995</v>
      </c>
      <c r="D3388" t="s">
        <v>7013</v>
      </c>
      <c r="E3388">
        <v>0.3331214159834281</v>
      </c>
    </row>
    <row r="3389" spans="1:5">
      <c r="A3389" t="s">
        <v>5003</v>
      </c>
      <c r="B3389" t="s">
        <v>967</v>
      </c>
      <c r="C3389" t="s">
        <v>995</v>
      </c>
      <c r="D3389" t="s">
        <v>7014</v>
      </c>
      <c r="E3389">
        <v>0.2121275777886454</v>
      </c>
    </row>
    <row r="3390" spans="1:5">
      <c r="A3390" t="s">
        <v>5004</v>
      </c>
      <c r="B3390" t="s">
        <v>967</v>
      </c>
      <c r="C3390" t="s">
        <v>995</v>
      </c>
      <c r="D3390" t="s">
        <v>6981</v>
      </c>
      <c r="E3390">
        <v>216.2716036031219</v>
      </c>
    </row>
    <row r="3391" spans="1:5">
      <c r="A3391" t="s">
        <v>5005</v>
      </c>
      <c r="B3391" t="s">
        <v>967</v>
      </c>
      <c r="C3391" t="s">
        <v>995</v>
      </c>
      <c r="D3391" t="s">
        <v>7015</v>
      </c>
      <c r="E3391">
        <v>175.1585966359139</v>
      </c>
    </row>
    <row r="3392" spans="1:5">
      <c r="A3392" t="s">
        <v>5006</v>
      </c>
      <c r="B3392" t="s">
        <v>967</v>
      </c>
      <c r="C3392" t="s">
        <v>995</v>
      </c>
      <c r="D3392" t="s">
        <v>7016</v>
      </c>
      <c r="E3392">
        <v>184.6265355819327</v>
      </c>
    </row>
    <row r="3393" spans="1:5">
      <c r="A3393" t="s">
        <v>5007</v>
      </c>
      <c r="B3393" t="s">
        <v>967</v>
      </c>
      <c r="C3393" t="s">
        <v>995</v>
      </c>
      <c r="D3393" t="s">
        <v>7017</v>
      </c>
      <c r="E3393">
        <v>182.0008538574416</v>
      </c>
    </row>
    <row r="3394" spans="1:5">
      <c r="A3394" t="s">
        <v>5008</v>
      </c>
      <c r="B3394" t="s">
        <v>967</v>
      </c>
      <c r="C3394" t="s">
        <v>995</v>
      </c>
      <c r="D3394" t="s">
        <v>7018</v>
      </c>
      <c r="E3394">
        <v>156.7668861339264</v>
      </c>
    </row>
    <row r="3395" spans="1:5">
      <c r="A3395" t="s">
        <v>5009</v>
      </c>
      <c r="B3395" t="s">
        <v>967</v>
      </c>
      <c r="C3395" t="s">
        <v>995</v>
      </c>
      <c r="D3395" t="s">
        <v>7019</v>
      </c>
      <c r="E3395">
        <v>2.5495102447433</v>
      </c>
    </row>
    <row r="3396" spans="1:5">
      <c r="A3396" t="s">
        <v>5010</v>
      </c>
      <c r="B3396" t="s">
        <v>967</v>
      </c>
      <c r="C3396" t="s">
        <v>995</v>
      </c>
      <c r="D3396" t="s">
        <v>997</v>
      </c>
      <c r="E3396">
        <v>182.0008538574416</v>
      </c>
    </row>
    <row r="3397" spans="1:5">
      <c r="A3397" t="s">
        <v>5011</v>
      </c>
      <c r="B3397" t="s">
        <v>967</v>
      </c>
      <c r="C3397" t="s">
        <v>995</v>
      </c>
      <c r="D3397" t="s">
        <v>7020</v>
      </c>
      <c r="E3397">
        <v>833.8668062837038</v>
      </c>
    </row>
    <row r="3398" spans="1:5">
      <c r="A3398" t="s">
        <v>5012</v>
      </c>
      <c r="B3398" t="s">
        <v>967</v>
      </c>
      <c r="C3398" t="s">
        <v>995</v>
      </c>
      <c r="D3398" t="s">
        <v>7021</v>
      </c>
      <c r="E3398">
        <v>0.1046785212816377</v>
      </c>
    </row>
    <row r="3399" spans="1:5">
      <c r="A3399" t="s">
        <v>5013</v>
      </c>
      <c r="B3399" t="s">
        <v>967</v>
      </c>
      <c r="C3399" t="s">
        <v>995</v>
      </c>
      <c r="D3399" t="s">
        <v>7022</v>
      </c>
      <c r="E3399">
        <v>313.5337722678528</v>
      </c>
    </row>
    <row r="3400" spans="1:5">
      <c r="A3400" t="s">
        <v>5014</v>
      </c>
      <c r="B3400" t="s">
        <v>967</v>
      </c>
      <c r="C3400" t="s">
        <v>995</v>
      </c>
      <c r="D3400" t="s">
        <v>7023</v>
      </c>
      <c r="E3400">
        <v>241.6276616614184</v>
      </c>
    </row>
    <row r="3401" spans="1:5">
      <c r="A3401" t="s">
        <v>5015</v>
      </c>
      <c r="B3401" t="s">
        <v>967</v>
      </c>
      <c r="C3401" t="s">
        <v>995</v>
      </c>
      <c r="D3401" t="s">
        <v>7024</v>
      </c>
      <c r="E3401">
        <v>45.29263889563967</v>
      </c>
    </row>
    <row r="3402" spans="1:5">
      <c r="A3402" t="s">
        <v>5016</v>
      </c>
      <c r="B3402" t="s">
        <v>967</v>
      </c>
      <c r="C3402" t="s">
        <v>995</v>
      </c>
      <c r="D3402" t="s">
        <v>6982</v>
      </c>
      <c r="E3402">
        <v>60.36863148129776</v>
      </c>
    </row>
    <row r="3403" spans="1:5">
      <c r="A3403" t="s">
        <v>5017</v>
      </c>
      <c r="B3403" t="s">
        <v>967</v>
      </c>
      <c r="C3403" t="s">
        <v>995</v>
      </c>
      <c r="D3403" t="s">
        <v>7025</v>
      </c>
      <c r="E3403">
        <v>313.5337722678528</v>
      </c>
    </row>
    <row r="3404" spans="1:5">
      <c r="A3404" t="s">
        <v>5018</v>
      </c>
      <c r="B3404" t="s">
        <v>967</v>
      </c>
      <c r="C3404" t="s">
        <v>995</v>
      </c>
      <c r="D3404" t="s">
        <v>7026</v>
      </c>
      <c r="E3404">
        <v>3.313805527635838</v>
      </c>
    </row>
    <row r="3405" spans="1:5">
      <c r="A3405" t="s">
        <v>5019</v>
      </c>
      <c r="B3405" t="s">
        <v>967</v>
      </c>
      <c r="C3405" t="s">
        <v>995</v>
      </c>
      <c r="D3405" t="s">
        <v>7027</v>
      </c>
      <c r="E3405">
        <v>22.12647699596902</v>
      </c>
    </row>
    <row r="3406" spans="1:5">
      <c r="A3406" t="s">
        <v>5020</v>
      </c>
      <c r="B3406" t="s">
        <v>967</v>
      </c>
      <c r="C3406" t="s">
        <v>995</v>
      </c>
      <c r="D3406" t="s">
        <v>7028</v>
      </c>
      <c r="E3406">
        <v>111.5837396691948</v>
      </c>
    </row>
    <row r="3407" spans="1:5">
      <c r="A3407" t="s">
        <v>5021</v>
      </c>
      <c r="B3407" t="s">
        <v>967</v>
      </c>
      <c r="C3407" t="s">
        <v>995</v>
      </c>
      <c r="D3407" t="s">
        <v>7029</v>
      </c>
      <c r="E3407">
        <v>156.7668861339264</v>
      </c>
    </row>
    <row r="3408" spans="1:5">
      <c r="A3408" t="s">
        <v>5022</v>
      </c>
      <c r="B3408" t="s">
        <v>967</v>
      </c>
      <c r="C3408" t="s">
        <v>995</v>
      </c>
      <c r="D3408" t="s">
        <v>6983</v>
      </c>
      <c r="E3408">
        <v>220.3866146929061</v>
      </c>
    </row>
    <row r="3409" spans="1:5">
      <c r="A3409" t="s">
        <v>5023</v>
      </c>
      <c r="B3409" t="s">
        <v>967</v>
      </c>
      <c r="C3409" t="s">
        <v>995</v>
      </c>
      <c r="D3409" t="s">
        <v>7030</v>
      </c>
      <c r="E3409">
        <v>0.136316758211071</v>
      </c>
    </row>
    <row r="3410" spans="1:5">
      <c r="A3410" t="s">
        <v>5024</v>
      </c>
      <c r="B3410" t="s">
        <v>967</v>
      </c>
      <c r="C3410" t="s">
        <v>995</v>
      </c>
      <c r="D3410" t="s">
        <v>6984</v>
      </c>
      <c r="E3410">
        <v>385.9214242425228</v>
      </c>
    </row>
    <row r="3411" spans="1:5">
      <c r="A3411" t="s">
        <v>5025</v>
      </c>
      <c r="B3411" t="s">
        <v>967</v>
      </c>
      <c r="C3411" t="s">
        <v>995</v>
      </c>
      <c r="D3411" t="s">
        <v>7031</v>
      </c>
      <c r="E3411">
        <v>13564.61893148388</v>
      </c>
    </row>
    <row r="3412" spans="1:5">
      <c r="A3412" t="s">
        <v>5026</v>
      </c>
      <c r="B3412" t="s">
        <v>967</v>
      </c>
      <c r="C3412" t="s">
        <v>995</v>
      </c>
      <c r="D3412" t="s">
        <v>7032</v>
      </c>
      <c r="E3412">
        <v>0.3431844469006533</v>
      </c>
    </row>
    <row r="3413" spans="1:5">
      <c r="A3413" t="s">
        <v>5027</v>
      </c>
      <c r="B3413" t="s">
        <v>967</v>
      </c>
      <c r="C3413" t="s">
        <v>995</v>
      </c>
      <c r="D3413" t="s">
        <v>7033</v>
      </c>
      <c r="E3413">
        <v>46.03196892878859</v>
      </c>
    </row>
    <row r="3414" spans="1:5">
      <c r="A3414" t="s">
        <v>5028</v>
      </c>
      <c r="B3414" t="s">
        <v>967</v>
      </c>
      <c r="C3414" t="s">
        <v>995</v>
      </c>
      <c r="D3414" t="s">
        <v>6985</v>
      </c>
      <c r="E3414">
        <v>46.00466220771057</v>
      </c>
    </row>
    <row r="3415" spans="1:5">
      <c r="A3415" t="s">
        <v>5029</v>
      </c>
      <c r="B3415" t="s">
        <v>967</v>
      </c>
      <c r="C3415" t="s">
        <v>995</v>
      </c>
      <c r="D3415" t="s">
        <v>7034</v>
      </c>
      <c r="E3415">
        <v>0.09168248363468692</v>
      </c>
    </row>
    <row r="3416" spans="1:5">
      <c r="A3416" t="s">
        <v>5030</v>
      </c>
      <c r="B3416" t="s">
        <v>967</v>
      </c>
      <c r="C3416" t="s">
        <v>995</v>
      </c>
      <c r="D3416" t="s">
        <v>7035</v>
      </c>
      <c r="E3416">
        <v>0.6897442679190494</v>
      </c>
    </row>
    <row r="3417" spans="1:5">
      <c r="A3417" t="s">
        <v>5031</v>
      </c>
      <c r="B3417" t="s">
        <v>967</v>
      </c>
      <c r="C3417" t="s">
        <v>995</v>
      </c>
      <c r="D3417" t="s">
        <v>7036</v>
      </c>
      <c r="E3417">
        <v>13.06390957506837</v>
      </c>
    </row>
    <row r="3418" spans="1:5">
      <c r="A3418" t="s">
        <v>5032</v>
      </c>
      <c r="B3418" t="s">
        <v>967</v>
      </c>
      <c r="C3418" t="s">
        <v>995</v>
      </c>
      <c r="D3418" t="s">
        <v>7037</v>
      </c>
      <c r="E3418">
        <v>3.228247676053145</v>
      </c>
    </row>
    <row r="3419" spans="1:5">
      <c r="A3419" t="s">
        <v>5033</v>
      </c>
      <c r="B3419" t="s">
        <v>967</v>
      </c>
      <c r="C3419" t="s">
        <v>995</v>
      </c>
      <c r="D3419" t="s">
        <v>6986</v>
      </c>
      <c r="E3419">
        <v>14.68725719390955</v>
      </c>
    </row>
    <row r="3420" spans="1:5">
      <c r="A3420" t="s">
        <v>5034</v>
      </c>
      <c r="B3420" t="s">
        <v>967</v>
      </c>
      <c r="C3420" t="s">
        <v>995</v>
      </c>
      <c r="D3420" t="s">
        <v>7038</v>
      </c>
      <c r="E3420">
        <v>1.764191233829934</v>
      </c>
    </row>
    <row r="3421" spans="1:5">
      <c r="A3421" t="s">
        <v>5035</v>
      </c>
      <c r="B3421" t="s">
        <v>967</v>
      </c>
      <c r="C3421" t="s">
        <v>995</v>
      </c>
      <c r="D3421" t="s">
        <v>6987</v>
      </c>
      <c r="E3421">
        <v>47.69204354471517</v>
      </c>
    </row>
    <row r="3422" spans="1:5">
      <c r="A3422" t="s">
        <v>5036</v>
      </c>
      <c r="B3422" t="s">
        <v>967</v>
      </c>
      <c r="C3422" t="s">
        <v>995</v>
      </c>
      <c r="D3422" t="s">
        <v>7039</v>
      </c>
      <c r="E3422">
        <v>5.34907077513506</v>
      </c>
    </row>
    <row r="3423" spans="1:5">
      <c r="A3423" t="s">
        <v>5037</v>
      </c>
      <c r="B3423" t="s">
        <v>967</v>
      </c>
      <c r="C3423" t="s">
        <v>995</v>
      </c>
      <c r="D3423" t="s">
        <v>7040</v>
      </c>
      <c r="E3423">
        <v>2.351335499241354</v>
      </c>
    </row>
    <row r="3424" spans="1:5">
      <c r="A3424" t="s">
        <v>5038</v>
      </c>
      <c r="B3424" t="s">
        <v>967</v>
      </c>
      <c r="C3424" t="s">
        <v>995</v>
      </c>
      <c r="D3424" t="s">
        <v>7041</v>
      </c>
      <c r="E3424">
        <v>6.325688725935987</v>
      </c>
    </row>
    <row r="3425" spans="1:5">
      <c r="A3425" t="s">
        <v>5039</v>
      </c>
      <c r="B3425" t="s">
        <v>967</v>
      </c>
      <c r="C3425" t="s">
        <v>995</v>
      </c>
      <c r="D3425" t="s">
        <v>7042</v>
      </c>
      <c r="E3425">
        <v>20.90225516668593</v>
      </c>
    </row>
    <row r="3426" spans="1:5">
      <c r="A3426" t="s">
        <v>5040</v>
      </c>
      <c r="B3426" t="s">
        <v>967</v>
      </c>
      <c r="C3426" t="s">
        <v>995</v>
      </c>
      <c r="D3426" t="s">
        <v>7043</v>
      </c>
      <c r="E3426">
        <v>1.916259922138084</v>
      </c>
    </row>
    <row r="3427" spans="1:5">
      <c r="A3427" t="s">
        <v>5041</v>
      </c>
      <c r="B3427" t="s">
        <v>967</v>
      </c>
      <c r="C3427" t="s">
        <v>995</v>
      </c>
      <c r="D3427" t="s">
        <v>7044</v>
      </c>
      <c r="E3427">
        <v>139.8078187461068</v>
      </c>
    </row>
    <row r="3428" spans="1:5">
      <c r="A3428" t="s">
        <v>5042</v>
      </c>
      <c r="B3428" t="s">
        <v>967</v>
      </c>
      <c r="C3428" t="s">
        <v>995</v>
      </c>
      <c r="D3428" t="s">
        <v>7045</v>
      </c>
      <c r="E3428">
        <v>412.8305512676733</v>
      </c>
    </row>
    <row r="3429" spans="1:5">
      <c r="A3429" t="s">
        <v>5043</v>
      </c>
      <c r="B3429" t="s">
        <v>967</v>
      </c>
      <c r="C3429" t="s">
        <v>995</v>
      </c>
      <c r="D3429" t="s">
        <v>7046</v>
      </c>
      <c r="E3429">
        <v>47.69206271412595</v>
      </c>
    </row>
    <row r="3430" spans="1:5">
      <c r="A3430" t="s">
        <v>5044</v>
      </c>
      <c r="B3430" t="s">
        <v>967</v>
      </c>
      <c r="C3430" t="s">
        <v>995</v>
      </c>
      <c r="D3430" t="s">
        <v>6988</v>
      </c>
      <c r="E3430">
        <v>412.8300724847782</v>
      </c>
    </row>
    <row r="3431" spans="1:5">
      <c r="A3431" t="s">
        <v>5045</v>
      </c>
      <c r="B3431" t="s">
        <v>967</v>
      </c>
      <c r="C3431" t="s">
        <v>995</v>
      </c>
      <c r="D3431" t="s">
        <v>7047</v>
      </c>
      <c r="E3431">
        <v>118.6002011749979</v>
      </c>
    </row>
    <row r="3432" spans="1:5">
      <c r="A3432" t="s">
        <v>5046</v>
      </c>
      <c r="B3432" t="s">
        <v>967</v>
      </c>
      <c r="C3432" t="s">
        <v>995</v>
      </c>
      <c r="D3432" t="s">
        <v>7048</v>
      </c>
      <c r="E3432">
        <v>412.8305512676733</v>
      </c>
    </row>
    <row r="3433" spans="1:5">
      <c r="A3433" t="s">
        <v>5047</v>
      </c>
      <c r="B3433" t="s">
        <v>967</v>
      </c>
      <c r="C3433" t="s">
        <v>995</v>
      </c>
      <c r="D3433" t="s">
        <v>7049</v>
      </c>
      <c r="E3433">
        <v>27.8203925915291</v>
      </c>
    </row>
    <row r="3434" spans="1:5">
      <c r="A3434" t="s">
        <v>5048</v>
      </c>
      <c r="B3434" t="s">
        <v>967</v>
      </c>
      <c r="C3434" t="s">
        <v>995</v>
      </c>
      <c r="D3434" t="s">
        <v>7050</v>
      </c>
      <c r="E3434">
        <v>412.8305512676733</v>
      </c>
    </row>
    <row r="3435" spans="1:5">
      <c r="A3435" t="s">
        <v>5049</v>
      </c>
      <c r="B3435" t="s">
        <v>967</v>
      </c>
      <c r="C3435" t="s">
        <v>995</v>
      </c>
      <c r="D3435" t="s">
        <v>7051</v>
      </c>
      <c r="E3435">
        <v>4.224217279462833</v>
      </c>
    </row>
    <row r="3436" spans="1:5">
      <c r="A3436" t="s">
        <v>5050</v>
      </c>
      <c r="B3436" t="s">
        <v>967</v>
      </c>
      <c r="C3436" t="s">
        <v>995</v>
      </c>
      <c r="D3436" t="s">
        <v>7052</v>
      </c>
      <c r="E3436">
        <v>0.03571615853635013</v>
      </c>
    </row>
    <row r="3437" spans="1:5">
      <c r="A3437" t="s">
        <v>5051</v>
      </c>
      <c r="B3437" t="s">
        <v>967</v>
      </c>
      <c r="C3437" t="s">
        <v>995</v>
      </c>
      <c r="D3437" t="s">
        <v>7053</v>
      </c>
      <c r="E3437">
        <v>41.14297559815841</v>
      </c>
    </row>
    <row r="3438" spans="1:5">
      <c r="A3438" t="s">
        <v>5052</v>
      </c>
      <c r="B3438" t="s">
        <v>967</v>
      </c>
      <c r="C3438" t="s">
        <v>995</v>
      </c>
      <c r="D3438" t="s">
        <v>7054</v>
      </c>
      <c r="E3438">
        <v>1.497449761147742</v>
      </c>
    </row>
    <row r="3439" spans="1:5">
      <c r="A3439" t="s">
        <v>5053</v>
      </c>
      <c r="B3439" t="s">
        <v>967</v>
      </c>
      <c r="C3439" t="s">
        <v>995</v>
      </c>
      <c r="D3439" t="s">
        <v>6989</v>
      </c>
      <c r="E3439">
        <v>39.99749764737278</v>
      </c>
    </row>
    <row r="3440" spans="1:5">
      <c r="A3440" t="s">
        <v>5054</v>
      </c>
      <c r="B3440" t="s">
        <v>967</v>
      </c>
      <c r="C3440" t="s">
        <v>995</v>
      </c>
      <c r="D3440" t="s">
        <v>7055</v>
      </c>
      <c r="E3440">
        <v>11.73777330977575</v>
      </c>
    </row>
    <row r="3441" spans="1:5">
      <c r="A3441" t="s">
        <v>5055</v>
      </c>
      <c r="B3441" t="s">
        <v>967</v>
      </c>
      <c r="C3441" t="s">
        <v>995</v>
      </c>
      <c r="D3441" t="s">
        <v>7056</v>
      </c>
      <c r="E3441">
        <v>47.24437321653726</v>
      </c>
    </row>
    <row r="3442" spans="1:5">
      <c r="A3442" t="s">
        <v>5056</v>
      </c>
      <c r="B3442" t="s">
        <v>967</v>
      </c>
      <c r="C3442" t="s">
        <v>995</v>
      </c>
      <c r="D3442" t="s">
        <v>7057</v>
      </c>
      <c r="E3442">
        <v>2.395716159077806</v>
      </c>
    </row>
    <row r="3443" spans="1:5">
      <c r="A3443" t="s">
        <v>5057</v>
      </c>
      <c r="B3443" t="s">
        <v>967</v>
      </c>
      <c r="C3443" t="s">
        <v>995</v>
      </c>
      <c r="D3443" t="s">
        <v>6990</v>
      </c>
      <c r="E3443">
        <v>0.01745801569180214</v>
      </c>
    </row>
    <row r="3444" spans="1:5">
      <c r="A3444" t="s">
        <v>5058</v>
      </c>
      <c r="B3444" t="s">
        <v>967</v>
      </c>
      <c r="C3444" t="s">
        <v>995</v>
      </c>
      <c r="D3444" t="s">
        <v>6991</v>
      </c>
      <c r="E3444">
        <v>105.0703927269507</v>
      </c>
    </row>
    <row r="3445" spans="1:5">
      <c r="A3445" t="s">
        <v>5059</v>
      </c>
      <c r="B3445" t="s">
        <v>967</v>
      </c>
      <c r="C3445" t="s">
        <v>995</v>
      </c>
      <c r="D3445" t="s">
        <v>7058</v>
      </c>
      <c r="E3445">
        <v>412.8305512676733</v>
      </c>
    </row>
    <row r="3446" spans="1:5">
      <c r="A3446" t="s">
        <v>5060</v>
      </c>
      <c r="B3446" t="s">
        <v>967</v>
      </c>
      <c r="C3446" t="s">
        <v>995</v>
      </c>
      <c r="D3446" t="s">
        <v>6992</v>
      </c>
      <c r="E3446">
        <v>3.313802596926633</v>
      </c>
    </row>
    <row r="3447" spans="1:5">
      <c r="A3447" t="s">
        <v>5061</v>
      </c>
      <c r="B3447" t="s">
        <v>967</v>
      </c>
      <c r="C3447" t="s">
        <v>995</v>
      </c>
      <c r="D3447" t="s">
        <v>7059</v>
      </c>
      <c r="E3447">
        <v>0.2390629715681337</v>
      </c>
    </row>
    <row r="3448" spans="1:5">
      <c r="A3448" t="s">
        <v>5062</v>
      </c>
      <c r="B3448" t="s">
        <v>967</v>
      </c>
      <c r="C3448" t="s">
        <v>995</v>
      </c>
      <c r="D3448" t="s">
        <v>7060</v>
      </c>
      <c r="E3448">
        <v>0.0002285678972318748</v>
      </c>
    </row>
    <row r="3449" spans="1:5">
      <c r="A3449" t="s">
        <v>5063</v>
      </c>
      <c r="B3449" t="s">
        <v>967</v>
      </c>
      <c r="C3449" t="s">
        <v>995</v>
      </c>
      <c r="D3449" t="s">
        <v>6993</v>
      </c>
      <c r="E3449">
        <v>2.474025726570419</v>
      </c>
    </row>
    <row r="3450" spans="1:5">
      <c r="A3450" t="s">
        <v>5064</v>
      </c>
      <c r="B3450" t="s">
        <v>967</v>
      </c>
      <c r="C3450" t="s">
        <v>995</v>
      </c>
      <c r="D3450" t="s">
        <v>7061</v>
      </c>
      <c r="E3450">
        <v>412.8305512676733</v>
      </c>
    </row>
    <row r="3451" spans="1:5">
      <c r="A3451" t="s">
        <v>5065</v>
      </c>
      <c r="B3451" t="s">
        <v>967</v>
      </c>
      <c r="C3451" t="s">
        <v>995</v>
      </c>
      <c r="D3451" t="s">
        <v>7062</v>
      </c>
      <c r="E3451">
        <v>1.986856350567052</v>
      </c>
    </row>
    <row r="3452" spans="1:5">
      <c r="A3452" t="s">
        <v>5066</v>
      </c>
      <c r="B3452" t="s">
        <v>967</v>
      </c>
      <c r="C3452" t="s">
        <v>995</v>
      </c>
      <c r="D3452" t="s">
        <v>7063</v>
      </c>
      <c r="E3452">
        <v>442.2199404928287</v>
      </c>
    </row>
    <row r="3453" spans="1:5">
      <c r="A3453" t="s">
        <v>5067</v>
      </c>
      <c r="B3453" t="s">
        <v>967</v>
      </c>
      <c r="C3453" t="s">
        <v>995</v>
      </c>
      <c r="D3453" t="s">
        <v>6994</v>
      </c>
      <c r="E3453">
        <v>1.938508853418873</v>
      </c>
    </row>
    <row r="3454" spans="1:5">
      <c r="A3454" t="s">
        <v>5068</v>
      </c>
      <c r="B3454" t="s">
        <v>967</v>
      </c>
      <c r="C3454" t="s">
        <v>995</v>
      </c>
      <c r="D3454" t="s">
        <v>7064</v>
      </c>
      <c r="E3454">
        <v>2.421116838702422</v>
      </c>
    </row>
    <row r="3455" spans="1:5">
      <c r="A3455" t="s">
        <v>5069</v>
      </c>
      <c r="B3455" t="s">
        <v>967</v>
      </c>
      <c r="C3455" t="s">
        <v>995</v>
      </c>
      <c r="D3455" t="s">
        <v>7065</v>
      </c>
      <c r="E3455">
        <v>3.585906580516248</v>
      </c>
    </row>
    <row r="3456" spans="1:5">
      <c r="A3456" t="s">
        <v>5070</v>
      </c>
      <c r="B3456" t="s">
        <v>967</v>
      </c>
      <c r="C3456" t="s">
        <v>995</v>
      </c>
      <c r="D3456" t="s">
        <v>7066</v>
      </c>
      <c r="E3456">
        <v>0.07833127152165906</v>
      </c>
    </row>
    <row r="3457" spans="1:5">
      <c r="A3457" t="s">
        <v>5071</v>
      </c>
      <c r="B3457" t="s">
        <v>967</v>
      </c>
      <c r="C3457" t="s">
        <v>995</v>
      </c>
      <c r="D3457" t="s">
        <v>7067</v>
      </c>
      <c r="E3457">
        <v>216.2717350029315</v>
      </c>
    </row>
    <row r="3458" spans="1:5">
      <c r="A3458" t="s">
        <v>5072</v>
      </c>
      <c r="B3458" t="s">
        <v>967</v>
      </c>
      <c r="C3458" t="s">
        <v>995</v>
      </c>
      <c r="D3458" t="s">
        <v>7068</v>
      </c>
      <c r="E3458">
        <v>0.7235489114886088</v>
      </c>
    </row>
    <row r="3459" spans="1:5">
      <c r="A3459" t="s">
        <v>5073</v>
      </c>
      <c r="B3459" t="s">
        <v>967</v>
      </c>
      <c r="C3459" t="s">
        <v>995</v>
      </c>
      <c r="D3459" t="s">
        <v>6995</v>
      </c>
      <c r="E3459">
        <v>0.2031707037114832</v>
      </c>
    </row>
    <row r="3460" spans="1:5">
      <c r="A3460" t="s">
        <v>5074</v>
      </c>
      <c r="B3460" t="s">
        <v>967</v>
      </c>
      <c r="C3460" t="s">
        <v>995</v>
      </c>
      <c r="D3460" t="s">
        <v>7069</v>
      </c>
      <c r="E3460">
        <v>1015.805795265165</v>
      </c>
    </row>
    <row r="3461" spans="1:5">
      <c r="A3461" t="s">
        <v>5075</v>
      </c>
      <c r="B3461" t="s">
        <v>967</v>
      </c>
      <c r="C3461" t="s">
        <v>995</v>
      </c>
      <c r="D3461" t="s">
        <v>7070</v>
      </c>
      <c r="E3461">
        <v>376.2405930003467</v>
      </c>
    </row>
    <row r="3462" spans="1:5">
      <c r="A3462" t="s">
        <v>5076</v>
      </c>
      <c r="B3462" t="s">
        <v>967</v>
      </c>
      <c r="C3462" t="s">
        <v>995</v>
      </c>
      <c r="D3462" t="s">
        <v>7071</v>
      </c>
      <c r="E3462">
        <v>0.644782605656477</v>
      </c>
    </row>
    <row r="3463" spans="1:5">
      <c r="A3463" t="s">
        <v>5077</v>
      </c>
      <c r="B3463" t="s">
        <v>967</v>
      </c>
      <c r="C3463" t="s">
        <v>995</v>
      </c>
      <c r="D3463" t="s">
        <v>7072</v>
      </c>
      <c r="E3463">
        <v>0.01418722301134932</v>
      </c>
    </row>
    <row r="3464" spans="1:5">
      <c r="A3464" t="s">
        <v>5078</v>
      </c>
      <c r="B3464" t="s">
        <v>967</v>
      </c>
      <c r="C3464" t="s">
        <v>995</v>
      </c>
      <c r="D3464" t="s">
        <v>7073</v>
      </c>
      <c r="E3464">
        <v>0.003503171284084688</v>
      </c>
    </row>
    <row r="3465" spans="1:5">
      <c r="A3465" t="s">
        <v>5079</v>
      </c>
      <c r="B3465" t="s">
        <v>967</v>
      </c>
      <c r="C3465" t="s">
        <v>995</v>
      </c>
      <c r="D3465" t="s">
        <v>7074</v>
      </c>
      <c r="E3465">
        <v>0.9338927068825463</v>
      </c>
    </row>
    <row r="3466" spans="1:5">
      <c r="A3466" t="s">
        <v>5080</v>
      </c>
      <c r="B3466" t="s">
        <v>967</v>
      </c>
      <c r="C3466" t="s">
        <v>995</v>
      </c>
      <c r="D3466" t="s">
        <v>7075</v>
      </c>
      <c r="E3466">
        <v>1.721846108064363</v>
      </c>
    </row>
    <row r="3467" spans="1:5">
      <c r="A3467" t="s">
        <v>5081</v>
      </c>
      <c r="B3467" t="s">
        <v>967</v>
      </c>
      <c r="C3467" t="s">
        <v>995</v>
      </c>
      <c r="D3467" t="s">
        <v>7076</v>
      </c>
      <c r="E3467">
        <v>18.91315492924969</v>
      </c>
    </row>
    <row r="3468" spans="1:5">
      <c r="A3468" t="s">
        <v>5082</v>
      </c>
      <c r="B3468" t="s">
        <v>967</v>
      </c>
      <c r="C3468" t="s">
        <v>995</v>
      </c>
      <c r="D3468" t="s">
        <v>7077</v>
      </c>
      <c r="E3468">
        <v>48.94076557421091</v>
      </c>
    </row>
    <row r="3469" spans="1:5">
      <c r="A3469" t="s">
        <v>5083</v>
      </c>
      <c r="B3469" t="s">
        <v>967</v>
      </c>
      <c r="C3469" t="s">
        <v>995</v>
      </c>
      <c r="D3469" t="s">
        <v>7078</v>
      </c>
      <c r="E3469">
        <v>33.35770106140138</v>
      </c>
    </row>
    <row r="3470" spans="1:5">
      <c r="A3470" t="s">
        <v>5084</v>
      </c>
      <c r="B3470" t="s">
        <v>967</v>
      </c>
      <c r="C3470" t="s">
        <v>995</v>
      </c>
      <c r="D3470" t="s">
        <v>7079</v>
      </c>
      <c r="E3470">
        <v>17.81792062816949</v>
      </c>
    </row>
    <row r="3471" spans="1:5">
      <c r="A3471" t="s">
        <v>5085</v>
      </c>
      <c r="B3471" t="s">
        <v>967</v>
      </c>
      <c r="C3471" t="s">
        <v>995</v>
      </c>
      <c r="D3471" t="s">
        <v>7080</v>
      </c>
      <c r="E3471">
        <v>0.07402556593851749</v>
      </c>
    </row>
    <row r="3472" spans="1:5">
      <c r="A3472" t="s">
        <v>5086</v>
      </c>
      <c r="B3472" t="s">
        <v>967</v>
      </c>
      <c r="C3472" t="s">
        <v>995</v>
      </c>
      <c r="D3472" t="s">
        <v>7081</v>
      </c>
      <c r="E3472">
        <v>5.771242422424598</v>
      </c>
    </row>
    <row r="3473" spans="1:5">
      <c r="A3473" t="s">
        <v>5087</v>
      </c>
      <c r="B3473" t="s">
        <v>967</v>
      </c>
      <c r="C3473" t="s">
        <v>995</v>
      </c>
      <c r="D3473" t="s">
        <v>7082</v>
      </c>
      <c r="E3473">
        <v>0.1496023255762885</v>
      </c>
    </row>
    <row r="3474" spans="1:5">
      <c r="A3474" t="s">
        <v>5088</v>
      </c>
      <c r="B3474" t="s">
        <v>967</v>
      </c>
      <c r="C3474" t="s">
        <v>995</v>
      </c>
      <c r="D3474" t="s">
        <v>7083</v>
      </c>
      <c r="E3474">
        <v>0.08738071414100114</v>
      </c>
    </row>
    <row r="3475" spans="1:5">
      <c r="A3475" t="s">
        <v>5089</v>
      </c>
      <c r="B3475" t="s">
        <v>967</v>
      </c>
      <c r="C3475" t="s">
        <v>995</v>
      </c>
      <c r="D3475" t="s">
        <v>7084</v>
      </c>
      <c r="E3475">
        <v>38.83253787387049</v>
      </c>
    </row>
    <row r="3476" spans="1:5">
      <c r="A3476" t="s">
        <v>5090</v>
      </c>
      <c r="B3476" t="s">
        <v>967</v>
      </c>
      <c r="C3476" t="s">
        <v>995</v>
      </c>
      <c r="D3476" t="s">
        <v>7085</v>
      </c>
      <c r="E3476">
        <v>7.848386501540198</v>
      </c>
    </row>
    <row r="3477" spans="1:5">
      <c r="A3477" t="s">
        <v>5091</v>
      </c>
      <c r="B3477" t="s">
        <v>967</v>
      </c>
      <c r="C3477" t="s">
        <v>995</v>
      </c>
      <c r="D3477" t="s">
        <v>7086</v>
      </c>
      <c r="E3477">
        <v>6.522128555342199</v>
      </c>
    </row>
    <row r="3478" spans="1:5">
      <c r="A3478" t="s">
        <v>5092</v>
      </c>
      <c r="B3478" t="s">
        <v>967</v>
      </c>
      <c r="C3478" t="s">
        <v>995</v>
      </c>
      <c r="D3478" t="s">
        <v>7087</v>
      </c>
      <c r="E3478">
        <v>20.30185343960527</v>
      </c>
    </row>
    <row r="3479" spans="1:5">
      <c r="A3479" t="s">
        <v>5093</v>
      </c>
      <c r="B3479" t="s">
        <v>967</v>
      </c>
      <c r="C3479" t="s">
        <v>995</v>
      </c>
      <c r="D3479" t="s">
        <v>7088</v>
      </c>
      <c r="E3479">
        <v>0.1800012431904215</v>
      </c>
    </row>
    <row r="3480" spans="1:5">
      <c r="A3480" t="s">
        <v>5094</v>
      </c>
      <c r="B3480" t="s">
        <v>967</v>
      </c>
      <c r="C3480" t="s">
        <v>995</v>
      </c>
      <c r="D3480" t="s">
        <v>6996</v>
      </c>
      <c r="E3480">
        <v>17.79770134620209</v>
      </c>
    </row>
    <row r="3481" spans="1:5">
      <c r="A3481" t="s">
        <v>5095</v>
      </c>
      <c r="B3481" t="s">
        <v>967</v>
      </c>
      <c r="C3481" t="s">
        <v>995</v>
      </c>
      <c r="D3481" t="s">
        <v>6997</v>
      </c>
      <c r="E3481">
        <v>75.77942939353292</v>
      </c>
    </row>
    <row r="3482" spans="1:5">
      <c r="A3482" t="s">
        <v>5096</v>
      </c>
      <c r="B3482" t="s">
        <v>967</v>
      </c>
      <c r="C3482" t="s">
        <v>995</v>
      </c>
      <c r="D3482" t="s">
        <v>7089</v>
      </c>
      <c r="E3482">
        <v>4.915293717754334</v>
      </c>
    </row>
    <row r="3483" spans="1:5">
      <c r="A3483" t="s">
        <v>5097</v>
      </c>
      <c r="B3483" t="s">
        <v>967</v>
      </c>
      <c r="C3483" t="s">
        <v>995</v>
      </c>
      <c r="D3483" t="s">
        <v>7090</v>
      </c>
      <c r="E3483">
        <v>18.91315492924969</v>
      </c>
    </row>
    <row r="3484" spans="1:5">
      <c r="A3484" t="s">
        <v>5098</v>
      </c>
      <c r="B3484" t="s">
        <v>967</v>
      </c>
      <c r="C3484" t="s">
        <v>995</v>
      </c>
      <c r="D3484" t="s">
        <v>7091</v>
      </c>
      <c r="E3484">
        <v>0.2305525684789247</v>
      </c>
    </row>
    <row r="3485" spans="1:5">
      <c r="A3485" t="s">
        <v>5099</v>
      </c>
      <c r="B3485" t="s">
        <v>967</v>
      </c>
      <c r="C3485" t="s">
        <v>995</v>
      </c>
      <c r="D3485" t="s">
        <v>7092</v>
      </c>
      <c r="E3485">
        <v>8.524591471259061</v>
      </c>
    </row>
    <row r="3486" spans="1:5">
      <c r="A3486" t="s">
        <v>5100</v>
      </c>
      <c r="B3486" t="s">
        <v>967</v>
      </c>
      <c r="C3486" t="s">
        <v>995</v>
      </c>
      <c r="D3486" t="s">
        <v>6998</v>
      </c>
      <c r="E3486">
        <v>31.83269078519707</v>
      </c>
    </row>
    <row r="3487" spans="1:5">
      <c r="A3487" t="s">
        <v>5101</v>
      </c>
      <c r="B3487" t="s">
        <v>967</v>
      </c>
      <c r="C3487" t="s">
        <v>995</v>
      </c>
      <c r="D3487" t="s">
        <v>7093</v>
      </c>
      <c r="E3487">
        <v>2.071128449952149</v>
      </c>
    </row>
    <row r="3488" spans="1:5">
      <c r="A3488" t="s">
        <v>5102</v>
      </c>
      <c r="B3488" t="s">
        <v>967</v>
      </c>
      <c r="C3488" t="s">
        <v>995</v>
      </c>
      <c r="D3488" t="s">
        <v>6999</v>
      </c>
      <c r="E3488">
        <v>177.0101985456791</v>
      </c>
    </row>
    <row r="3489" spans="1:5">
      <c r="A3489" t="s">
        <v>5103</v>
      </c>
      <c r="B3489" t="s">
        <v>967</v>
      </c>
      <c r="C3489" t="s">
        <v>995</v>
      </c>
      <c r="D3489" t="s">
        <v>7094</v>
      </c>
      <c r="E3489">
        <v>815.438905548085</v>
      </c>
    </row>
    <row r="3490" spans="1:5">
      <c r="A3490" t="s">
        <v>5104</v>
      </c>
      <c r="B3490" t="s">
        <v>967</v>
      </c>
      <c r="C3490" t="s">
        <v>995</v>
      </c>
      <c r="D3490" t="s">
        <v>7095</v>
      </c>
      <c r="E3490">
        <v>313.5337722678528</v>
      </c>
    </row>
    <row r="3491" spans="1:5">
      <c r="A3491" t="s">
        <v>5105</v>
      </c>
      <c r="B3491" t="s">
        <v>967</v>
      </c>
      <c r="C3491" t="s">
        <v>995</v>
      </c>
      <c r="D3491" t="s">
        <v>7096</v>
      </c>
      <c r="E3491">
        <v>92.09618901772494</v>
      </c>
    </row>
    <row r="3492" spans="1:5">
      <c r="A3492" t="s">
        <v>5106</v>
      </c>
      <c r="B3492" t="s">
        <v>967</v>
      </c>
      <c r="C3492" t="s">
        <v>995</v>
      </c>
      <c r="D3492" t="s">
        <v>7097</v>
      </c>
      <c r="E3492">
        <v>71.56794851715186</v>
      </c>
    </row>
    <row r="3493" spans="1:5">
      <c r="A3493" t="s">
        <v>5107</v>
      </c>
      <c r="B3493" t="s">
        <v>967</v>
      </c>
      <c r="C3493" t="s">
        <v>995</v>
      </c>
      <c r="D3493" t="s">
        <v>7000</v>
      </c>
      <c r="E3493">
        <v>5.118885476644309</v>
      </c>
    </row>
    <row r="3494" spans="1:5">
      <c r="A3494" t="s">
        <v>5108</v>
      </c>
      <c r="B3494" t="s">
        <v>967</v>
      </c>
      <c r="C3494" t="s">
        <v>995</v>
      </c>
      <c r="D3494" t="s">
        <v>7098</v>
      </c>
      <c r="E3494">
        <v>1.127264125772983</v>
      </c>
    </row>
    <row r="3495" spans="1:5">
      <c r="A3495" t="s">
        <v>5109</v>
      </c>
      <c r="B3495" t="s">
        <v>967</v>
      </c>
      <c r="C3495" t="s">
        <v>995</v>
      </c>
      <c r="D3495" t="s">
        <v>7001</v>
      </c>
      <c r="E3495">
        <v>83.02111172709689</v>
      </c>
    </row>
    <row r="3496" spans="1:5">
      <c r="A3496" t="s">
        <v>5110</v>
      </c>
      <c r="B3496" t="s">
        <v>967</v>
      </c>
      <c r="C3496" t="s">
        <v>995</v>
      </c>
      <c r="D3496" t="s">
        <v>7099</v>
      </c>
      <c r="E3496">
        <v>0.05158209807155564</v>
      </c>
    </row>
    <row r="3497" spans="1:5">
      <c r="A3497" t="s">
        <v>5111</v>
      </c>
      <c r="B3497" t="s">
        <v>967</v>
      </c>
      <c r="C3497" t="s">
        <v>995</v>
      </c>
      <c r="D3497" t="s">
        <v>7100</v>
      </c>
      <c r="E3497">
        <v>86.1356725649969</v>
      </c>
    </row>
    <row r="3498" spans="1:5">
      <c r="A3498" t="s">
        <v>5112</v>
      </c>
      <c r="B3498" t="s">
        <v>967</v>
      </c>
      <c r="C3498" t="s">
        <v>995</v>
      </c>
      <c r="D3498" t="s">
        <v>7002</v>
      </c>
      <c r="E3498">
        <v>67.94490198589766</v>
      </c>
    </row>
    <row r="3499" spans="1:5">
      <c r="A3499" t="s">
        <v>5113</v>
      </c>
      <c r="B3499" t="s">
        <v>967</v>
      </c>
      <c r="C3499" t="s">
        <v>995</v>
      </c>
      <c r="D3499" t="s">
        <v>7101</v>
      </c>
      <c r="E3499">
        <v>3.033731984158511</v>
      </c>
    </row>
    <row r="3500" spans="1:5">
      <c r="A3500" t="s">
        <v>5114</v>
      </c>
      <c r="B3500" t="s">
        <v>967</v>
      </c>
      <c r="C3500" t="s">
        <v>995</v>
      </c>
      <c r="D3500" t="s">
        <v>7102</v>
      </c>
      <c r="E3500">
        <v>4.187433846910777</v>
      </c>
    </row>
    <row r="3501" spans="1:5">
      <c r="A3501" t="s">
        <v>5115</v>
      </c>
      <c r="B3501" t="s">
        <v>967</v>
      </c>
      <c r="C3501" t="s">
        <v>995</v>
      </c>
      <c r="D3501" t="s">
        <v>7103</v>
      </c>
      <c r="E3501">
        <v>0.2136546019426394</v>
      </c>
    </row>
    <row r="3502" spans="1:5">
      <c r="A3502" t="s">
        <v>5116</v>
      </c>
      <c r="B3502" t="s">
        <v>967</v>
      </c>
      <c r="C3502" t="s">
        <v>995</v>
      </c>
      <c r="D3502" t="s">
        <v>7104</v>
      </c>
      <c r="E3502">
        <v>83.6090206667437</v>
      </c>
    </row>
    <row r="3503" spans="1:5">
      <c r="A3503" t="s">
        <v>5117</v>
      </c>
      <c r="B3503" t="s">
        <v>967</v>
      </c>
      <c r="C3503" t="s">
        <v>995</v>
      </c>
      <c r="D3503" t="s">
        <v>7105</v>
      </c>
      <c r="E3503">
        <v>39.34823328384443</v>
      </c>
    </row>
    <row r="3504" spans="1:5">
      <c r="A3504" t="s">
        <v>5118</v>
      </c>
      <c r="B3504" t="s">
        <v>967</v>
      </c>
      <c r="C3504" t="s">
        <v>995</v>
      </c>
      <c r="D3504" t="s">
        <v>7106</v>
      </c>
      <c r="E3504">
        <v>21.42848895637028</v>
      </c>
    </row>
    <row r="3505" spans="1:5">
      <c r="A3505" t="s">
        <v>5119</v>
      </c>
      <c r="B3505" t="s">
        <v>967</v>
      </c>
      <c r="C3505" t="s">
        <v>995</v>
      </c>
      <c r="D3505" t="s">
        <v>7107</v>
      </c>
      <c r="E3505">
        <v>0.7009122873697545</v>
      </c>
    </row>
    <row r="3506" spans="1:5">
      <c r="A3506" t="s">
        <v>5120</v>
      </c>
      <c r="B3506" t="s">
        <v>967</v>
      </c>
      <c r="C3506" t="s">
        <v>995</v>
      </c>
      <c r="D3506" t="s">
        <v>7003</v>
      </c>
      <c r="E3506">
        <v>32.11988341427158</v>
      </c>
    </row>
    <row r="3507" spans="1:5">
      <c r="A3507" t="s">
        <v>5121</v>
      </c>
      <c r="B3507" t="s">
        <v>967</v>
      </c>
      <c r="C3507" t="s">
        <v>995</v>
      </c>
      <c r="D3507" t="s">
        <v>7004</v>
      </c>
      <c r="E3507">
        <v>241.6276616614184</v>
      </c>
    </row>
    <row r="3508" spans="1:5">
      <c r="A3508" t="s">
        <v>5122</v>
      </c>
      <c r="B3508" t="s">
        <v>967</v>
      </c>
      <c r="C3508" t="s">
        <v>995</v>
      </c>
      <c r="D3508" t="s">
        <v>7108</v>
      </c>
      <c r="E3508">
        <v>412.8305512676733</v>
      </c>
    </row>
    <row r="3509" spans="1:5">
      <c r="A3509" t="s">
        <v>5123</v>
      </c>
      <c r="B3509" t="s">
        <v>967</v>
      </c>
      <c r="C3509" t="s">
        <v>995</v>
      </c>
      <c r="D3509" t="s">
        <v>7109</v>
      </c>
      <c r="E3509">
        <v>12.68112637434964</v>
      </c>
    </row>
    <row r="3510" spans="1:5">
      <c r="A3510" t="s">
        <v>5124</v>
      </c>
      <c r="B3510" t="s">
        <v>967</v>
      </c>
      <c r="C3510" t="s">
        <v>995</v>
      </c>
      <c r="D3510" t="s">
        <v>7110</v>
      </c>
      <c r="E3510">
        <v>0.01268076265011695</v>
      </c>
    </row>
    <row r="3511" spans="1:5">
      <c r="A3511" t="s">
        <v>5125</v>
      </c>
      <c r="B3511" t="s">
        <v>967</v>
      </c>
      <c r="C3511" t="s">
        <v>995</v>
      </c>
      <c r="D3511" t="s">
        <v>7111</v>
      </c>
      <c r="E3511">
        <v>0.5483189008929337</v>
      </c>
    </row>
    <row r="3512" spans="1:5">
      <c r="A3512" t="s">
        <v>5126</v>
      </c>
      <c r="B3512" t="s">
        <v>967</v>
      </c>
      <c r="C3512" t="s">
        <v>995</v>
      </c>
      <c r="D3512" t="s">
        <v>7112</v>
      </c>
      <c r="E3512">
        <v>8.323460581972762</v>
      </c>
    </row>
    <row r="3513" spans="1:5">
      <c r="A3513" t="s">
        <v>5127</v>
      </c>
      <c r="B3513" t="s">
        <v>967</v>
      </c>
      <c r="C3513" t="s">
        <v>995</v>
      </c>
      <c r="D3513" t="s">
        <v>7113</v>
      </c>
      <c r="E3513">
        <v>0.06049624635226969</v>
      </c>
    </row>
    <row r="3514" spans="1:5">
      <c r="A3514" t="s">
        <v>5128</v>
      </c>
      <c r="B3514" t="s">
        <v>967</v>
      </c>
      <c r="C3514" t="s">
        <v>995</v>
      </c>
      <c r="D3514" t="s">
        <v>7114</v>
      </c>
      <c r="E3514">
        <v>14.52909102040816</v>
      </c>
    </row>
    <row r="3515" spans="1:5">
      <c r="A3515" t="s">
        <v>5129</v>
      </c>
      <c r="B3515" t="s">
        <v>967</v>
      </c>
      <c r="C3515" t="s">
        <v>995</v>
      </c>
      <c r="D3515" t="s">
        <v>7115</v>
      </c>
      <c r="E3515">
        <v>2.794766261670225</v>
      </c>
    </row>
    <row r="3516" spans="1:5">
      <c r="A3516" t="s">
        <v>5130</v>
      </c>
      <c r="B3516" t="s">
        <v>967</v>
      </c>
      <c r="C3516" t="s">
        <v>995</v>
      </c>
      <c r="D3516" t="s">
        <v>7116</v>
      </c>
      <c r="E3516">
        <v>18.91315492924969</v>
      </c>
    </row>
    <row r="3517" spans="1:5">
      <c r="A3517" t="s">
        <v>5131</v>
      </c>
      <c r="B3517" t="s">
        <v>967</v>
      </c>
      <c r="C3517" t="s">
        <v>995</v>
      </c>
      <c r="D3517" t="s">
        <v>7005</v>
      </c>
      <c r="E3517">
        <v>9.385782552207685</v>
      </c>
    </row>
    <row r="3518" spans="1:5">
      <c r="A3518" t="s">
        <v>5132</v>
      </c>
      <c r="B3518" t="s">
        <v>967</v>
      </c>
      <c r="C3518" t="s">
        <v>995</v>
      </c>
      <c r="D3518" t="s">
        <v>7117</v>
      </c>
      <c r="E3518">
        <v>33.84298954636519</v>
      </c>
    </row>
    <row r="3519" spans="1:5">
      <c r="A3519" t="s">
        <v>5133</v>
      </c>
      <c r="B3519" t="s">
        <v>967</v>
      </c>
      <c r="C3519" t="s">
        <v>995</v>
      </c>
      <c r="D3519" t="s">
        <v>7118</v>
      </c>
      <c r="E3519">
        <v>89.65299399312421</v>
      </c>
    </row>
    <row r="3520" spans="1:5">
      <c r="A3520" t="s">
        <v>5134</v>
      </c>
      <c r="B3520" t="s">
        <v>967</v>
      </c>
      <c r="C3520" t="s">
        <v>995</v>
      </c>
      <c r="D3520" t="s">
        <v>7119</v>
      </c>
      <c r="E3520">
        <v>106.1140081877318</v>
      </c>
    </row>
    <row r="3521" spans="1:5">
      <c r="A3521" t="s">
        <v>5135</v>
      </c>
      <c r="B3521" t="s">
        <v>967</v>
      </c>
      <c r="C3521" t="s">
        <v>995</v>
      </c>
      <c r="D3521" t="s">
        <v>7120</v>
      </c>
      <c r="E3521">
        <v>131.5472799382698</v>
      </c>
    </row>
    <row r="3522" spans="1:5">
      <c r="A3522" t="s">
        <v>5136</v>
      </c>
      <c r="B3522" t="s">
        <v>967</v>
      </c>
      <c r="C3522" t="s">
        <v>995</v>
      </c>
      <c r="D3522" t="s">
        <v>7006</v>
      </c>
      <c r="E3522">
        <v>6.740504825021466</v>
      </c>
    </row>
    <row r="3523" spans="1:5">
      <c r="A3523" t="s">
        <v>5137</v>
      </c>
      <c r="B3523" t="s">
        <v>967</v>
      </c>
      <c r="C3523" t="s">
        <v>995</v>
      </c>
      <c r="D3523" t="s">
        <v>7121</v>
      </c>
      <c r="E3523">
        <v>43.37577455493442</v>
      </c>
    </row>
    <row r="3524" spans="1:5">
      <c r="A3524" t="s">
        <v>5138</v>
      </c>
      <c r="B3524" t="s">
        <v>967</v>
      </c>
      <c r="C3524" t="s">
        <v>995</v>
      </c>
      <c r="D3524" t="s">
        <v>7122</v>
      </c>
      <c r="E3524">
        <v>216.2717350029315</v>
      </c>
    </row>
    <row r="3525" spans="1:5">
      <c r="A3525" t="s">
        <v>5139</v>
      </c>
      <c r="B3525" t="s">
        <v>967</v>
      </c>
      <c r="C3525" t="s">
        <v>995</v>
      </c>
      <c r="D3525" t="s">
        <v>7123</v>
      </c>
      <c r="E3525">
        <v>9.881872333384877</v>
      </c>
    </row>
    <row r="3526" spans="1:5">
      <c r="A3526" t="s">
        <v>5140</v>
      </c>
      <c r="B3526" t="s">
        <v>967</v>
      </c>
      <c r="C3526" t="s">
        <v>995</v>
      </c>
      <c r="D3526" t="s">
        <v>7124</v>
      </c>
      <c r="E3526">
        <v>0.120058138898469</v>
      </c>
    </row>
    <row r="3527" spans="1:5">
      <c r="A3527" t="s">
        <v>5141</v>
      </c>
      <c r="B3527" t="s">
        <v>967</v>
      </c>
      <c r="C3527" t="s">
        <v>995</v>
      </c>
      <c r="D3527" t="s">
        <v>7125</v>
      </c>
      <c r="E3527">
        <v>6.99002099484108</v>
      </c>
    </row>
    <row r="3528" spans="1:5">
      <c r="A3528" t="s">
        <v>5142</v>
      </c>
      <c r="B3528" t="s">
        <v>967</v>
      </c>
      <c r="C3528" t="s">
        <v>995</v>
      </c>
      <c r="D3528" t="s">
        <v>7126</v>
      </c>
      <c r="E3528">
        <v>0.08633698178009376</v>
      </c>
    </row>
    <row r="3529" spans="1:5">
      <c r="A3529" t="s">
        <v>5143</v>
      </c>
      <c r="B3529" t="s">
        <v>967</v>
      </c>
      <c r="C3529" t="s">
        <v>995</v>
      </c>
      <c r="D3529" t="s">
        <v>998</v>
      </c>
      <c r="E3529">
        <v>313.5332199445622</v>
      </c>
    </row>
    <row r="3530" spans="1:5">
      <c r="A3530" t="s">
        <v>5144</v>
      </c>
      <c r="B3530" t="s">
        <v>967</v>
      </c>
      <c r="C3530" t="s">
        <v>995</v>
      </c>
      <c r="D3530" t="s">
        <v>7127</v>
      </c>
      <c r="E3530">
        <v>7.830578561938344</v>
      </c>
    </row>
    <row r="3531" spans="1:5">
      <c r="A3531" t="s">
        <v>5145</v>
      </c>
      <c r="B3531" t="s">
        <v>967</v>
      </c>
      <c r="C3531" t="s">
        <v>995</v>
      </c>
      <c r="D3531" t="s">
        <v>7128</v>
      </c>
      <c r="E3531">
        <v>0.02620916214377229</v>
      </c>
    </row>
    <row r="3532" spans="1:5">
      <c r="A3532" t="s">
        <v>5146</v>
      </c>
      <c r="B3532" t="s">
        <v>967</v>
      </c>
      <c r="C3532" t="s">
        <v>995</v>
      </c>
      <c r="D3532" t="s">
        <v>7129</v>
      </c>
      <c r="E3532">
        <v>0.5031717963294532</v>
      </c>
    </row>
    <row r="3533" spans="1:5">
      <c r="A3533" t="s">
        <v>5147</v>
      </c>
      <c r="B3533" t="s">
        <v>967</v>
      </c>
      <c r="C3533" t="s">
        <v>995</v>
      </c>
      <c r="D3533" t="s">
        <v>7130</v>
      </c>
      <c r="E3533">
        <v>0.01194153795758707</v>
      </c>
    </row>
    <row r="3534" spans="1:5">
      <c r="A3534" t="s">
        <v>5148</v>
      </c>
      <c r="B3534" t="s">
        <v>967</v>
      </c>
      <c r="C3534" t="s">
        <v>995</v>
      </c>
      <c r="D3534" t="s">
        <v>7131</v>
      </c>
      <c r="E3534">
        <v>2.623886001386589</v>
      </c>
    </row>
    <row r="3535" spans="1:5">
      <c r="A3535" t="s">
        <v>5149</v>
      </c>
      <c r="B3535" t="s">
        <v>967</v>
      </c>
      <c r="C3535" t="s">
        <v>995</v>
      </c>
      <c r="D3535" t="s">
        <v>7132</v>
      </c>
      <c r="E3535">
        <v>114.7480291735504</v>
      </c>
    </row>
    <row r="3536" spans="1:5">
      <c r="A3536" t="s">
        <v>5150</v>
      </c>
      <c r="B3536" t="s">
        <v>967</v>
      </c>
      <c r="C3536" t="s">
        <v>995</v>
      </c>
      <c r="D3536" t="s">
        <v>7133</v>
      </c>
      <c r="E3536">
        <v>0.5426616836164566</v>
      </c>
    </row>
    <row r="3537" spans="1:5">
      <c r="A3537" t="s">
        <v>5151</v>
      </c>
      <c r="B3537" t="s">
        <v>967</v>
      </c>
      <c r="C3537" t="s">
        <v>995</v>
      </c>
      <c r="D3537" t="s">
        <v>7134</v>
      </c>
      <c r="E3537">
        <v>116.1236382996284</v>
      </c>
    </row>
    <row r="3538" spans="1:5">
      <c r="A3538" t="s">
        <v>5152</v>
      </c>
      <c r="B3538" t="s">
        <v>967</v>
      </c>
      <c r="C3538" t="s">
        <v>995</v>
      </c>
      <c r="D3538" t="s">
        <v>7135</v>
      </c>
      <c r="E3538">
        <v>175.1585966359139</v>
      </c>
    </row>
    <row r="3539" spans="1:5">
      <c r="A3539" t="s">
        <v>5153</v>
      </c>
      <c r="B3539" t="s">
        <v>967</v>
      </c>
      <c r="C3539" t="s">
        <v>995</v>
      </c>
      <c r="D3539" t="s">
        <v>7136</v>
      </c>
      <c r="E3539">
        <v>424.6012147728981</v>
      </c>
    </row>
    <row r="3540" spans="1:5">
      <c r="A3540" t="s">
        <v>5154</v>
      </c>
      <c r="B3540" t="s">
        <v>967</v>
      </c>
      <c r="C3540" t="s">
        <v>995</v>
      </c>
      <c r="D3540" t="s">
        <v>7137</v>
      </c>
      <c r="E3540">
        <v>0.5426616836164566</v>
      </c>
    </row>
    <row r="3541" spans="1:5">
      <c r="A3541" t="s">
        <v>5155</v>
      </c>
      <c r="B3541" t="s">
        <v>967</v>
      </c>
      <c r="C3541" t="s">
        <v>995</v>
      </c>
      <c r="D3541" t="s">
        <v>7138</v>
      </c>
      <c r="E3541">
        <v>2.982961234203735</v>
      </c>
    </row>
    <row r="3542" spans="1:5">
      <c r="A3542" t="s">
        <v>5156</v>
      </c>
      <c r="B3542" t="s">
        <v>967</v>
      </c>
      <c r="C3542" t="s">
        <v>995</v>
      </c>
      <c r="D3542" t="s">
        <v>7139</v>
      </c>
      <c r="E3542">
        <v>1.315195749587142</v>
      </c>
    </row>
    <row r="3543" spans="1:5">
      <c r="A3543" t="s">
        <v>5157</v>
      </c>
      <c r="B3543" t="s">
        <v>967</v>
      </c>
      <c r="C3543" t="s">
        <v>995</v>
      </c>
      <c r="D3543" t="s">
        <v>7007</v>
      </c>
      <c r="E3543">
        <v>18.91798270247656</v>
      </c>
    </row>
    <row r="3544" spans="1:5">
      <c r="A3544" t="s">
        <v>5158</v>
      </c>
      <c r="B3544" t="s">
        <v>967</v>
      </c>
      <c r="C3544" t="s">
        <v>995</v>
      </c>
      <c r="D3544" t="s">
        <v>7140</v>
      </c>
      <c r="E3544">
        <v>17.40009879989316</v>
      </c>
    </row>
    <row r="3545" spans="1:5">
      <c r="A3545" t="s">
        <v>5159</v>
      </c>
      <c r="B3545" t="s">
        <v>967</v>
      </c>
      <c r="C3545" t="s">
        <v>995</v>
      </c>
      <c r="D3545" t="s">
        <v>7141</v>
      </c>
      <c r="E3545">
        <v>11.66754280732117</v>
      </c>
    </row>
    <row r="3546" spans="1:5">
      <c r="A3546" t="s">
        <v>5160</v>
      </c>
      <c r="B3546" t="s">
        <v>967</v>
      </c>
      <c r="C3546" t="s">
        <v>995</v>
      </c>
      <c r="D3546" t="s">
        <v>7142</v>
      </c>
      <c r="E3546">
        <v>11.66754280732117</v>
      </c>
    </row>
    <row r="3547" spans="1:5">
      <c r="A3547" t="s">
        <v>4996</v>
      </c>
      <c r="B3547" t="s">
        <v>967</v>
      </c>
      <c r="C3547" t="s">
        <v>995</v>
      </c>
      <c r="D3547" t="s">
        <v>996</v>
      </c>
      <c r="E3547">
        <v>355.96273</v>
      </c>
    </row>
    <row r="3548" spans="1:5">
      <c r="A3548" t="s">
        <v>5161</v>
      </c>
      <c r="B3548" t="s">
        <v>968</v>
      </c>
      <c r="C3548" t="s">
        <v>995</v>
      </c>
      <c r="D3548" t="s">
        <v>996</v>
      </c>
      <c r="E3548">
        <v>354.084581</v>
      </c>
    </row>
    <row r="3549" spans="1:5">
      <c r="A3549" t="s">
        <v>5162</v>
      </c>
      <c r="B3549" t="s">
        <v>968</v>
      </c>
      <c r="C3549" t="s">
        <v>995</v>
      </c>
      <c r="D3549" t="s">
        <v>7008</v>
      </c>
      <c r="E3549">
        <v>84.65436658395313</v>
      </c>
    </row>
    <row r="3550" spans="1:5">
      <c r="A3550" t="s">
        <v>5163</v>
      </c>
      <c r="B3550" t="s">
        <v>968</v>
      </c>
      <c r="C3550" t="s">
        <v>995</v>
      </c>
      <c r="D3550" t="s">
        <v>7009</v>
      </c>
      <c r="E3550">
        <v>4.843793391355413</v>
      </c>
    </row>
    <row r="3551" spans="1:5">
      <c r="A3551" t="s">
        <v>5164</v>
      </c>
      <c r="B3551" t="s">
        <v>968</v>
      </c>
      <c r="C3551" t="s">
        <v>995</v>
      </c>
      <c r="D3551" t="s">
        <v>7010</v>
      </c>
      <c r="E3551">
        <v>3.750400010659607</v>
      </c>
    </row>
    <row r="3552" spans="1:5">
      <c r="A3552" t="s">
        <v>5165</v>
      </c>
      <c r="B3552" t="s">
        <v>968</v>
      </c>
      <c r="C3552" t="s">
        <v>995</v>
      </c>
      <c r="D3552" t="s">
        <v>7011</v>
      </c>
      <c r="E3552">
        <v>0.8442779671130184</v>
      </c>
    </row>
    <row r="3553" spans="1:5">
      <c r="A3553" t="s">
        <v>5166</v>
      </c>
      <c r="B3553" t="s">
        <v>968</v>
      </c>
      <c r="C3553" t="s">
        <v>995</v>
      </c>
      <c r="D3553" t="s">
        <v>7012</v>
      </c>
      <c r="E3553">
        <v>173.6833415167371</v>
      </c>
    </row>
    <row r="3554" spans="1:5">
      <c r="A3554" t="s">
        <v>5167</v>
      </c>
      <c r="B3554" t="s">
        <v>968</v>
      </c>
      <c r="C3554" t="s">
        <v>995</v>
      </c>
      <c r="D3554" t="s">
        <v>7013</v>
      </c>
      <c r="E3554">
        <v>0.3287420264935312</v>
      </c>
    </row>
    <row r="3555" spans="1:5">
      <c r="A3555" t="s">
        <v>5168</v>
      </c>
      <c r="B3555" t="s">
        <v>968</v>
      </c>
      <c r="C3555" t="s">
        <v>995</v>
      </c>
      <c r="D3555" t="s">
        <v>7014</v>
      </c>
      <c r="E3555">
        <v>0.2108149272208211</v>
      </c>
    </row>
    <row r="3556" spans="1:5">
      <c r="A3556" t="s">
        <v>5169</v>
      </c>
      <c r="B3556" t="s">
        <v>968</v>
      </c>
      <c r="C3556" t="s">
        <v>995</v>
      </c>
      <c r="D3556" t="s">
        <v>6981</v>
      </c>
      <c r="E3556">
        <v>214.3921985935841</v>
      </c>
    </row>
    <row r="3557" spans="1:5">
      <c r="A3557" t="s">
        <v>5170</v>
      </c>
      <c r="B3557" t="s">
        <v>968</v>
      </c>
      <c r="C3557" t="s">
        <v>995</v>
      </c>
      <c r="D3557" t="s">
        <v>7015</v>
      </c>
      <c r="E3557">
        <v>173.6833415167371</v>
      </c>
    </row>
    <row r="3558" spans="1:5">
      <c r="A3558" t="s">
        <v>5171</v>
      </c>
      <c r="B3558" t="s">
        <v>968</v>
      </c>
      <c r="C3558" t="s">
        <v>995</v>
      </c>
      <c r="D3558" t="s">
        <v>7016</v>
      </c>
      <c r="E3558">
        <v>182.8808531781387</v>
      </c>
    </row>
    <row r="3559" spans="1:5">
      <c r="A3559" t="s">
        <v>5172</v>
      </c>
      <c r="B3559" t="s">
        <v>968</v>
      </c>
      <c r="C3559" t="s">
        <v>995</v>
      </c>
      <c r="D3559" t="s">
        <v>7017</v>
      </c>
      <c r="E3559">
        <v>181.0405715220648</v>
      </c>
    </row>
    <row r="3560" spans="1:5">
      <c r="A3560" t="s">
        <v>5173</v>
      </c>
      <c r="B3560" t="s">
        <v>968</v>
      </c>
      <c r="C3560" t="s">
        <v>995</v>
      </c>
      <c r="D3560" t="s">
        <v>7018</v>
      </c>
      <c r="E3560">
        <v>155.4465654954181</v>
      </c>
    </row>
    <row r="3561" spans="1:5">
      <c r="A3561" t="s">
        <v>5174</v>
      </c>
      <c r="B3561" t="s">
        <v>968</v>
      </c>
      <c r="C3561" t="s">
        <v>995</v>
      </c>
      <c r="D3561" t="s">
        <v>7019</v>
      </c>
      <c r="E3561">
        <v>2.527923732682406</v>
      </c>
    </row>
    <row r="3562" spans="1:5">
      <c r="A3562" t="s">
        <v>5175</v>
      </c>
      <c r="B3562" t="s">
        <v>968</v>
      </c>
      <c r="C3562" t="s">
        <v>995</v>
      </c>
      <c r="D3562" t="s">
        <v>997</v>
      </c>
      <c r="E3562">
        <v>181.0405715220648</v>
      </c>
    </row>
    <row r="3563" spans="1:5">
      <c r="A3563" t="s">
        <v>5176</v>
      </c>
      <c r="B3563" t="s">
        <v>968</v>
      </c>
      <c r="C3563" t="s">
        <v>995</v>
      </c>
      <c r="D3563" t="s">
        <v>7020</v>
      </c>
      <c r="E3563">
        <v>826.842568484274</v>
      </c>
    </row>
    <row r="3564" spans="1:5">
      <c r="A3564" t="s">
        <v>5177</v>
      </c>
      <c r="B3564" t="s">
        <v>968</v>
      </c>
      <c r="C3564" t="s">
        <v>995</v>
      </c>
      <c r="D3564" t="s">
        <v>7021</v>
      </c>
      <c r="E3564">
        <v>0.1039762332269922</v>
      </c>
    </row>
    <row r="3565" spans="1:5">
      <c r="A3565" t="s">
        <v>5178</v>
      </c>
      <c r="B3565" t="s">
        <v>968</v>
      </c>
      <c r="C3565" t="s">
        <v>995</v>
      </c>
      <c r="D3565" t="s">
        <v>7022</v>
      </c>
      <c r="E3565">
        <v>310.8931309908361</v>
      </c>
    </row>
    <row r="3566" spans="1:5">
      <c r="A3566" t="s">
        <v>5179</v>
      </c>
      <c r="B3566" t="s">
        <v>968</v>
      </c>
      <c r="C3566" t="s">
        <v>995</v>
      </c>
      <c r="D3566" t="s">
        <v>7023</v>
      </c>
      <c r="E3566">
        <v>240.1921763539126</v>
      </c>
    </row>
    <row r="3567" spans="1:5">
      <c r="A3567" t="s">
        <v>5180</v>
      </c>
      <c r="B3567" t="s">
        <v>968</v>
      </c>
      <c r="C3567" t="s">
        <v>995</v>
      </c>
      <c r="D3567" t="s">
        <v>7024</v>
      </c>
      <c r="E3567">
        <v>45.03183282580761</v>
      </c>
    </row>
    <row r="3568" spans="1:5">
      <c r="A3568" t="s">
        <v>5181</v>
      </c>
      <c r="B3568" t="s">
        <v>968</v>
      </c>
      <c r="C3568" t="s">
        <v>995</v>
      </c>
      <c r="D3568" t="s">
        <v>6982</v>
      </c>
      <c r="E3568">
        <v>60.0262189192708</v>
      </c>
    </row>
    <row r="3569" spans="1:5">
      <c r="A3569" t="s">
        <v>5182</v>
      </c>
      <c r="B3569" t="s">
        <v>968</v>
      </c>
      <c r="C3569" t="s">
        <v>995</v>
      </c>
      <c r="D3569" t="s">
        <v>7025</v>
      </c>
      <c r="E3569">
        <v>310.8931309908361</v>
      </c>
    </row>
    <row r="3570" spans="1:5">
      <c r="A3570" t="s">
        <v>5183</v>
      </c>
      <c r="B3570" t="s">
        <v>968</v>
      </c>
      <c r="C3570" t="s">
        <v>995</v>
      </c>
      <c r="D3570" t="s">
        <v>7026</v>
      </c>
      <c r="E3570">
        <v>3.291669551999697</v>
      </c>
    </row>
    <row r="3571" spans="1:5">
      <c r="A3571" t="s">
        <v>5184</v>
      </c>
      <c r="B3571" t="s">
        <v>968</v>
      </c>
      <c r="C3571" t="s">
        <v>995</v>
      </c>
      <c r="D3571" t="s">
        <v>7027</v>
      </c>
      <c r="E3571">
        <v>21.57709280711128</v>
      </c>
    </row>
    <row r="3572" spans="1:5">
      <c r="A3572" t="s">
        <v>5185</v>
      </c>
      <c r="B3572" t="s">
        <v>968</v>
      </c>
      <c r="C3572" t="s">
        <v>995</v>
      </c>
      <c r="D3572" t="s">
        <v>7028</v>
      </c>
      <c r="E3572">
        <v>108.0559281679069</v>
      </c>
    </row>
    <row r="3573" spans="1:5">
      <c r="A3573" t="s">
        <v>5186</v>
      </c>
      <c r="B3573" t="s">
        <v>968</v>
      </c>
      <c r="C3573" t="s">
        <v>995</v>
      </c>
      <c r="D3573" t="s">
        <v>7029</v>
      </c>
      <c r="E3573">
        <v>155.4465654954181</v>
      </c>
    </row>
    <row r="3574" spans="1:5">
      <c r="A3574" t="s">
        <v>5187</v>
      </c>
      <c r="B3574" t="s">
        <v>968</v>
      </c>
      <c r="C3574" t="s">
        <v>995</v>
      </c>
      <c r="D3574" t="s">
        <v>6983</v>
      </c>
      <c r="E3574">
        <v>219.1230001293383</v>
      </c>
    </row>
    <row r="3575" spans="1:5">
      <c r="A3575" t="s">
        <v>5188</v>
      </c>
      <c r="B3575" t="s">
        <v>968</v>
      </c>
      <c r="C3575" t="s">
        <v>995</v>
      </c>
      <c r="D3575" t="s">
        <v>7030</v>
      </c>
      <c r="E3575">
        <v>0.1355320577763957</v>
      </c>
    </row>
    <row r="3576" spans="1:5">
      <c r="A3576" t="s">
        <v>5189</v>
      </c>
      <c r="B3576" t="s">
        <v>968</v>
      </c>
      <c r="C3576" t="s">
        <v>995</v>
      </c>
      <c r="D3576" t="s">
        <v>6984</v>
      </c>
      <c r="E3576">
        <v>384.0421748948475</v>
      </c>
    </row>
    <row r="3577" spans="1:5">
      <c r="A3577" t="s">
        <v>5190</v>
      </c>
      <c r="B3577" t="s">
        <v>968</v>
      </c>
      <c r="C3577" t="s">
        <v>995</v>
      </c>
      <c r="D3577" t="s">
        <v>7031</v>
      </c>
      <c r="E3577">
        <v>13344.56097836738</v>
      </c>
    </row>
    <row r="3578" spans="1:5">
      <c r="A3578" t="s">
        <v>5191</v>
      </c>
      <c r="B3578" t="s">
        <v>968</v>
      </c>
      <c r="C3578" t="s">
        <v>995</v>
      </c>
      <c r="D3578" t="s">
        <v>7032</v>
      </c>
      <c r="E3578">
        <v>0.3376091874918257</v>
      </c>
    </row>
    <row r="3579" spans="1:5">
      <c r="A3579" t="s">
        <v>5192</v>
      </c>
      <c r="B3579" t="s">
        <v>968</v>
      </c>
      <c r="C3579" t="s">
        <v>995</v>
      </c>
      <c r="D3579" t="s">
        <v>7033</v>
      </c>
      <c r="E3579">
        <v>45.69788536442456</v>
      </c>
    </row>
    <row r="3580" spans="1:5">
      <c r="A3580" t="s">
        <v>5193</v>
      </c>
      <c r="B3580" t="s">
        <v>968</v>
      </c>
      <c r="C3580" t="s">
        <v>995</v>
      </c>
      <c r="D3580" t="s">
        <v>6985</v>
      </c>
      <c r="E3580">
        <v>45.67098395138672</v>
      </c>
    </row>
    <row r="3581" spans="1:5">
      <c r="A3581" t="s">
        <v>5194</v>
      </c>
      <c r="B3581" t="s">
        <v>968</v>
      </c>
      <c r="C3581" t="s">
        <v>995</v>
      </c>
      <c r="D3581" t="s">
        <v>7034</v>
      </c>
      <c r="E3581">
        <v>0.09089460900380018</v>
      </c>
    </row>
    <row r="3582" spans="1:5">
      <c r="A3582" t="s">
        <v>5195</v>
      </c>
      <c r="B3582" t="s">
        <v>968</v>
      </c>
      <c r="C3582" t="s">
        <v>995</v>
      </c>
      <c r="D3582" t="s">
        <v>7035</v>
      </c>
      <c r="E3582">
        <v>0.6841224587084026</v>
      </c>
    </row>
    <row r="3583" spans="1:5">
      <c r="A3583" t="s">
        <v>5196</v>
      </c>
      <c r="B3583" t="s">
        <v>968</v>
      </c>
      <c r="C3583" t="s">
        <v>995</v>
      </c>
      <c r="D3583" t="s">
        <v>7036</v>
      </c>
      <c r="E3583">
        <v>12.95388093185812</v>
      </c>
    </row>
    <row r="3584" spans="1:5">
      <c r="A3584" t="s">
        <v>5197</v>
      </c>
      <c r="B3584" t="s">
        <v>968</v>
      </c>
      <c r="C3584" t="s">
        <v>995</v>
      </c>
      <c r="D3584" t="s">
        <v>7037</v>
      </c>
      <c r="E3584">
        <v>3.21121462839523</v>
      </c>
    </row>
    <row r="3585" spans="1:5">
      <c r="A3585" t="s">
        <v>5198</v>
      </c>
      <c r="B3585" t="s">
        <v>968</v>
      </c>
      <c r="C3585" t="s">
        <v>995</v>
      </c>
      <c r="D3585" t="s">
        <v>6986</v>
      </c>
      <c r="E3585">
        <v>14.59525388335778</v>
      </c>
    </row>
    <row r="3586" spans="1:5">
      <c r="A3586" t="s">
        <v>5199</v>
      </c>
      <c r="B3586" t="s">
        <v>968</v>
      </c>
      <c r="C3586" t="s">
        <v>995</v>
      </c>
      <c r="D3586" t="s">
        <v>7038</v>
      </c>
      <c r="E3586">
        <v>1.749332592649832</v>
      </c>
    </row>
    <row r="3587" spans="1:5">
      <c r="A3587" t="s">
        <v>5200</v>
      </c>
      <c r="B3587" t="s">
        <v>968</v>
      </c>
      <c r="C3587" t="s">
        <v>995</v>
      </c>
      <c r="D3587" t="s">
        <v>6987</v>
      </c>
      <c r="E3587">
        <v>47.45390612509051</v>
      </c>
    </row>
    <row r="3588" spans="1:5">
      <c r="A3588" t="s">
        <v>5201</v>
      </c>
      <c r="B3588" t="s">
        <v>968</v>
      </c>
      <c r="C3588" t="s">
        <v>995</v>
      </c>
      <c r="D3588" t="s">
        <v>7039</v>
      </c>
      <c r="E3588">
        <v>5.299960057725829</v>
      </c>
    </row>
    <row r="3589" spans="1:5">
      <c r="A3589" t="s">
        <v>5202</v>
      </c>
      <c r="B3589" t="s">
        <v>968</v>
      </c>
      <c r="C3589" t="s">
        <v>995</v>
      </c>
      <c r="D3589" t="s">
        <v>7040</v>
      </c>
      <c r="E3589">
        <v>2.334321539521043</v>
      </c>
    </row>
    <row r="3590" spans="1:5">
      <c r="A3590" t="s">
        <v>5203</v>
      </c>
      <c r="B3590" t="s">
        <v>968</v>
      </c>
      <c r="C3590" t="s">
        <v>995</v>
      </c>
      <c r="D3590" t="s">
        <v>7041</v>
      </c>
      <c r="E3590">
        <v>6.282410332075064</v>
      </c>
    </row>
    <row r="3591" spans="1:5">
      <c r="A3591" t="s">
        <v>5204</v>
      </c>
      <c r="B3591" t="s">
        <v>968</v>
      </c>
      <c r="C3591" t="s">
        <v>995</v>
      </c>
      <c r="D3591" t="s">
        <v>7042</v>
      </c>
      <c r="E3591">
        <v>20.72620873272241</v>
      </c>
    </row>
    <row r="3592" spans="1:5">
      <c r="A3592" t="s">
        <v>5205</v>
      </c>
      <c r="B3592" t="s">
        <v>968</v>
      </c>
      <c r="C3592" t="s">
        <v>995</v>
      </c>
      <c r="D3592" t="s">
        <v>7043</v>
      </c>
      <c r="E3592">
        <v>1.884373956624176</v>
      </c>
    </row>
    <row r="3593" spans="1:5">
      <c r="A3593" t="s">
        <v>5206</v>
      </c>
      <c r="B3593" t="s">
        <v>968</v>
      </c>
      <c r="C3593" t="s">
        <v>995</v>
      </c>
      <c r="D3593" t="s">
        <v>7044</v>
      </c>
      <c r="E3593">
        <v>137.543508526049</v>
      </c>
    </row>
    <row r="3594" spans="1:5">
      <c r="A3594" t="s">
        <v>5207</v>
      </c>
      <c r="B3594" t="s">
        <v>968</v>
      </c>
      <c r="C3594" t="s">
        <v>995</v>
      </c>
      <c r="D3594" t="s">
        <v>7045</v>
      </c>
      <c r="E3594">
        <v>410.4614629339825</v>
      </c>
    </row>
    <row r="3595" spans="1:5">
      <c r="A3595" t="s">
        <v>5208</v>
      </c>
      <c r="B3595" t="s">
        <v>968</v>
      </c>
      <c r="C3595" t="s">
        <v>995</v>
      </c>
      <c r="D3595" t="s">
        <v>7046</v>
      </c>
      <c r="E3595">
        <v>47.45391248479559</v>
      </c>
    </row>
    <row r="3596" spans="1:5">
      <c r="A3596" t="s">
        <v>5209</v>
      </c>
      <c r="B3596" t="s">
        <v>968</v>
      </c>
      <c r="C3596" t="s">
        <v>995</v>
      </c>
      <c r="D3596" t="s">
        <v>6988</v>
      </c>
      <c r="E3596">
        <v>410.4609871199361</v>
      </c>
    </row>
    <row r="3597" spans="1:5">
      <c r="A3597" t="s">
        <v>5210</v>
      </c>
      <c r="B3597" t="s">
        <v>968</v>
      </c>
      <c r="C3597" t="s">
        <v>995</v>
      </c>
      <c r="D3597" t="s">
        <v>7047</v>
      </c>
      <c r="E3597">
        <v>117.4122879415546</v>
      </c>
    </row>
    <row r="3598" spans="1:5">
      <c r="A3598" t="s">
        <v>5211</v>
      </c>
      <c r="B3598" t="s">
        <v>968</v>
      </c>
      <c r="C3598" t="s">
        <v>995</v>
      </c>
      <c r="D3598" t="s">
        <v>7048</v>
      </c>
      <c r="E3598">
        <v>410.4614629339825</v>
      </c>
    </row>
    <row r="3599" spans="1:5">
      <c r="A3599" t="s">
        <v>5212</v>
      </c>
      <c r="B3599" t="s">
        <v>968</v>
      </c>
      <c r="C3599" t="s">
        <v>995</v>
      </c>
      <c r="D3599" t="s">
        <v>7049</v>
      </c>
      <c r="E3599">
        <v>27.51463568833955</v>
      </c>
    </row>
    <row r="3600" spans="1:5">
      <c r="A3600" t="s">
        <v>5213</v>
      </c>
      <c r="B3600" t="s">
        <v>968</v>
      </c>
      <c r="C3600" t="s">
        <v>995</v>
      </c>
      <c r="D3600" t="s">
        <v>7050</v>
      </c>
      <c r="E3600">
        <v>410.4614629339825</v>
      </c>
    </row>
    <row r="3601" spans="1:5">
      <c r="A3601" t="s">
        <v>5214</v>
      </c>
      <c r="B3601" t="s">
        <v>968</v>
      </c>
      <c r="C3601" t="s">
        <v>995</v>
      </c>
      <c r="D3601" t="s">
        <v>7051</v>
      </c>
      <c r="E3601">
        <v>4.180459746393603</v>
      </c>
    </row>
    <row r="3602" spans="1:5">
      <c r="A3602" t="s">
        <v>5215</v>
      </c>
      <c r="B3602" t="s">
        <v>968</v>
      </c>
      <c r="C3602" t="s">
        <v>995</v>
      </c>
      <c r="D3602" t="s">
        <v>7052</v>
      </c>
      <c r="E3602">
        <v>0.0353736468728882</v>
      </c>
    </row>
    <row r="3603" spans="1:5">
      <c r="A3603" t="s">
        <v>5216</v>
      </c>
      <c r="B3603" t="s">
        <v>968</v>
      </c>
      <c r="C3603" t="s">
        <v>995</v>
      </c>
      <c r="D3603" t="s">
        <v>7053</v>
      </c>
      <c r="E3603">
        <v>40.84012534231478</v>
      </c>
    </row>
    <row r="3604" spans="1:5">
      <c r="A3604" t="s">
        <v>5217</v>
      </c>
      <c r="B3604" t="s">
        <v>968</v>
      </c>
      <c r="C3604" t="s">
        <v>995</v>
      </c>
      <c r="D3604" t="s">
        <v>7054</v>
      </c>
      <c r="E3604">
        <v>1.488829766939515</v>
      </c>
    </row>
    <row r="3605" spans="1:5">
      <c r="A3605" t="s">
        <v>5218</v>
      </c>
      <c r="B3605" t="s">
        <v>968</v>
      </c>
      <c r="C3605" t="s">
        <v>995</v>
      </c>
      <c r="D3605" t="s">
        <v>6989</v>
      </c>
      <c r="E3605">
        <v>39.65154627607502</v>
      </c>
    </row>
    <row r="3606" spans="1:5">
      <c r="A3606" t="s">
        <v>5219</v>
      </c>
      <c r="B3606" t="s">
        <v>968</v>
      </c>
      <c r="C3606" t="s">
        <v>995</v>
      </c>
      <c r="D3606" t="s">
        <v>7055</v>
      </c>
      <c r="E3606">
        <v>11.63985556877602</v>
      </c>
    </row>
    <row r="3607" spans="1:5">
      <c r="A3607" t="s">
        <v>5220</v>
      </c>
      <c r="B3607" t="s">
        <v>968</v>
      </c>
      <c r="C3607" t="s">
        <v>995</v>
      </c>
      <c r="D3607" t="s">
        <v>7056</v>
      </c>
      <c r="E3607">
        <v>46.99510000663614</v>
      </c>
    </row>
    <row r="3608" spans="1:5">
      <c r="A3608" t="s">
        <v>5221</v>
      </c>
      <c r="B3608" t="s">
        <v>968</v>
      </c>
      <c r="C3608" t="s">
        <v>995</v>
      </c>
      <c r="D3608" t="s">
        <v>7057</v>
      </c>
      <c r="E3608">
        <v>2.382936774233007</v>
      </c>
    </row>
    <row r="3609" spans="1:5">
      <c r="A3609" t="s">
        <v>5222</v>
      </c>
      <c r="B3609" t="s">
        <v>968</v>
      </c>
      <c r="C3609" t="s">
        <v>995</v>
      </c>
      <c r="D3609" t="s">
        <v>6990</v>
      </c>
      <c r="E3609">
        <v>0.0173462821015769</v>
      </c>
    </row>
    <row r="3610" spans="1:5">
      <c r="A3610" t="s">
        <v>5223</v>
      </c>
      <c r="B3610" t="s">
        <v>968</v>
      </c>
      <c r="C3610" t="s">
        <v>995</v>
      </c>
      <c r="D3610" t="s">
        <v>6991</v>
      </c>
      <c r="E3610">
        <v>103.6816284902934</v>
      </c>
    </row>
    <row r="3611" spans="1:5">
      <c r="A3611" t="s">
        <v>5224</v>
      </c>
      <c r="B3611" t="s">
        <v>968</v>
      </c>
      <c r="C3611" t="s">
        <v>995</v>
      </c>
      <c r="D3611" t="s">
        <v>7058</v>
      </c>
      <c r="E3611">
        <v>410.4614629339825</v>
      </c>
    </row>
    <row r="3612" spans="1:5">
      <c r="A3612" t="s">
        <v>5225</v>
      </c>
      <c r="B3612" t="s">
        <v>968</v>
      </c>
      <c r="C3612" t="s">
        <v>995</v>
      </c>
      <c r="D3612" t="s">
        <v>6992</v>
      </c>
      <c r="E3612">
        <v>3.292738705844518</v>
      </c>
    </row>
    <row r="3613" spans="1:5">
      <c r="A3613" t="s">
        <v>5226</v>
      </c>
      <c r="B3613" t="s">
        <v>968</v>
      </c>
      <c r="C3613" t="s">
        <v>995</v>
      </c>
      <c r="D3613" t="s">
        <v>7059</v>
      </c>
      <c r="E3613">
        <v>0.2376868178073654</v>
      </c>
    </row>
    <row r="3614" spans="1:5">
      <c r="A3614" t="s">
        <v>5227</v>
      </c>
      <c r="B3614" t="s">
        <v>968</v>
      </c>
      <c r="C3614" t="s">
        <v>995</v>
      </c>
      <c r="D3614" t="s">
        <v>7060</v>
      </c>
      <c r="E3614">
        <v>0.0002261921052285368</v>
      </c>
    </row>
    <row r="3615" spans="1:5">
      <c r="A3615" t="s">
        <v>5228</v>
      </c>
      <c r="B3615" t="s">
        <v>968</v>
      </c>
      <c r="C3615" t="s">
        <v>995</v>
      </c>
      <c r="D3615" t="s">
        <v>6993</v>
      </c>
      <c r="E3615">
        <v>2.458747923123374</v>
      </c>
    </row>
    <row r="3616" spans="1:5">
      <c r="A3616" t="s">
        <v>5229</v>
      </c>
      <c r="B3616" t="s">
        <v>968</v>
      </c>
      <c r="C3616" t="s">
        <v>995</v>
      </c>
      <c r="D3616" t="s">
        <v>7061</v>
      </c>
      <c r="E3616">
        <v>410.4614629339825</v>
      </c>
    </row>
    <row r="3617" spans="1:5">
      <c r="A3617" t="s">
        <v>5230</v>
      </c>
      <c r="B3617" t="s">
        <v>968</v>
      </c>
      <c r="C3617" t="s">
        <v>995</v>
      </c>
      <c r="D3617" t="s">
        <v>7062</v>
      </c>
      <c r="E3617">
        <v>1.972214344687153</v>
      </c>
    </row>
    <row r="3618" spans="1:5">
      <c r="A3618" t="s">
        <v>5231</v>
      </c>
      <c r="B3618" t="s">
        <v>968</v>
      </c>
      <c r="C3618" t="s">
        <v>995</v>
      </c>
      <c r="D3618" t="s">
        <v>7063</v>
      </c>
      <c r="E3618">
        <v>438.4953801800374</v>
      </c>
    </row>
    <row r="3619" spans="1:5">
      <c r="A3619" t="s">
        <v>5232</v>
      </c>
      <c r="B3619" t="s">
        <v>968</v>
      </c>
      <c r="C3619" t="s">
        <v>995</v>
      </c>
      <c r="D3619" t="s">
        <v>6994</v>
      </c>
      <c r="E3619">
        <v>1.922407520842172</v>
      </c>
    </row>
    <row r="3620" spans="1:5">
      <c r="A3620" t="s">
        <v>5233</v>
      </c>
      <c r="B3620" t="s">
        <v>968</v>
      </c>
      <c r="C3620" t="s">
        <v>995</v>
      </c>
      <c r="D3620" t="s">
        <v>7064</v>
      </c>
      <c r="E3620">
        <v>2.398775844810479</v>
      </c>
    </row>
    <row r="3621" spans="1:5">
      <c r="A3621" t="s">
        <v>5234</v>
      </c>
      <c r="B3621" t="s">
        <v>968</v>
      </c>
      <c r="C3621" t="s">
        <v>995</v>
      </c>
      <c r="D3621" t="s">
        <v>7065</v>
      </c>
      <c r="E3621">
        <v>3.551560014188403</v>
      </c>
    </row>
    <row r="3622" spans="1:5">
      <c r="A3622" t="s">
        <v>5235</v>
      </c>
      <c r="B3622" t="s">
        <v>968</v>
      </c>
      <c r="C3622" t="s">
        <v>995</v>
      </c>
      <c r="D3622" t="s">
        <v>7066</v>
      </c>
      <c r="E3622">
        <v>0.07686892830119052</v>
      </c>
    </row>
    <row r="3623" spans="1:5">
      <c r="A3623" t="s">
        <v>5236</v>
      </c>
      <c r="B3623" t="s">
        <v>968</v>
      </c>
      <c r="C3623" t="s">
        <v>995</v>
      </c>
      <c r="D3623" t="s">
        <v>7067</v>
      </c>
      <c r="E3623">
        <v>214.3927178381782</v>
      </c>
    </row>
    <row r="3624" spans="1:5">
      <c r="A3624" t="s">
        <v>5237</v>
      </c>
      <c r="B3624" t="s">
        <v>968</v>
      </c>
      <c r="C3624" t="s">
        <v>995</v>
      </c>
      <c r="D3624" t="s">
        <v>7068</v>
      </c>
      <c r="E3624">
        <v>0.7197312852316031</v>
      </c>
    </row>
    <row r="3625" spans="1:5">
      <c r="A3625" t="s">
        <v>5238</v>
      </c>
      <c r="B3625" t="s">
        <v>968</v>
      </c>
      <c r="C3625" t="s">
        <v>995</v>
      </c>
      <c r="D3625" t="s">
        <v>6995</v>
      </c>
      <c r="E3625">
        <v>0.2021969270750944</v>
      </c>
    </row>
    <row r="3626" spans="1:5">
      <c r="A3626" t="s">
        <v>5239</v>
      </c>
      <c r="B3626" t="s">
        <v>968</v>
      </c>
      <c r="C3626" t="s">
        <v>995</v>
      </c>
      <c r="D3626" t="s">
        <v>7069</v>
      </c>
      <c r="E3626">
        <v>1006.791606956008</v>
      </c>
    </row>
    <row r="3627" spans="1:5">
      <c r="A3627" t="s">
        <v>5240</v>
      </c>
      <c r="B3627" t="s">
        <v>968</v>
      </c>
      <c r="C3627" t="s">
        <v>995</v>
      </c>
      <c r="D3627" t="s">
        <v>7070</v>
      </c>
      <c r="E3627">
        <v>373.072084753531</v>
      </c>
    </row>
    <row r="3628" spans="1:5">
      <c r="A3628" t="s">
        <v>5241</v>
      </c>
      <c r="B3628" t="s">
        <v>968</v>
      </c>
      <c r="C3628" t="s">
        <v>995</v>
      </c>
      <c r="D3628" t="s">
        <v>7071</v>
      </c>
      <c r="E3628">
        <v>0.6397015298375811</v>
      </c>
    </row>
    <row r="3629" spans="1:5">
      <c r="A3629" t="s">
        <v>5242</v>
      </c>
      <c r="B3629" t="s">
        <v>968</v>
      </c>
      <c r="C3629" t="s">
        <v>995</v>
      </c>
      <c r="D3629" t="s">
        <v>7072</v>
      </c>
      <c r="E3629">
        <v>0.01413170000363846</v>
      </c>
    </row>
    <row r="3630" spans="1:5">
      <c r="A3630" t="s">
        <v>5243</v>
      </c>
      <c r="B3630" t="s">
        <v>968</v>
      </c>
      <c r="C3630" t="s">
        <v>995</v>
      </c>
      <c r="D3630" t="s">
        <v>7073</v>
      </c>
      <c r="E3630">
        <v>0.003473666335459555</v>
      </c>
    </row>
    <row r="3631" spans="1:5">
      <c r="A3631" t="s">
        <v>5244</v>
      </c>
      <c r="B3631" t="s">
        <v>968</v>
      </c>
      <c r="C3631" t="s">
        <v>995</v>
      </c>
      <c r="D3631" t="s">
        <v>7074</v>
      </c>
      <c r="E3631">
        <v>0.9239520818785054</v>
      </c>
    </row>
    <row r="3632" spans="1:5">
      <c r="A3632" t="s">
        <v>5245</v>
      </c>
      <c r="B3632" t="s">
        <v>968</v>
      </c>
      <c r="C3632" t="s">
        <v>995</v>
      </c>
      <c r="D3632" t="s">
        <v>7075</v>
      </c>
      <c r="E3632">
        <v>1.712195543470106</v>
      </c>
    </row>
    <row r="3633" spans="1:5">
      <c r="A3633" t="s">
        <v>5246</v>
      </c>
      <c r="B3633" t="s">
        <v>968</v>
      </c>
      <c r="C3633" t="s">
        <v>995</v>
      </c>
      <c r="D3633" t="s">
        <v>7076</v>
      </c>
      <c r="E3633">
        <v>18.87615312942504</v>
      </c>
    </row>
    <row r="3634" spans="1:5">
      <c r="A3634" t="s">
        <v>5247</v>
      </c>
      <c r="B3634" t="s">
        <v>968</v>
      </c>
      <c r="C3634" t="s">
        <v>995</v>
      </c>
      <c r="D3634" t="s">
        <v>7077</v>
      </c>
      <c r="E3634">
        <v>48.40618743046691</v>
      </c>
    </row>
    <row r="3635" spans="1:5">
      <c r="A3635" t="s">
        <v>5248</v>
      </c>
      <c r="B3635" t="s">
        <v>968</v>
      </c>
      <c r="C3635" t="s">
        <v>995</v>
      </c>
      <c r="D3635" t="s">
        <v>7078</v>
      </c>
      <c r="E3635">
        <v>33.11170755094829</v>
      </c>
    </row>
    <row r="3636" spans="1:5">
      <c r="A3636" t="s">
        <v>5249</v>
      </c>
      <c r="B3636" t="s">
        <v>968</v>
      </c>
      <c r="C3636" t="s">
        <v>995</v>
      </c>
      <c r="D3636" t="s">
        <v>7079</v>
      </c>
      <c r="E3636">
        <v>17.59582032121001</v>
      </c>
    </row>
    <row r="3637" spans="1:5">
      <c r="A3637" t="s">
        <v>5250</v>
      </c>
      <c r="B3637" t="s">
        <v>968</v>
      </c>
      <c r="C3637" t="s">
        <v>995</v>
      </c>
      <c r="D3637" t="s">
        <v>7080</v>
      </c>
      <c r="E3637">
        <v>0.07299595428703504</v>
      </c>
    </row>
    <row r="3638" spans="1:5">
      <c r="A3638" t="s">
        <v>5251</v>
      </c>
      <c r="B3638" t="s">
        <v>968</v>
      </c>
      <c r="C3638" t="s">
        <v>995</v>
      </c>
      <c r="D3638" t="s">
        <v>7081</v>
      </c>
      <c r="E3638">
        <v>5.739275160061593</v>
      </c>
    </row>
    <row r="3639" spans="1:5">
      <c r="A3639" t="s">
        <v>5252</v>
      </c>
      <c r="B3639" t="s">
        <v>968</v>
      </c>
      <c r="C3639" t="s">
        <v>995</v>
      </c>
      <c r="D3639" t="s">
        <v>7082</v>
      </c>
      <c r="E3639">
        <v>0.1485779434563597</v>
      </c>
    </row>
    <row r="3640" spans="1:5">
      <c r="A3640" t="s">
        <v>5253</v>
      </c>
      <c r="B3640" t="s">
        <v>968</v>
      </c>
      <c r="C3640" t="s">
        <v>995</v>
      </c>
      <c r="D3640" t="s">
        <v>7083</v>
      </c>
      <c r="E3640">
        <v>0.08707484796008025</v>
      </c>
    </row>
    <row r="3641" spans="1:5">
      <c r="A3641" t="s">
        <v>5254</v>
      </c>
      <c r="B3641" t="s">
        <v>968</v>
      </c>
      <c r="C3641" t="s">
        <v>995</v>
      </c>
      <c r="D3641" t="s">
        <v>7084</v>
      </c>
      <c r="E3641">
        <v>38.49669784842904</v>
      </c>
    </row>
    <row r="3642" spans="1:5">
      <c r="A3642" t="s">
        <v>5255</v>
      </c>
      <c r="B3642" t="s">
        <v>968</v>
      </c>
      <c r="C3642" t="s">
        <v>995</v>
      </c>
      <c r="D3642" t="s">
        <v>7085</v>
      </c>
      <c r="E3642">
        <v>7.803207731845689</v>
      </c>
    </row>
    <row r="3643" spans="1:5">
      <c r="A3643" t="s">
        <v>5256</v>
      </c>
      <c r="B3643" t="s">
        <v>968</v>
      </c>
      <c r="C3643" t="s">
        <v>995</v>
      </c>
      <c r="D3643" t="s">
        <v>7086</v>
      </c>
      <c r="E3643">
        <v>6.480018529890072</v>
      </c>
    </row>
    <row r="3644" spans="1:5">
      <c r="A3644" t="s">
        <v>5257</v>
      </c>
      <c r="B3644" t="s">
        <v>968</v>
      </c>
      <c r="C3644" t="s">
        <v>995</v>
      </c>
      <c r="D3644" t="s">
        <v>7087</v>
      </c>
      <c r="E3644">
        <v>20.14996420252205</v>
      </c>
    </row>
    <row r="3645" spans="1:5">
      <c r="A3645" t="s">
        <v>5258</v>
      </c>
      <c r="B3645" t="s">
        <v>968</v>
      </c>
      <c r="C3645" t="s">
        <v>995</v>
      </c>
      <c r="D3645" t="s">
        <v>7088</v>
      </c>
      <c r="E3645">
        <v>0.1778817446931034</v>
      </c>
    </row>
    <row r="3646" spans="1:5">
      <c r="A3646" t="s">
        <v>5259</v>
      </c>
      <c r="B3646" t="s">
        <v>968</v>
      </c>
      <c r="C3646" t="s">
        <v>995</v>
      </c>
      <c r="D3646" t="s">
        <v>6996</v>
      </c>
      <c r="E3646">
        <v>17.75587734602411</v>
      </c>
    </row>
    <row r="3647" spans="1:5">
      <c r="A3647" t="s">
        <v>5260</v>
      </c>
      <c r="B3647" t="s">
        <v>968</v>
      </c>
      <c r="C3647" t="s">
        <v>995</v>
      </c>
      <c r="D3647" t="s">
        <v>6997</v>
      </c>
      <c r="E3647">
        <v>75.97528882488081</v>
      </c>
    </row>
    <row r="3648" spans="1:5">
      <c r="A3648" t="s">
        <v>5261</v>
      </c>
      <c r="B3648" t="s">
        <v>968</v>
      </c>
      <c r="C3648" t="s">
        <v>995</v>
      </c>
      <c r="D3648" t="s">
        <v>7089</v>
      </c>
      <c r="E3648">
        <v>4.862176037579103</v>
      </c>
    </row>
    <row r="3649" spans="1:5">
      <c r="A3649" t="s">
        <v>5262</v>
      </c>
      <c r="B3649" t="s">
        <v>968</v>
      </c>
      <c r="C3649" t="s">
        <v>995</v>
      </c>
      <c r="D3649" t="s">
        <v>7090</v>
      </c>
      <c r="E3649">
        <v>18.87615312942504</v>
      </c>
    </row>
    <row r="3650" spans="1:5">
      <c r="A3650" t="s">
        <v>5263</v>
      </c>
      <c r="B3650" t="s">
        <v>968</v>
      </c>
      <c r="C3650" t="s">
        <v>995</v>
      </c>
      <c r="D3650" t="s">
        <v>7091</v>
      </c>
      <c r="E3650">
        <v>0.2287269886511449</v>
      </c>
    </row>
    <row r="3651" spans="1:5">
      <c r="A3651" t="s">
        <v>5264</v>
      </c>
      <c r="B3651" t="s">
        <v>968</v>
      </c>
      <c r="C3651" t="s">
        <v>995</v>
      </c>
      <c r="D3651" t="s">
        <v>7092</v>
      </c>
      <c r="E3651">
        <v>8.469815835556807</v>
      </c>
    </row>
    <row r="3652" spans="1:5">
      <c r="A3652" t="s">
        <v>5265</v>
      </c>
      <c r="B3652" t="s">
        <v>968</v>
      </c>
      <c r="C3652" t="s">
        <v>995</v>
      </c>
      <c r="D3652" t="s">
        <v>6998</v>
      </c>
      <c r="E3652">
        <v>31.30860005381317</v>
      </c>
    </row>
    <row r="3653" spans="1:5">
      <c r="A3653" t="s">
        <v>5266</v>
      </c>
      <c r="B3653" t="s">
        <v>968</v>
      </c>
      <c r="C3653" t="s">
        <v>995</v>
      </c>
      <c r="D3653" t="s">
        <v>7093</v>
      </c>
      <c r="E3653">
        <v>2.057293469999811</v>
      </c>
    </row>
    <row r="3654" spans="1:5">
      <c r="A3654" t="s">
        <v>5267</v>
      </c>
      <c r="B3654" t="s">
        <v>968</v>
      </c>
      <c r="C3654" t="s">
        <v>995</v>
      </c>
      <c r="D3654" t="s">
        <v>6999</v>
      </c>
      <c r="E3654">
        <v>175.4193979399585</v>
      </c>
    </row>
    <row r="3655" spans="1:5">
      <c r="A3655" t="s">
        <v>5268</v>
      </c>
      <c r="B3655" t="s">
        <v>968</v>
      </c>
      <c r="C3655" t="s">
        <v>995</v>
      </c>
      <c r="D3655" t="s">
        <v>7094</v>
      </c>
      <c r="E3655">
        <v>808.5710459131245</v>
      </c>
    </row>
    <row r="3656" spans="1:5">
      <c r="A3656" t="s">
        <v>5269</v>
      </c>
      <c r="B3656" t="s">
        <v>968</v>
      </c>
      <c r="C3656" t="s">
        <v>995</v>
      </c>
      <c r="D3656" t="s">
        <v>7095</v>
      </c>
      <c r="E3656">
        <v>310.8931309908361</v>
      </c>
    </row>
    <row r="3657" spans="1:5">
      <c r="A3657" t="s">
        <v>5270</v>
      </c>
      <c r="B3657" t="s">
        <v>968</v>
      </c>
      <c r="C3657" t="s">
        <v>995</v>
      </c>
      <c r="D3657" t="s">
        <v>7096</v>
      </c>
      <c r="E3657">
        <v>91.12835012928642</v>
      </c>
    </row>
    <row r="3658" spans="1:5">
      <c r="A3658" t="s">
        <v>5271</v>
      </c>
      <c r="B3658" t="s">
        <v>968</v>
      </c>
      <c r="C3658" t="s">
        <v>995</v>
      </c>
      <c r="D3658" t="s">
        <v>7097</v>
      </c>
      <c r="E3658">
        <v>71.08830290517078</v>
      </c>
    </row>
    <row r="3659" spans="1:5">
      <c r="A3659" t="s">
        <v>5272</v>
      </c>
      <c r="B3659" t="s">
        <v>968</v>
      </c>
      <c r="C3659" t="s">
        <v>995</v>
      </c>
      <c r="D3659" t="s">
        <v>7000</v>
      </c>
      <c r="E3659">
        <v>5.068530794390311</v>
      </c>
    </row>
    <row r="3660" spans="1:5">
      <c r="A3660" t="s">
        <v>5273</v>
      </c>
      <c r="B3660" t="s">
        <v>968</v>
      </c>
      <c r="C3660" t="s">
        <v>995</v>
      </c>
      <c r="D3660" t="s">
        <v>7098</v>
      </c>
      <c r="E3660">
        <v>1.118546919828476</v>
      </c>
    </row>
    <row r="3661" spans="1:5">
      <c r="A3661" t="s">
        <v>5274</v>
      </c>
      <c r="B3661" t="s">
        <v>968</v>
      </c>
      <c r="C3661" t="s">
        <v>995</v>
      </c>
      <c r="D3661" t="s">
        <v>7001</v>
      </c>
      <c r="E3661">
        <v>82.59617087911487</v>
      </c>
    </row>
    <row r="3662" spans="1:5">
      <c r="A3662" t="s">
        <v>5275</v>
      </c>
      <c r="B3662" t="s">
        <v>968</v>
      </c>
      <c r="C3662" t="s">
        <v>995</v>
      </c>
      <c r="D3662" t="s">
        <v>7099</v>
      </c>
      <c r="E3662">
        <v>0.05081698156158598</v>
      </c>
    </row>
    <row r="3663" spans="1:5">
      <c r="A3663" t="s">
        <v>5276</v>
      </c>
      <c r="B3663" t="s">
        <v>968</v>
      </c>
      <c r="C3663" t="s">
        <v>995</v>
      </c>
      <c r="D3663" t="s">
        <v>7100</v>
      </c>
      <c r="E3663">
        <v>85.41020659025969</v>
      </c>
    </row>
    <row r="3664" spans="1:5">
      <c r="A3664" t="s">
        <v>5277</v>
      </c>
      <c r="B3664" t="s">
        <v>968</v>
      </c>
      <c r="C3664" t="s">
        <v>995</v>
      </c>
      <c r="D3664" t="s">
        <v>7002</v>
      </c>
      <c r="E3664">
        <v>67.58960708704359</v>
      </c>
    </row>
    <row r="3665" spans="1:5">
      <c r="A3665" t="s">
        <v>5278</v>
      </c>
      <c r="B3665" t="s">
        <v>968</v>
      </c>
      <c r="C3665" t="s">
        <v>995</v>
      </c>
      <c r="D3665" t="s">
        <v>7101</v>
      </c>
      <c r="E3665">
        <v>3.016365153742461</v>
      </c>
    </row>
    <row r="3666" spans="1:5">
      <c r="A3666" t="s">
        <v>5279</v>
      </c>
      <c r="B3666" t="s">
        <v>968</v>
      </c>
      <c r="C3666" t="s">
        <v>995</v>
      </c>
      <c r="D3666" t="s">
        <v>7102</v>
      </c>
      <c r="E3666">
        <v>4.031418757545292</v>
      </c>
    </row>
    <row r="3667" spans="1:5">
      <c r="A3667" t="s">
        <v>5280</v>
      </c>
      <c r="B3667" t="s">
        <v>968</v>
      </c>
      <c r="C3667" t="s">
        <v>995</v>
      </c>
      <c r="D3667" t="s">
        <v>7103</v>
      </c>
      <c r="E3667">
        <v>0.2118717466771624</v>
      </c>
    </row>
    <row r="3668" spans="1:5">
      <c r="A3668" t="s">
        <v>5281</v>
      </c>
      <c r="B3668" t="s">
        <v>968</v>
      </c>
      <c r="C3668" t="s">
        <v>995</v>
      </c>
      <c r="D3668" t="s">
        <v>7104</v>
      </c>
      <c r="E3668">
        <v>82.90483978369348</v>
      </c>
    </row>
    <row r="3669" spans="1:5">
      <c r="A3669" t="s">
        <v>5282</v>
      </c>
      <c r="B3669" t="s">
        <v>968</v>
      </c>
      <c r="C3669" t="s">
        <v>995</v>
      </c>
      <c r="D3669" t="s">
        <v>7105</v>
      </c>
      <c r="E3669">
        <v>39.04207255944996</v>
      </c>
    </row>
    <row r="3670" spans="1:5">
      <c r="A3670" t="s">
        <v>5283</v>
      </c>
      <c r="B3670" t="s">
        <v>968</v>
      </c>
      <c r="C3670" t="s">
        <v>995</v>
      </c>
      <c r="D3670" t="s">
        <v>7106</v>
      </c>
      <c r="E3670">
        <v>21.2350306904834</v>
      </c>
    </row>
    <row r="3671" spans="1:5">
      <c r="A3671" t="s">
        <v>5284</v>
      </c>
      <c r="B3671" t="s">
        <v>968</v>
      </c>
      <c r="C3671" t="s">
        <v>995</v>
      </c>
      <c r="D3671" t="s">
        <v>7107</v>
      </c>
      <c r="E3671">
        <v>0.6968775203436332</v>
      </c>
    </row>
    <row r="3672" spans="1:5">
      <c r="A3672" t="s">
        <v>5285</v>
      </c>
      <c r="B3672" t="s">
        <v>968</v>
      </c>
      <c r="C3672" t="s">
        <v>995</v>
      </c>
      <c r="D3672" t="s">
        <v>7003</v>
      </c>
      <c r="E3672">
        <v>31.95839009707073</v>
      </c>
    </row>
    <row r="3673" spans="1:5">
      <c r="A3673" t="s">
        <v>5286</v>
      </c>
      <c r="B3673" t="s">
        <v>968</v>
      </c>
      <c r="C3673" t="s">
        <v>995</v>
      </c>
      <c r="D3673" t="s">
        <v>7004</v>
      </c>
      <c r="E3673">
        <v>240.1920134204059</v>
      </c>
    </row>
    <row r="3674" spans="1:5">
      <c r="A3674" t="s">
        <v>5287</v>
      </c>
      <c r="B3674" t="s">
        <v>968</v>
      </c>
      <c r="C3674" t="s">
        <v>995</v>
      </c>
      <c r="D3674" t="s">
        <v>7108</v>
      </c>
      <c r="E3674">
        <v>410.4614629339825</v>
      </c>
    </row>
    <row r="3675" spans="1:5">
      <c r="A3675" t="s">
        <v>5288</v>
      </c>
      <c r="B3675" t="s">
        <v>968</v>
      </c>
      <c r="C3675" t="s">
        <v>995</v>
      </c>
      <c r="D3675" t="s">
        <v>7109</v>
      </c>
      <c r="E3675">
        <v>12.57431387990549</v>
      </c>
    </row>
    <row r="3676" spans="1:5">
      <c r="A3676" t="s">
        <v>5289</v>
      </c>
      <c r="B3676" t="s">
        <v>968</v>
      </c>
      <c r="C3676" t="s">
        <v>995</v>
      </c>
      <c r="D3676" t="s">
        <v>7110</v>
      </c>
      <c r="E3676">
        <v>0.01257434402106522</v>
      </c>
    </row>
    <row r="3677" spans="1:5">
      <c r="A3677" t="s">
        <v>5290</v>
      </c>
      <c r="B3677" t="s">
        <v>968</v>
      </c>
      <c r="C3677" t="s">
        <v>995</v>
      </c>
      <c r="D3677" t="s">
        <v>7111</v>
      </c>
      <c r="E3677">
        <v>0.5451625308894174</v>
      </c>
    </row>
    <row r="3678" spans="1:5">
      <c r="A3678" t="s">
        <v>5291</v>
      </c>
      <c r="B3678" t="s">
        <v>968</v>
      </c>
      <c r="C3678" t="s">
        <v>995</v>
      </c>
      <c r="D3678" t="s">
        <v>7112</v>
      </c>
      <c r="E3678">
        <v>8.275547026143478</v>
      </c>
    </row>
    <row r="3679" spans="1:5">
      <c r="A3679" t="s">
        <v>5292</v>
      </c>
      <c r="B3679" t="s">
        <v>968</v>
      </c>
      <c r="C3679" t="s">
        <v>995</v>
      </c>
      <c r="D3679" t="s">
        <v>7113</v>
      </c>
      <c r="E3679">
        <v>0.06581442030567601</v>
      </c>
    </row>
    <row r="3680" spans="1:5">
      <c r="A3680" t="s">
        <v>5293</v>
      </c>
      <c r="B3680" t="s">
        <v>968</v>
      </c>
      <c r="C3680" t="s">
        <v>995</v>
      </c>
      <c r="D3680" t="s">
        <v>7114</v>
      </c>
      <c r="E3680">
        <v>14.45243187755102</v>
      </c>
    </row>
    <row r="3681" spans="1:5">
      <c r="A3681" t="s">
        <v>5294</v>
      </c>
      <c r="B3681" t="s">
        <v>968</v>
      </c>
      <c r="C3681" t="s">
        <v>995</v>
      </c>
      <c r="D3681" t="s">
        <v>7115</v>
      </c>
      <c r="E3681">
        <v>2.747994898859877</v>
      </c>
    </row>
    <row r="3682" spans="1:5">
      <c r="A3682" t="s">
        <v>5295</v>
      </c>
      <c r="B3682" t="s">
        <v>968</v>
      </c>
      <c r="C3682" t="s">
        <v>995</v>
      </c>
      <c r="D3682" t="s">
        <v>7116</v>
      </c>
      <c r="E3682">
        <v>18.87615312942504</v>
      </c>
    </row>
    <row r="3683" spans="1:5">
      <c r="A3683" t="s">
        <v>5296</v>
      </c>
      <c r="B3683" t="s">
        <v>968</v>
      </c>
      <c r="C3683" t="s">
        <v>995</v>
      </c>
      <c r="D3683" t="s">
        <v>7005</v>
      </c>
      <c r="E3683">
        <v>9.311645633773573</v>
      </c>
    </row>
    <row r="3684" spans="1:5">
      <c r="A3684" t="s">
        <v>5297</v>
      </c>
      <c r="B3684" t="s">
        <v>968</v>
      </c>
      <c r="C3684" t="s">
        <v>995</v>
      </c>
      <c r="D3684" t="s">
        <v>7117</v>
      </c>
      <c r="E3684">
        <v>33.47238521407142</v>
      </c>
    </row>
    <row r="3685" spans="1:5">
      <c r="A3685" t="s">
        <v>5298</v>
      </c>
      <c r="B3685" t="s">
        <v>968</v>
      </c>
      <c r="C3685" t="s">
        <v>995</v>
      </c>
      <c r="D3685" t="s">
        <v>7118</v>
      </c>
      <c r="E3685">
        <v>88.81013342416223</v>
      </c>
    </row>
    <row r="3686" spans="1:5">
      <c r="A3686" t="s">
        <v>5299</v>
      </c>
      <c r="B3686" t="s">
        <v>968</v>
      </c>
      <c r="C3686" t="s">
        <v>995</v>
      </c>
      <c r="D3686" t="s">
        <v>7119</v>
      </c>
      <c r="E3686">
        <v>105.2676179317714</v>
      </c>
    </row>
    <row r="3687" spans="1:5">
      <c r="A3687" t="s">
        <v>5300</v>
      </c>
      <c r="B3687" t="s">
        <v>968</v>
      </c>
      <c r="C3687" t="s">
        <v>995</v>
      </c>
      <c r="D3687" t="s">
        <v>7120</v>
      </c>
      <c r="E3687">
        <v>130.5424738673261</v>
      </c>
    </row>
    <row r="3688" spans="1:5">
      <c r="A3688" t="s">
        <v>5301</v>
      </c>
      <c r="B3688" t="s">
        <v>968</v>
      </c>
      <c r="C3688" t="s">
        <v>995</v>
      </c>
      <c r="D3688" t="s">
        <v>7006</v>
      </c>
      <c r="E3688">
        <v>6.663246283384793</v>
      </c>
    </row>
    <row r="3689" spans="1:5">
      <c r="A3689" t="s">
        <v>5302</v>
      </c>
      <c r="B3689" t="s">
        <v>968</v>
      </c>
      <c r="C3689" t="s">
        <v>995</v>
      </c>
      <c r="D3689" t="s">
        <v>7121</v>
      </c>
      <c r="E3689">
        <v>41.68035543202493</v>
      </c>
    </row>
    <row r="3690" spans="1:5">
      <c r="A3690" t="s">
        <v>5303</v>
      </c>
      <c r="B3690" t="s">
        <v>968</v>
      </c>
      <c r="C3690" t="s">
        <v>995</v>
      </c>
      <c r="D3690" t="s">
        <v>7122</v>
      </c>
      <c r="E3690">
        <v>214.3927178381782</v>
      </c>
    </row>
    <row r="3691" spans="1:5">
      <c r="A3691" t="s">
        <v>5304</v>
      </c>
      <c r="B3691" t="s">
        <v>968</v>
      </c>
      <c r="C3691" t="s">
        <v>995</v>
      </c>
      <c r="D3691" t="s">
        <v>7123</v>
      </c>
      <c r="E3691">
        <v>9.764770768987537</v>
      </c>
    </row>
    <row r="3692" spans="1:5">
      <c r="A3692" t="s">
        <v>5305</v>
      </c>
      <c r="B3692" t="s">
        <v>968</v>
      </c>
      <c r="C3692" t="s">
        <v>995</v>
      </c>
      <c r="D3692" t="s">
        <v>7124</v>
      </c>
      <c r="E3692">
        <v>0.119062993519378</v>
      </c>
    </row>
    <row r="3693" spans="1:5">
      <c r="A3693" t="s">
        <v>5306</v>
      </c>
      <c r="B3693" t="s">
        <v>968</v>
      </c>
      <c r="C3693" t="s">
        <v>995</v>
      </c>
      <c r="D3693" t="s">
        <v>7125</v>
      </c>
      <c r="E3693">
        <v>6.918353851675485</v>
      </c>
    </row>
    <row r="3694" spans="1:5">
      <c r="A3694" t="s">
        <v>5307</v>
      </c>
      <c r="B3694" t="s">
        <v>968</v>
      </c>
      <c r="C3694" t="s">
        <v>995</v>
      </c>
      <c r="D3694" t="s">
        <v>7126</v>
      </c>
      <c r="E3694">
        <v>0.08515765889032224</v>
      </c>
    </row>
    <row r="3695" spans="1:5">
      <c r="A3695" t="s">
        <v>5308</v>
      </c>
      <c r="B3695" t="s">
        <v>968</v>
      </c>
      <c r="C3695" t="s">
        <v>995</v>
      </c>
      <c r="D3695" t="s">
        <v>998</v>
      </c>
      <c r="E3695">
        <v>310.8923120823931</v>
      </c>
    </row>
    <row r="3696" spans="1:5">
      <c r="A3696" t="s">
        <v>5309</v>
      </c>
      <c r="B3696" t="s">
        <v>968</v>
      </c>
      <c r="C3696" t="s">
        <v>995</v>
      </c>
      <c r="D3696" t="s">
        <v>7127</v>
      </c>
      <c r="E3696">
        <v>7.779892468019867</v>
      </c>
    </row>
    <row r="3697" spans="1:5">
      <c r="A3697" t="s">
        <v>5310</v>
      </c>
      <c r="B3697" t="s">
        <v>968</v>
      </c>
      <c r="C3697" t="s">
        <v>995</v>
      </c>
      <c r="D3697" t="s">
        <v>7128</v>
      </c>
      <c r="E3697">
        <v>0.02591826244846264</v>
      </c>
    </row>
    <row r="3698" spans="1:5">
      <c r="A3698" t="s">
        <v>5311</v>
      </c>
      <c r="B3698" t="s">
        <v>968</v>
      </c>
      <c r="C3698" t="s">
        <v>995</v>
      </c>
      <c r="D3698" t="s">
        <v>7129</v>
      </c>
      <c r="E3698">
        <v>0.4986389528164306</v>
      </c>
    </row>
    <row r="3699" spans="1:5">
      <c r="A3699" t="s">
        <v>5312</v>
      </c>
      <c r="B3699" t="s">
        <v>968</v>
      </c>
      <c r="C3699" t="s">
        <v>995</v>
      </c>
      <c r="D3699" t="s">
        <v>7130</v>
      </c>
      <c r="E3699">
        <v>0.01184849334640657</v>
      </c>
    </row>
    <row r="3700" spans="1:5">
      <c r="A3700" t="s">
        <v>5313</v>
      </c>
      <c r="B3700" t="s">
        <v>968</v>
      </c>
      <c r="C3700" t="s">
        <v>995</v>
      </c>
      <c r="D3700" t="s">
        <v>7131</v>
      </c>
      <c r="E3700">
        <v>2.60311120696702</v>
      </c>
    </row>
    <row r="3701" spans="1:5">
      <c r="A3701" t="s">
        <v>5314</v>
      </c>
      <c r="B3701" t="s">
        <v>968</v>
      </c>
      <c r="C3701" t="s">
        <v>995</v>
      </c>
      <c r="D3701" t="s">
        <v>7132</v>
      </c>
      <c r="E3701">
        <v>113.5044365145665</v>
      </c>
    </row>
    <row r="3702" spans="1:5">
      <c r="A3702" t="s">
        <v>5315</v>
      </c>
      <c r="B3702" t="s">
        <v>968</v>
      </c>
      <c r="C3702" t="s">
        <v>995</v>
      </c>
      <c r="D3702" t="s">
        <v>7133</v>
      </c>
      <c r="E3702">
        <v>0.5397984639237023</v>
      </c>
    </row>
    <row r="3703" spans="1:5">
      <c r="A3703" t="s">
        <v>5316</v>
      </c>
      <c r="B3703" t="s">
        <v>968</v>
      </c>
      <c r="C3703" t="s">
        <v>995</v>
      </c>
      <c r="D3703" t="s">
        <v>7134</v>
      </c>
      <c r="E3703">
        <v>115.145600326233</v>
      </c>
    </row>
    <row r="3704" spans="1:5">
      <c r="A3704" t="s">
        <v>5317</v>
      </c>
      <c r="B3704" t="s">
        <v>968</v>
      </c>
      <c r="C3704" t="s">
        <v>995</v>
      </c>
      <c r="D3704" t="s">
        <v>7135</v>
      </c>
      <c r="E3704">
        <v>173.6833415167371</v>
      </c>
    </row>
    <row r="3705" spans="1:5">
      <c r="A3705" t="s">
        <v>5318</v>
      </c>
      <c r="B3705" t="s">
        <v>968</v>
      </c>
      <c r="C3705" t="s">
        <v>995</v>
      </c>
      <c r="D3705" t="s">
        <v>7136</v>
      </c>
      <c r="E3705">
        <v>421.703466789257</v>
      </c>
    </row>
    <row r="3706" spans="1:5">
      <c r="A3706" t="s">
        <v>5319</v>
      </c>
      <c r="B3706" t="s">
        <v>968</v>
      </c>
      <c r="C3706" t="s">
        <v>995</v>
      </c>
      <c r="D3706" t="s">
        <v>7137</v>
      </c>
      <c r="E3706">
        <v>0.5397984639237023</v>
      </c>
    </row>
    <row r="3707" spans="1:5">
      <c r="A3707" t="s">
        <v>5320</v>
      </c>
      <c r="B3707" t="s">
        <v>968</v>
      </c>
      <c r="C3707" t="s">
        <v>995</v>
      </c>
      <c r="D3707" t="s">
        <v>7138</v>
      </c>
      <c r="E3707">
        <v>2.96722237957966</v>
      </c>
    </row>
    <row r="3708" spans="1:5">
      <c r="A3708" t="s">
        <v>5321</v>
      </c>
      <c r="B3708" t="s">
        <v>968</v>
      </c>
      <c r="C3708" t="s">
        <v>995</v>
      </c>
      <c r="D3708" t="s">
        <v>7139</v>
      </c>
      <c r="E3708">
        <v>1.305245568760973</v>
      </c>
    </row>
    <row r="3709" spans="1:5">
      <c r="A3709" t="s">
        <v>5322</v>
      </c>
      <c r="B3709" t="s">
        <v>968</v>
      </c>
      <c r="C3709" t="s">
        <v>995</v>
      </c>
      <c r="D3709" t="s">
        <v>7007</v>
      </c>
      <c r="E3709">
        <v>18.87613803519793</v>
      </c>
    </row>
    <row r="3710" spans="1:5">
      <c r="A3710" t="s">
        <v>5323</v>
      </c>
      <c r="B3710" t="s">
        <v>968</v>
      </c>
      <c r="C3710" t="s">
        <v>995</v>
      </c>
      <c r="D3710" t="s">
        <v>7140</v>
      </c>
      <c r="E3710">
        <v>17.18841169053182</v>
      </c>
    </row>
    <row r="3711" spans="1:5">
      <c r="A3711" t="s">
        <v>5324</v>
      </c>
      <c r="B3711" t="s">
        <v>968</v>
      </c>
      <c r="C3711" t="s">
        <v>995</v>
      </c>
      <c r="D3711" t="s">
        <v>7141</v>
      </c>
      <c r="E3711">
        <v>11.60020249639628</v>
      </c>
    </row>
    <row r="3712" spans="1:5">
      <c r="A3712" t="s">
        <v>5325</v>
      </c>
      <c r="B3712" t="s">
        <v>968</v>
      </c>
      <c r="C3712" t="s">
        <v>995</v>
      </c>
      <c r="D3712" t="s">
        <v>7142</v>
      </c>
      <c r="E3712">
        <v>11.60020249639628</v>
      </c>
    </row>
    <row r="3713" spans="1:5">
      <c r="A3713" t="s">
        <v>5161</v>
      </c>
      <c r="B3713" t="s">
        <v>968</v>
      </c>
      <c r="C3713" t="s">
        <v>995</v>
      </c>
      <c r="D3713" t="s">
        <v>996</v>
      </c>
      <c r="E3713">
        <v>354.084581</v>
      </c>
    </row>
    <row r="3714" spans="1:5">
      <c r="A3714" t="s">
        <v>5326</v>
      </c>
      <c r="B3714" t="s">
        <v>969</v>
      </c>
      <c r="C3714" t="s">
        <v>995</v>
      </c>
      <c r="D3714" t="s">
        <v>996</v>
      </c>
      <c r="E3714">
        <v>354.134497</v>
      </c>
    </row>
    <row r="3715" spans="1:5">
      <c r="A3715" t="s">
        <v>5327</v>
      </c>
      <c r="B3715" t="s">
        <v>969</v>
      </c>
      <c r="C3715" t="s">
        <v>995</v>
      </c>
      <c r="D3715" t="s">
        <v>7008</v>
      </c>
      <c r="E3715">
        <v>84.46940017779541</v>
      </c>
    </row>
    <row r="3716" spans="1:5">
      <c r="A3716" t="s">
        <v>5328</v>
      </c>
      <c r="B3716" t="s">
        <v>969</v>
      </c>
      <c r="C3716" t="s">
        <v>995</v>
      </c>
      <c r="D3716" t="s">
        <v>7009</v>
      </c>
      <c r="E3716">
        <v>4.841891836684692</v>
      </c>
    </row>
    <row r="3717" spans="1:5">
      <c r="A3717" t="s">
        <v>5329</v>
      </c>
      <c r="B3717" t="s">
        <v>969</v>
      </c>
      <c r="C3717" t="s">
        <v>995</v>
      </c>
      <c r="D3717" t="s">
        <v>7010</v>
      </c>
      <c r="E3717">
        <v>3.75939347580213</v>
      </c>
    </row>
    <row r="3718" spans="1:5">
      <c r="A3718" t="s">
        <v>5330</v>
      </c>
      <c r="B3718" t="s">
        <v>969</v>
      </c>
      <c r="C3718" t="s">
        <v>995</v>
      </c>
      <c r="D3718" t="s">
        <v>7011</v>
      </c>
      <c r="E3718">
        <v>0.8438967877839975</v>
      </c>
    </row>
    <row r="3719" spans="1:5">
      <c r="A3719" t="s">
        <v>5331</v>
      </c>
      <c r="B3719" t="s">
        <v>969</v>
      </c>
      <c r="C3719" t="s">
        <v>995</v>
      </c>
      <c r="D3719" t="s">
        <v>7012</v>
      </c>
      <c r="E3719">
        <v>173.3037835367167</v>
      </c>
    </row>
    <row r="3720" spans="1:5">
      <c r="A3720" t="s">
        <v>5332</v>
      </c>
      <c r="B3720" t="s">
        <v>969</v>
      </c>
      <c r="C3720" t="s">
        <v>995</v>
      </c>
      <c r="D3720" t="s">
        <v>7013</v>
      </c>
      <c r="E3720">
        <v>0.3268929100139567</v>
      </c>
    </row>
    <row r="3721" spans="1:5">
      <c r="A3721" t="s">
        <v>5333</v>
      </c>
      <c r="B3721" t="s">
        <v>969</v>
      </c>
      <c r="C3721" t="s">
        <v>995</v>
      </c>
      <c r="D3721" t="s">
        <v>7014</v>
      </c>
      <c r="E3721">
        <v>0.2095105429083958</v>
      </c>
    </row>
    <row r="3722" spans="1:5">
      <c r="A3722" t="s">
        <v>5334</v>
      </c>
      <c r="B3722" t="s">
        <v>969</v>
      </c>
      <c r="C3722" t="s">
        <v>995</v>
      </c>
      <c r="D3722" t="s">
        <v>6981</v>
      </c>
      <c r="E3722">
        <v>213.7308527036341</v>
      </c>
    </row>
    <row r="3723" spans="1:5">
      <c r="A3723" t="s">
        <v>5335</v>
      </c>
      <c r="B3723" t="s">
        <v>969</v>
      </c>
      <c r="C3723" t="s">
        <v>995</v>
      </c>
      <c r="D3723" t="s">
        <v>7015</v>
      </c>
      <c r="E3723">
        <v>173.3037835367167</v>
      </c>
    </row>
    <row r="3724" spans="1:5">
      <c r="A3724" t="s">
        <v>5336</v>
      </c>
      <c r="B3724" t="s">
        <v>969</v>
      </c>
      <c r="C3724" t="s">
        <v>995</v>
      </c>
      <c r="D3724" t="s">
        <v>7016</v>
      </c>
      <c r="E3724">
        <v>182.7905107880286</v>
      </c>
    </row>
    <row r="3725" spans="1:5">
      <c r="A3725" t="s">
        <v>5337</v>
      </c>
      <c r="B3725" t="s">
        <v>969</v>
      </c>
      <c r="C3725" t="s">
        <v>995</v>
      </c>
      <c r="D3725" t="s">
        <v>7017</v>
      </c>
      <c r="E3725">
        <v>181.0660931676066</v>
      </c>
    </row>
    <row r="3726" spans="1:5">
      <c r="A3726" t="s">
        <v>5338</v>
      </c>
      <c r="B3726" t="s">
        <v>969</v>
      </c>
      <c r="C3726" t="s">
        <v>995</v>
      </c>
      <c r="D3726" t="s">
        <v>7018</v>
      </c>
      <c r="E3726">
        <v>155.1069029644826</v>
      </c>
    </row>
    <row r="3727" spans="1:5">
      <c r="A3727" t="s">
        <v>5339</v>
      </c>
      <c r="B3727" t="s">
        <v>969</v>
      </c>
      <c r="C3727" t="s">
        <v>995</v>
      </c>
      <c r="D3727" t="s">
        <v>7019</v>
      </c>
      <c r="E3727">
        <v>2.519859281596267</v>
      </c>
    </row>
    <row r="3728" spans="1:5">
      <c r="A3728" t="s">
        <v>5340</v>
      </c>
      <c r="B3728" t="s">
        <v>969</v>
      </c>
      <c r="C3728" t="s">
        <v>995</v>
      </c>
      <c r="D3728" t="s">
        <v>997</v>
      </c>
      <c r="E3728">
        <v>181.0660931676066</v>
      </c>
    </row>
    <row r="3729" spans="1:5">
      <c r="A3729" t="s">
        <v>5341</v>
      </c>
      <c r="B3729" t="s">
        <v>969</v>
      </c>
      <c r="C3729" t="s">
        <v>995</v>
      </c>
      <c r="D3729" t="s">
        <v>7020</v>
      </c>
      <c r="E3729">
        <v>825.0363949817699</v>
      </c>
    </row>
    <row r="3730" spans="1:5">
      <c r="A3730" t="s">
        <v>5342</v>
      </c>
      <c r="B3730" t="s">
        <v>969</v>
      </c>
      <c r="C3730" t="s">
        <v>995</v>
      </c>
      <c r="D3730" t="s">
        <v>7021</v>
      </c>
      <c r="E3730">
        <v>0.1039487920134038</v>
      </c>
    </row>
    <row r="3731" spans="1:5">
      <c r="A3731" t="s">
        <v>5343</v>
      </c>
      <c r="B3731" t="s">
        <v>969</v>
      </c>
      <c r="C3731" t="s">
        <v>995</v>
      </c>
      <c r="D3731" t="s">
        <v>7022</v>
      </c>
      <c r="E3731">
        <v>310.2138059289652</v>
      </c>
    </row>
    <row r="3732" spans="1:5">
      <c r="A3732" t="s">
        <v>5344</v>
      </c>
      <c r="B3732" t="s">
        <v>969</v>
      </c>
      <c r="C3732" t="s">
        <v>995</v>
      </c>
      <c r="D3732" t="s">
        <v>7023</v>
      </c>
      <c r="E3732">
        <v>239.9550201004583</v>
      </c>
    </row>
    <row r="3733" spans="1:5">
      <c r="A3733" t="s">
        <v>5345</v>
      </c>
      <c r="B3733" t="s">
        <v>969</v>
      </c>
      <c r="C3733" t="s">
        <v>995</v>
      </c>
      <c r="D3733" t="s">
        <v>7024</v>
      </c>
      <c r="E3733">
        <v>44.90473439490583</v>
      </c>
    </row>
    <row r="3734" spans="1:5">
      <c r="A3734" t="s">
        <v>5346</v>
      </c>
      <c r="B3734" t="s">
        <v>969</v>
      </c>
      <c r="C3734" t="s">
        <v>995</v>
      </c>
      <c r="D3734" t="s">
        <v>6982</v>
      </c>
      <c r="E3734">
        <v>60.04933994552168</v>
      </c>
    </row>
    <row r="3735" spans="1:5">
      <c r="A3735" t="s">
        <v>5347</v>
      </c>
      <c r="B3735" t="s">
        <v>969</v>
      </c>
      <c r="C3735" t="s">
        <v>995</v>
      </c>
      <c r="D3735" t="s">
        <v>7025</v>
      </c>
      <c r="E3735">
        <v>310.2138059289652</v>
      </c>
    </row>
    <row r="3736" spans="1:5">
      <c r="A3736" t="s">
        <v>5348</v>
      </c>
      <c r="B3736" t="s">
        <v>969</v>
      </c>
      <c r="C3736" t="s">
        <v>995</v>
      </c>
      <c r="D3736" t="s">
        <v>7026</v>
      </c>
      <c r="E3736">
        <v>3.283157862503266</v>
      </c>
    </row>
    <row r="3737" spans="1:5">
      <c r="A3737" t="s">
        <v>5349</v>
      </c>
      <c r="B3737" t="s">
        <v>969</v>
      </c>
      <c r="C3737" t="s">
        <v>995</v>
      </c>
      <c r="D3737" t="s">
        <v>7027</v>
      </c>
      <c r="E3737">
        <v>21.97071838553471</v>
      </c>
    </row>
    <row r="3738" spans="1:5">
      <c r="A3738" t="s">
        <v>5350</v>
      </c>
      <c r="B3738" t="s">
        <v>969</v>
      </c>
      <c r="C3738" t="s">
        <v>995</v>
      </c>
      <c r="D3738" t="s">
        <v>7028</v>
      </c>
      <c r="E3738">
        <v>107.0950101187517</v>
      </c>
    </row>
    <row r="3739" spans="1:5">
      <c r="A3739" t="s">
        <v>5351</v>
      </c>
      <c r="B3739" t="s">
        <v>969</v>
      </c>
      <c r="C3739" t="s">
        <v>995</v>
      </c>
      <c r="D3739" t="s">
        <v>7029</v>
      </c>
      <c r="E3739">
        <v>155.1069029644826</v>
      </c>
    </row>
    <row r="3740" spans="1:5">
      <c r="A3740" t="s">
        <v>5352</v>
      </c>
      <c r="B3740" t="s">
        <v>969</v>
      </c>
      <c r="C3740" t="s">
        <v>995</v>
      </c>
      <c r="D3740" t="s">
        <v>6983</v>
      </c>
      <c r="E3740">
        <v>218.3797915080058</v>
      </c>
    </row>
    <row r="3741" spans="1:5">
      <c r="A3741" t="s">
        <v>5353</v>
      </c>
      <c r="B3741" t="s">
        <v>969</v>
      </c>
      <c r="C3741" t="s">
        <v>995</v>
      </c>
      <c r="D3741" t="s">
        <v>7030</v>
      </c>
      <c r="E3741">
        <v>0.1343741547532651</v>
      </c>
    </row>
    <row r="3742" spans="1:5">
      <c r="A3742" t="s">
        <v>5354</v>
      </c>
      <c r="B3742" t="s">
        <v>969</v>
      </c>
      <c r="C3742" t="s">
        <v>995</v>
      </c>
      <c r="D3742" t="s">
        <v>6984</v>
      </c>
      <c r="E3742">
        <v>383.8336236282346</v>
      </c>
    </row>
    <row r="3743" spans="1:5">
      <c r="A3743" t="s">
        <v>5355</v>
      </c>
      <c r="B3743" t="s">
        <v>969</v>
      </c>
      <c r="C3743" t="s">
        <v>995</v>
      </c>
      <c r="D3743" t="s">
        <v>7031</v>
      </c>
      <c r="E3743">
        <v>13318.834743691</v>
      </c>
    </row>
    <row r="3744" spans="1:5">
      <c r="A3744" t="s">
        <v>5356</v>
      </c>
      <c r="B3744" t="s">
        <v>969</v>
      </c>
      <c r="C3744" t="s">
        <v>995</v>
      </c>
      <c r="D3744" t="s">
        <v>7032</v>
      </c>
      <c r="E3744">
        <v>0.3369576963200575</v>
      </c>
    </row>
    <row r="3745" spans="1:5">
      <c r="A3745" t="s">
        <v>5357</v>
      </c>
      <c r="B3745" t="s">
        <v>969</v>
      </c>
      <c r="C3745" t="s">
        <v>995</v>
      </c>
      <c r="D3745" t="s">
        <v>7033</v>
      </c>
      <c r="E3745">
        <v>45.63336013597185</v>
      </c>
    </row>
    <row r="3746" spans="1:5">
      <c r="A3746" t="s">
        <v>5358</v>
      </c>
      <c r="B3746" t="s">
        <v>969</v>
      </c>
      <c r="C3746" t="s">
        <v>995</v>
      </c>
      <c r="D3746" t="s">
        <v>6985</v>
      </c>
      <c r="E3746">
        <v>45.6220787032379</v>
      </c>
    </row>
    <row r="3747" spans="1:5">
      <c r="A3747" t="s">
        <v>5359</v>
      </c>
      <c r="B3747" t="s">
        <v>969</v>
      </c>
      <c r="C3747" t="s">
        <v>995</v>
      </c>
      <c r="D3747" t="s">
        <v>7034</v>
      </c>
      <c r="E3747">
        <v>0.08989679025310583</v>
      </c>
    </row>
    <row r="3748" spans="1:5">
      <c r="A3748" t="s">
        <v>5360</v>
      </c>
      <c r="B3748" t="s">
        <v>969</v>
      </c>
      <c r="C3748" t="s">
        <v>995</v>
      </c>
      <c r="D3748" t="s">
        <v>7035</v>
      </c>
      <c r="E3748">
        <v>0.6843083953906385</v>
      </c>
    </row>
    <row r="3749" spans="1:5">
      <c r="A3749" t="s">
        <v>5361</v>
      </c>
      <c r="B3749" t="s">
        <v>969</v>
      </c>
      <c r="C3749" t="s">
        <v>995</v>
      </c>
      <c r="D3749" t="s">
        <v>7036</v>
      </c>
      <c r="E3749">
        <v>12.9255766623543</v>
      </c>
    </row>
    <row r="3750" spans="1:5">
      <c r="A3750" t="s">
        <v>5362</v>
      </c>
      <c r="B3750" t="s">
        <v>969</v>
      </c>
      <c r="C3750" t="s">
        <v>995</v>
      </c>
      <c r="D3750" t="s">
        <v>7037</v>
      </c>
      <c r="E3750">
        <v>3.211667319639051</v>
      </c>
    </row>
    <row r="3751" spans="1:5">
      <c r="A3751" t="s">
        <v>5363</v>
      </c>
      <c r="B3751" t="s">
        <v>969</v>
      </c>
      <c r="C3751" t="s">
        <v>995</v>
      </c>
      <c r="D3751" t="s">
        <v>6986</v>
      </c>
      <c r="E3751">
        <v>14.59726206606281</v>
      </c>
    </row>
    <row r="3752" spans="1:5">
      <c r="A3752" t="s">
        <v>5364</v>
      </c>
      <c r="B3752" t="s">
        <v>969</v>
      </c>
      <c r="C3752" t="s">
        <v>995</v>
      </c>
      <c r="D3752" t="s">
        <v>7038</v>
      </c>
      <c r="E3752">
        <v>1.745510316673881</v>
      </c>
    </row>
    <row r="3753" spans="1:5">
      <c r="A3753" t="s">
        <v>5365</v>
      </c>
      <c r="B3753" t="s">
        <v>969</v>
      </c>
      <c r="C3753" t="s">
        <v>995</v>
      </c>
      <c r="D3753" t="s">
        <v>6987</v>
      </c>
      <c r="E3753">
        <v>47.44852644538773</v>
      </c>
    </row>
    <row r="3754" spans="1:5">
      <c r="A3754" t="s">
        <v>5366</v>
      </c>
      <c r="B3754" t="s">
        <v>969</v>
      </c>
      <c r="C3754" t="s">
        <v>995</v>
      </c>
      <c r="D3754" t="s">
        <v>7039</v>
      </c>
      <c r="E3754">
        <v>5.257124766183909</v>
      </c>
    </row>
    <row r="3755" spans="1:5">
      <c r="A3755" t="s">
        <v>5367</v>
      </c>
      <c r="B3755" t="s">
        <v>969</v>
      </c>
      <c r="C3755" t="s">
        <v>995</v>
      </c>
      <c r="D3755" t="s">
        <v>7040</v>
      </c>
      <c r="E3755">
        <v>2.331118626515738</v>
      </c>
    </row>
    <row r="3756" spans="1:5">
      <c r="A3756" t="s">
        <v>5368</v>
      </c>
      <c r="B3756" t="s">
        <v>969</v>
      </c>
      <c r="C3756" t="s">
        <v>995</v>
      </c>
      <c r="D3756" t="s">
        <v>7041</v>
      </c>
      <c r="E3756">
        <v>6.303565129625325</v>
      </c>
    </row>
    <row r="3757" spans="1:5">
      <c r="A3757" t="s">
        <v>5369</v>
      </c>
      <c r="B3757" t="s">
        <v>969</v>
      </c>
      <c r="C3757" t="s">
        <v>995</v>
      </c>
      <c r="D3757" t="s">
        <v>7042</v>
      </c>
      <c r="E3757">
        <v>20.68092281073374</v>
      </c>
    </row>
    <row r="3758" spans="1:5">
      <c r="A3758" t="s">
        <v>5370</v>
      </c>
      <c r="B3758" t="s">
        <v>969</v>
      </c>
      <c r="C3758" t="s">
        <v>995</v>
      </c>
      <c r="D3758" t="s">
        <v>7043</v>
      </c>
      <c r="E3758">
        <v>1.927147537664255</v>
      </c>
    </row>
    <row r="3759" spans="1:5">
      <c r="A3759" t="s">
        <v>5371</v>
      </c>
      <c r="B3759" t="s">
        <v>969</v>
      </c>
      <c r="C3759" t="s">
        <v>995</v>
      </c>
      <c r="D3759" t="s">
        <v>7044</v>
      </c>
      <c r="E3759">
        <v>138.416296980153</v>
      </c>
    </row>
    <row r="3760" spans="1:5">
      <c r="A3760" t="s">
        <v>5372</v>
      </c>
      <c r="B3760" t="s">
        <v>969</v>
      </c>
      <c r="C3760" t="s">
        <v>995</v>
      </c>
      <c r="D3760" t="s">
        <v>7045</v>
      </c>
      <c r="E3760">
        <v>410.8374618031467</v>
      </c>
    </row>
    <row r="3761" spans="1:5">
      <c r="A3761" t="s">
        <v>5373</v>
      </c>
      <c r="B3761" t="s">
        <v>969</v>
      </c>
      <c r="C3761" t="s">
        <v>995</v>
      </c>
      <c r="D3761" t="s">
        <v>7046</v>
      </c>
      <c r="E3761">
        <v>47.44853916012342</v>
      </c>
    </row>
    <row r="3762" spans="1:5">
      <c r="A3762" t="s">
        <v>5374</v>
      </c>
      <c r="B3762" t="s">
        <v>969</v>
      </c>
      <c r="C3762" t="s">
        <v>995</v>
      </c>
      <c r="D3762" t="s">
        <v>6988</v>
      </c>
      <c r="E3762">
        <v>410.8374618031467</v>
      </c>
    </row>
    <row r="3763" spans="1:5">
      <c r="A3763" t="s">
        <v>5375</v>
      </c>
      <c r="B3763" t="s">
        <v>969</v>
      </c>
      <c r="C3763" t="s">
        <v>995</v>
      </c>
      <c r="D3763" t="s">
        <v>7047</v>
      </c>
      <c r="E3763">
        <v>117.5280614471502</v>
      </c>
    </row>
    <row r="3764" spans="1:5">
      <c r="A3764" t="s">
        <v>5376</v>
      </c>
      <c r="B3764" t="s">
        <v>969</v>
      </c>
      <c r="C3764" t="s">
        <v>995</v>
      </c>
      <c r="D3764" t="s">
        <v>7048</v>
      </c>
      <c r="E3764">
        <v>410.8374618031467</v>
      </c>
    </row>
    <row r="3765" spans="1:5">
      <c r="A3765" t="s">
        <v>5377</v>
      </c>
      <c r="B3765" t="s">
        <v>969</v>
      </c>
      <c r="C3765" t="s">
        <v>995</v>
      </c>
      <c r="D3765" t="s">
        <v>7049</v>
      </c>
      <c r="E3765">
        <v>27.51660505365759</v>
      </c>
    </row>
    <row r="3766" spans="1:5">
      <c r="A3766" t="s">
        <v>5378</v>
      </c>
      <c r="B3766" t="s">
        <v>969</v>
      </c>
      <c r="C3766" t="s">
        <v>995</v>
      </c>
      <c r="D3766" t="s">
        <v>7050</v>
      </c>
      <c r="E3766">
        <v>410.8374618031467</v>
      </c>
    </row>
    <row r="3767" spans="1:5">
      <c r="A3767" t="s">
        <v>5379</v>
      </c>
      <c r="B3767" t="s">
        <v>969</v>
      </c>
      <c r="C3767" t="s">
        <v>995</v>
      </c>
      <c r="D3767" t="s">
        <v>7051</v>
      </c>
      <c r="E3767">
        <v>4.184231167772389</v>
      </c>
    </row>
    <row r="3768" spans="1:5">
      <c r="A3768" t="s">
        <v>5380</v>
      </c>
      <c r="B3768" t="s">
        <v>969</v>
      </c>
      <c r="C3768" t="s">
        <v>995</v>
      </c>
      <c r="D3768" t="s">
        <v>7052</v>
      </c>
      <c r="E3768">
        <v>0.03538568528453213</v>
      </c>
    </row>
    <row r="3769" spans="1:5">
      <c r="A3769" t="s">
        <v>5381</v>
      </c>
      <c r="B3769" t="s">
        <v>969</v>
      </c>
      <c r="C3769" t="s">
        <v>995</v>
      </c>
      <c r="D3769" t="s">
        <v>7053</v>
      </c>
      <c r="E3769">
        <v>40.7296272791303</v>
      </c>
    </row>
    <row r="3770" spans="1:5">
      <c r="A3770" t="s">
        <v>5382</v>
      </c>
      <c r="B3770" t="s">
        <v>969</v>
      </c>
      <c r="C3770" t="s">
        <v>995</v>
      </c>
      <c r="D3770" t="s">
        <v>7054</v>
      </c>
      <c r="E3770">
        <v>1.487208687358775</v>
      </c>
    </row>
    <row r="3771" spans="1:5">
      <c r="A3771" t="s">
        <v>5383</v>
      </c>
      <c r="B3771" t="s">
        <v>969</v>
      </c>
      <c r="C3771" t="s">
        <v>995</v>
      </c>
      <c r="D3771" t="s">
        <v>6989</v>
      </c>
      <c r="E3771">
        <v>39.56219020689311</v>
      </c>
    </row>
    <row r="3772" spans="1:5">
      <c r="A3772" t="s">
        <v>5384</v>
      </c>
      <c r="B3772" t="s">
        <v>969</v>
      </c>
      <c r="C3772" t="s">
        <v>995</v>
      </c>
      <c r="D3772" t="s">
        <v>7055</v>
      </c>
      <c r="E3772">
        <v>11.61020845424756</v>
      </c>
    </row>
    <row r="3773" spans="1:5">
      <c r="A3773" t="s">
        <v>5385</v>
      </c>
      <c r="B3773" t="s">
        <v>969</v>
      </c>
      <c r="C3773" t="s">
        <v>995</v>
      </c>
      <c r="D3773" t="s">
        <v>7056</v>
      </c>
      <c r="E3773">
        <v>47.00172499834096</v>
      </c>
    </row>
    <row r="3774" spans="1:5">
      <c r="A3774" t="s">
        <v>5386</v>
      </c>
      <c r="B3774" t="s">
        <v>969</v>
      </c>
      <c r="C3774" t="s">
        <v>995</v>
      </c>
      <c r="D3774" t="s">
        <v>7057</v>
      </c>
      <c r="E3774">
        <v>2.380342169656924</v>
      </c>
    </row>
    <row r="3775" spans="1:5">
      <c r="A3775" t="s">
        <v>5387</v>
      </c>
      <c r="B3775" t="s">
        <v>969</v>
      </c>
      <c r="C3775" t="s">
        <v>995</v>
      </c>
      <c r="D3775" t="s">
        <v>6990</v>
      </c>
      <c r="E3775">
        <v>0.01741099399725386</v>
      </c>
    </row>
    <row r="3776" spans="1:5">
      <c r="A3776" t="s">
        <v>5388</v>
      </c>
      <c r="B3776" t="s">
        <v>969</v>
      </c>
      <c r="C3776" t="s">
        <v>995</v>
      </c>
      <c r="D3776" t="s">
        <v>6991</v>
      </c>
      <c r="E3776">
        <v>103.8552306440743</v>
      </c>
    </row>
    <row r="3777" spans="1:5">
      <c r="A3777" t="s">
        <v>5389</v>
      </c>
      <c r="B3777" t="s">
        <v>969</v>
      </c>
      <c r="C3777" t="s">
        <v>995</v>
      </c>
      <c r="D3777" t="s">
        <v>7058</v>
      </c>
      <c r="E3777">
        <v>410.8374618031467</v>
      </c>
    </row>
    <row r="3778" spans="1:5">
      <c r="A3778" t="s">
        <v>5390</v>
      </c>
      <c r="B3778" t="s">
        <v>969</v>
      </c>
      <c r="C3778" t="s">
        <v>995</v>
      </c>
      <c r="D3778" t="s">
        <v>6992</v>
      </c>
      <c r="E3778">
        <v>3.283152870688242</v>
      </c>
    </row>
    <row r="3779" spans="1:5">
      <c r="A3779" t="s">
        <v>5391</v>
      </c>
      <c r="B3779" t="s">
        <v>969</v>
      </c>
      <c r="C3779" t="s">
        <v>995</v>
      </c>
      <c r="D3779" t="s">
        <v>7059</v>
      </c>
      <c r="E3779">
        <v>0.2374280177530934</v>
      </c>
    </row>
    <row r="3780" spans="1:5">
      <c r="A3780" t="s">
        <v>5392</v>
      </c>
      <c r="B3780" t="s">
        <v>969</v>
      </c>
      <c r="C3780" t="s">
        <v>995</v>
      </c>
      <c r="D3780" t="s">
        <v>7060</v>
      </c>
      <c r="E3780">
        <v>0.000226298154504648</v>
      </c>
    </row>
    <row r="3781" spans="1:5">
      <c r="A3781" t="s">
        <v>5393</v>
      </c>
      <c r="B3781" t="s">
        <v>969</v>
      </c>
      <c r="C3781" t="s">
        <v>995</v>
      </c>
      <c r="D3781" t="s">
        <v>6993</v>
      </c>
      <c r="E3781">
        <v>2.45925053539912</v>
      </c>
    </row>
    <row r="3782" spans="1:5">
      <c r="A3782" t="s">
        <v>5394</v>
      </c>
      <c r="B3782" t="s">
        <v>969</v>
      </c>
      <c r="C3782" t="s">
        <v>995</v>
      </c>
      <c r="D3782" t="s">
        <v>7061</v>
      </c>
      <c r="E3782">
        <v>410.8374618031467</v>
      </c>
    </row>
    <row r="3783" spans="1:5">
      <c r="A3783" t="s">
        <v>5395</v>
      </c>
      <c r="B3783" t="s">
        <v>969</v>
      </c>
      <c r="C3783" t="s">
        <v>995</v>
      </c>
      <c r="D3783" t="s">
        <v>7062</v>
      </c>
      <c r="E3783">
        <v>1.971578283685874</v>
      </c>
    </row>
    <row r="3784" spans="1:5">
      <c r="A3784" t="s">
        <v>5396</v>
      </c>
      <c r="B3784" t="s">
        <v>969</v>
      </c>
      <c r="C3784" t="s">
        <v>995</v>
      </c>
      <c r="D3784" t="s">
        <v>7063</v>
      </c>
      <c r="E3784">
        <v>437.5369071711503</v>
      </c>
    </row>
    <row r="3785" spans="1:5">
      <c r="A3785" t="s">
        <v>5397</v>
      </c>
      <c r="B3785" t="s">
        <v>969</v>
      </c>
      <c r="C3785" t="s">
        <v>995</v>
      </c>
      <c r="D3785" t="s">
        <v>6994</v>
      </c>
      <c r="E3785">
        <v>1.91626036633208</v>
      </c>
    </row>
    <row r="3786" spans="1:5">
      <c r="A3786" t="s">
        <v>5398</v>
      </c>
      <c r="B3786" t="s">
        <v>969</v>
      </c>
      <c r="C3786" t="s">
        <v>995</v>
      </c>
      <c r="D3786" t="s">
        <v>7064</v>
      </c>
      <c r="E3786">
        <v>2.398330752382148</v>
      </c>
    </row>
    <row r="3787" spans="1:5">
      <c r="A3787" t="s">
        <v>5399</v>
      </c>
      <c r="B3787" t="s">
        <v>969</v>
      </c>
      <c r="C3787" t="s">
        <v>995</v>
      </c>
      <c r="D3787" t="s">
        <v>7065</v>
      </c>
      <c r="E3787">
        <v>3.552389099041684</v>
      </c>
    </row>
    <row r="3788" spans="1:5">
      <c r="A3788" t="s">
        <v>5400</v>
      </c>
      <c r="B3788" t="s">
        <v>969</v>
      </c>
      <c r="C3788" t="s">
        <v>995</v>
      </c>
      <c r="D3788" t="s">
        <v>7066</v>
      </c>
      <c r="E3788">
        <v>0.07779556327354524</v>
      </c>
    </row>
    <row r="3789" spans="1:5">
      <c r="A3789" t="s">
        <v>5401</v>
      </c>
      <c r="B3789" t="s">
        <v>969</v>
      </c>
      <c r="C3789" t="s">
        <v>995</v>
      </c>
      <c r="D3789" t="s">
        <v>7067</v>
      </c>
      <c r="E3789">
        <v>213.694096015998</v>
      </c>
    </row>
    <row r="3790" spans="1:5">
      <c r="A3790" t="s">
        <v>5402</v>
      </c>
      <c r="B3790" t="s">
        <v>969</v>
      </c>
      <c r="C3790" t="s">
        <v>995</v>
      </c>
      <c r="D3790" t="s">
        <v>7068</v>
      </c>
      <c r="E3790">
        <v>0.7198327471668621</v>
      </c>
    </row>
    <row r="3791" spans="1:5">
      <c r="A3791" t="s">
        <v>5403</v>
      </c>
      <c r="B3791" t="s">
        <v>969</v>
      </c>
      <c r="C3791" t="s">
        <v>995</v>
      </c>
      <c r="D3791" t="s">
        <v>6995</v>
      </c>
      <c r="E3791">
        <v>0.2012202622922956</v>
      </c>
    </row>
    <row r="3792" spans="1:5">
      <c r="A3792" t="s">
        <v>5404</v>
      </c>
      <c r="B3792" t="s">
        <v>969</v>
      </c>
      <c r="C3792" t="s">
        <v>995</v>
      </c>
      <c r="D3792" t="s">
        <v>7069</v>
      </c>
      <c r="E3792">
        <v>1005.15869799073</v>
      </c>
    </row>
    <row r="3793" spans="1:5">
      <c r="A3793" t="s">
        <v>5405</v>
      </c>
      <c r="B3793" t="s">
        <v>969</v>
      </c>
      <c r="C3793" t="s">
        <v>995</v>
      </c>
      <c r="D3793" t="s">
        <v>7070</v>
      </c>
      <c r="E3793">
        <v>372.2566975501357</v>
      </c>
    </row>
    <row r="3794" spans="1:5">
      <c r="A3794" t="s">
        <v>5406</v>
      </c>
      <c r="B3794" t="s">
        <v>969</v>
      </c>
      <c r="C3794" t="s">
        <v>995</v>
      </c>
      <c r="D3794" t="s">
        <v>7071</v>
      </c>
      <c r="E3794">
        <v>0.6398163920645044</v>
      </c>
    </row>
    <row r="3795" spans="1:5">
      <c r="A3795" t="s">
        <v>5407</v>
      </c>
      <c r="B3795" t="s">
        <v>969</v>
      </c>
      <c r="C3795" t="s">
        <v>995</v>
      </c>
      <c r="D3795" t="s">
        <v>7072</v>
      </c>
      <c r="E3795">
        <v>0.01410113928366648</v>
      </c>
    </row>
    <row r="3796" spans="1:5">
      <c r="A3796" t="s">
        <v>5408</v>
      </c>
      <c r="B3796" t="s">
        <v>969</v>
      </c>
      <c r="C3796" t="s">
        <v>995</v>
      </c>
      <c r="D3796" t="s">
        <v>7073</v>
      </c>
      <c r="E3796">
        <v>0.003466076409295239</v>
      </c>
    </row>
    <row r="3797" spans="1:5">
      <c r="A3797" t="s">
        <v>5409</v>
      </c>
      <c r="B3797" t="s">
        <v>969</v>
      </c>
      <c r="C3797" t="s">
        <v>995</v>
      </c>
      <c r="D3797" t="s">
        <v>7074</v>
      </c>
      <c r="E3797">
        <v>0.9238387369582644</v>
      </c>
    </row>
    <row r="3798" spans="1:5">
      <c r="A3798" t="s">
        <v>5410</v>
      </c>
      <c r="B3798" t="s">
        <v>969</v>
      </c>
      <c r="C3798" t="s">
        <v>995</v>
      </c>
      <c r="D3798" t="s">
        <v>7075</v>
      </c>
      <c r="E3798">
        <v>1.705694767743103</v>
      </c>
    </row>
    <row r="3799" spans="1:5">
      <c r="A3799" t="s">
        <v>5411</v>
      </c>
      <c r="B3799" t="s">
        <v>969</v>
      </c>
      <c r="C3799" t="s">
        <v>995</v>
      </c>
      <c r="D3799" t="s">
        <v>7076</v>
      </c>
      <c r="E3799">
        <v>18.88453236032807</v>
      </c>
    </row>
    <row r="3800" spans="1:5">
      <c r="A3800" t="s">
        <v>5412</v>
      </c>
      <c r="B3800" t="s">
        <v>969</v>
      </c>
      <c r="C3800" t="s">
        <v>995</v>
      </c>
      <c r="D3800" t="s">
        <v>7077</v>
      </c>
      <c r="E3800">
        <v>48.4575414537762</v>
      </c>
    </row>
    <row r="3801" spans="1:5">
      <c r="A3801" t="s">
        <v>5413</v>
      </c>
      <c r="B3801" t="s">
        <v>969</v>
      </c>
      <c r="C3801" t="s">
        <v>995</v>
      </c>
      <c r="D3801" t="s">
        <v>7078</v>
      </c>
      <c r="E3801">
        <v>33.09200887612974</v>
      </c>
    </row>
    <row r="3802" spans="1:5">
      <c r="A3802" t="s">
        <v>5414</v>
      </c>
      <c r="B3802" t="s">
        <v>969</v>
      </c>
      <c r="C3802" t="s">
        <v>995</v>
      </c>
      <c r="D3802" t="s">
        <v>7079</v>
      </c>
      <c r="E3802">
        <v>17.56583717464887</v>
      </c>
    </row>
    <row r="3803" spans="1:5">
      <c r="A3803" t="s">
        <v>5415</v>
      </c>
      <c r="B3803" t="s">
        <v>969</v>
      </c>
      <c r="C3803" t="s">
        <v>995</v>
      </c>
      <c r="D3803" t="s">
        <v>7080</v>
      </c>
      <c r="E3803">
        <v>0.07275673782053643</v>
      </c>
    </row>
    <row r="3804" spans="1:5">
      <c r="A3804" t="s">
        <v>5416</v>
      </c>
      <c r="B3804" t="s">
        <v>969</v>
      </c>
      <c r="C3804" t="s">
        <v>995</v>
      </c>
      <c r="D3804" t="s">
        <v>7081</v>
      </c>
      <c r="E3804">
        <v>5.740084236972202</v>
      </c>
    </row>
    <row r="3805" spans="1:5">
      <c r="A3805" t="s">
        <v>5417</v>
      </c>
      <c r="B3805" t="s">
        <v>969</v>
      </c>
      <c r="C3805" t="s">
        <v>995</v>
      </c>
      <c r="D3805" t="s">
        <v>7082</v>
      </c>
      <c r="E3805">
        <v>0.1481682554732476</v>
      </c>
    </row>
    <row r="3806" spans="1:5">
      <c r="A3806" t="s">
        <v>5418</v>
      </c>
      <c r="B3806" t="s">
        <v>969</v>
      </c>
      <c r="C3806" t="s">
        <v>995</v>
      </c>
      <c r="D3806" t="s">
        <v>7083</v>
      </c>
      <c r="E3806">
        <v>0.08652494852183992</v>
      </c>
    </row>
    <row r="3807" spans="1:5">
      <c r="A3807" t="s">
        <v>5419</v>
      </c>
      <c r="B3807" t="s">
        <v>969</v>
      </c>
      <c r="C3807" t="s">
        <v>995</v>
      </c>
      <c r="D3807" t="s">
        <v>7084</v>
      </c>
      <c r="E3807">
        <v>38.40810673745535</v>
      </c>
    </row>
    <row r="3808" spans="1:5">
      <c r="A3808" t="s">
        <v>5420</v>
      </c>
      <c r="B3808" t="s">
        <v>969</v>
      </c>
      <c r="C3808" t="s">
        <v>995</v>
      </c>
      <c r="D3808" t="s">
        <v>7085</v>
      </c>
      <c r="E3808">
        <v>7.794711245635959</v>
      </c>
    </row>
    <row r="3809" spans="1:5">
      <c r="A3809" t="s">
        <v>5421</v>
      </c>
      <c r="B3809" t="s">
        <v>969</v>
      </c>
      <c r="C3809" t="s">
        <v>995</v>
      </c>
      <c r="D3809" t="s">
        <v>7086</v>
      </c>
      <c r="E3809">
        <v>6.579418751508488</v>
      </c>
    </row>
    <row r="3810" spans="1:5">
      <c r="A3810" t="s">
        <v>5422</v>
      </c>
      <c r="B3810" t="s">
        <v>969</v>
      </c>
      <c r="C3810" t="s">
        <v>995</v>
      </c>
      <c r="D3810" t="s">
        <v>7087</v>
      </c>
      <c r="E3810">
        <v>20.10608671925042</v>
      </c>
    </row>
    <row r="3811" spans="1:5">
      <c r="A3811" t="s">
        <v>5423</v>
      </c>
      <c r="B3811" t="s">
        <v>969</v>
      </c>
      <c r="C3811" t="s">
        <v>995</v>
      </c>
      <c r="D3811" t="s">
        <v>7088</v>
      </c>
      <c r="E3811">
        <v>0.1783742509516824</v>
      </c>
    </row>
    <row r="3812" spans="1:5">
      <c r="A3812" t="s">
        <v>5424</v>
      </c>
      <c r="B3812" t="s">
        <v>969</v>
      </c>
      <c r="C3812" t="s">
        <v>995</v>
      </c>
      <c r="D3812" t="s">
        <v>6996</v>
      </c>
      <c r="E3812">
        <v>17.74146885553323</v>
      </c>
    </row>
    <row r="3813" spans="1:5">
      <c r="A3813" t="s">
        <v>5425</v>
      </c>
      <c r="B3813" t="s">
        <v>969</v>
      </c>
      <c r="C3813" t="s">
        <v>995</v>
      </c>
      <c r="D3813" t="s">
        <v>6997</v>
      </c>
      <c r="E3813">
        <v>76.21451899033023</v>
      </c>
    </row>
    <row r="3814" spans="1:5">
      <c r="A3814" t="s">
        <v>5426</v>
      </c>
      <c r="B3814" t="s">
        <v>969</v>
      </c>
      <c r="C3814" t="s">
        <v>995</v>
      </c>
      <c r="D3814" t="s">
        <v>7089</v>
      </c>
      <c r="E3814">
        <v>4.870612788972258</v>
      </c>
    </row>
    <row r="3815" spans="1:5">
      <c r="A3815" t="s">
        <v>5427</v>
      </c>
      <c r="B3815" t="s">
        <v>969</v>
      </c>
      <c r="C3815" t="s">
        <v>995</v>
      </c>
      <c r="D3815" t="s">
        <v>7090</v>
      </c>
      <c r="E3815">
        <v>18.88453236032807</v>
      </c>
    </row>
    <row r="3816" spans="1:5">
      <c r="A3816" t="s">
        <v>5428</v>
      </c>
      <c r="B3816" t="s">
        <v>969</v>
      </c>
      <c r="C3816" t="s">
        <v>995</v>
      </c>
      <c r="D3816" t="s">
        <v>7091</v>
      </c>
      <c r="E3816">
        <v>0.2270422239679056</v>
      </c>
    </row>
    <row r="3817" spans="1:5">
      <c r="A3817" t="s">
        <v>5429</v>
      </c>
      <c r="B3817" t="s">
        <v>969</v>
      </c>
      <c r="C3817" t="s">
        <v>995</v>
      </c>
      <c r="D3817" t="s">
        <v>7092</v>
      </c>
      <c r="E3817">
        <v>8.442051936327717</v>
      </c>
    </row>
    <row r="3818" spans="1:5">
      <c r="A3818" t="s">
        <v>5430</v>
      </c>
      <c r="B3818" t="s">
        <v>969</v>
      </c>
      <c r="C3818" t="s">
        <v>995</v>
      </c>
      <c r="D3818" t="s">
        <v>6998</v>
      </c>
      <c r="E3818">
        <v>31.24965228110829</v>
      </c>
    </row>
    <row r="3819" spans="1:5">
      <c r="A3819" t="s">
        <v>5431</v>
      </c>
      <c r="B3819" t="s">
        <v>969</v>
      </c>
      <c r="C3819" t="s">
        <v>995</v>
      </c>
      <c r="D3819" t="s">
        <v>7093</v>
      </c>
      <c r="E3819">
        <v>2.051973666442505</v>
      </c>
    </row>
    <row r="3820" spans="1:5">
      <c r="A3820" t="s">
        <v>5432</v>
      </c>
      <c r="B3820" t="s">
        <v>969</v>
      </c>
      <c r="C3820" t="s">
        <v>995</v>
      </c>
      <c r="D3820" t="s">
        <v>6999</v>
      </c>
      <c r="E3820">
        <v>175.3246963430465</v>
      </c>
    </row>
    <row r="3821" spans="1:5">
      <c r="A3821" t="s">
        <v>5433</v>
      </c>
      <c r="B3821" t="s">
        <v>969</v>
      </c>
      <c r="C3821" t="s">
        <v>995</v>
      </c>
      <c r="D3821" t="s">
        <v>7094</v>
      </c>
      <c r="E3821">
        <v>806.8039618622347</v>
      </c>
    </row>
    <row r="3822" spans="1:5">
      <c r="A3822" t="s">
        <v>5434</v>
      </c>
      <c r="B3822" t="s">
        <v>969</v>
      </c>
      <c r="C3822" t="s">
        <v>995</v>
      </c>
      <c r="D3822" t="s">
        <v>7095</v>
      </c>
      <c r="E3822">
        <v>310.2138059289652</v>
      </c>
    </row>
    <row r="3823" spans="1:5">
      <c r="A3823" t="s">
        <v>5435</v>
      </c>
      <c r="B3823" t="s">
        <v>969</v>
      </c>
      <c r="C3823" t="s">
        <v>995</v>
      </c>
      <c r="D3823" t="s">
        <v>7096</v>
      </c>
      <c r="E3823">
        <v>90.91888109554154</v>
      </c>
    </row>
    <row r="3824" spans="1:5">
      <c r="A3824" t="s">
        <v>5436</v>
      </c>
      <c r="B3824" t="s">
        <v>969</v>
      </c>
      <c r="C3824" t="s">
        <v>995</v>
      </c>
      <c r="D3824" t="s">
        <v>7097</v>
      </c>
      <c r="E3824">
        <v>70.80928205062581</v>
      </c>
    </row>
    <row r="3825" spans="1:5">
      <c r="A3825" t="s">
        <v>5437</v>
      </c>
      <c r="B3825" t="s">
        <v>969</v>
      </c>
      <c r="C3825" t="s">
        <v>995</v>
      </c>
      <c r="D3825" t="s">
        <v>7000</v>
      </c>
      <c r="E3825">
        <v>5.071793502644272</v>
      </c>
    </row>
    <row r="3826" spans="1:5">
      <c r="A3826" t="s">
        <v>5438</v>
      </c>
      <c r="B3826" t="s">
        <v>969</v>
      </c>
      <c r="C3826" t="s">
        <v>995</v>
      </c>
      <c r="D3826" t="s">
        <v>7098</v>
      </c>
      <c r="E3826">
        <v>1.116011894639226</v>
      </c>
    </row>
    <row r="3827" spans="1:5">
      <c r="A3827" t="s">
        <v>5439</v>
      </c>
      <c r="B3827" t="s">
        <v>969</v>
      </c>
      <c r="C3827" t="s">
        <v>995</v>
      </c>
      <c r="D3827" t="s">
        <v>7001</v>
      </c>
      <c r="E3827">
        <v>82.59163128119769</v>
      </c>
    </row>
    <row r="3828" spans="1:5">
      <c r="A3828" t="s">
        <v>5440</v>
      </c>
      <c r="B3828" t="s">
        <v>969</v>
      </c>
      <c r="C3828" t="s">
        <v>995</v>
      </c>
      <c r="D3828" t="s">
        <v>7099</v>
      </c>
      <c r="E3828">
        <v>0.05109333519929582</v>
      </c>
    </row>
    <row r="3829" spans="1:5">
      <c r="A3829" t="s">
        <v>5441</v>
      </c>
      <c r="B3829" t="s">
        <v>969</v>
      </c>
      <c r="C3829" t="s">
        <v>995</v>
      </c>
      <c r="D3829" t="s">
        <v>7100</v>
      </c>
      <c r="E3829">
        <v>85.22358290188235</v>
      </c>
    </row>
    <row r="3830" spans="1:5">
      <c r="A3830" t="s">
        <v>5442</v>
      </c>
      <c r="B3830" t="s">
        <v>969</v>
      </c>
      <c r="C3830" t="s">
        <v>995</v>
      </c>
      <c r="D3830" t="s">
        <v>7002</v>
      </c>
      <c r="E3830">
        <v>67.56100062956675</v>
      </c>
    </row>
    <row r="3831" spans="1:5">
      <c r="A3831" t="s">
        <v>5443</v>
      </c>
      <c r="B3831" t="s">
        <v>969</v>
      </c>
      <c r="C3831" t="s">
        <v>995</v>
      </c>
      <c r="D3831" t="s">
        <v>7101</v>
      </c>
      <c r="E3831">
        <v>3.016867271068936</v>
      </c>
    </row>
    <row r="3832" spans="1:5">
      <c r="A3832" t="s">
        <v>5444</v>
      </c>
      <c r="B3832" t="s">
        <v>969</v>
      </c>
      <c r="C3832" t="s">
        <v>995</v>
      </c>
      <c r="D3832" t="s">
        <v>7102</v>
      </c>
      <c r="E3832">
        <v>4.004869892970807</v>
      </c>
    </row>
    <row r="3833" spans="1:5">
      <c r="A3833" t="s">
        <v>5445</v>
      </c>
      <c r="B3833" t="s">
        <v>969</v>
      </c>
      <c r="C3833" t="s">
        <v>995</v>
      </c>
      <c r="D3833" t="s">
        <v>7103</v>
      </c>
      <c r="E3833">
        <v>0.2118682462114434</v>
      </c>
    </row>
    <row r="3834" spans="1:5">
      <c r="A3834" t="s">
        <v>5446</v>
      </c>
      <c r="B3834" t="s">
        <v>969</v>
      </c>
      <c r="C3834" t="s">
        <v>995</v>
      </c>
      <c r="D3834" t="s">
        <v>7104</v>
      </c>
      <c r="E3834">
        <v>82.72369124293495</v>
      </c>
    </row>
    <row r="3835" spans="1:5">
      <c r="A3835" t="s">
        <v>5447</v>
      </c>
      <c r="B3835" t="s">
        <v>969</v>
      </c>
      <c r="C3835" t="s">
        <v>995</v>
      </c>
      <c r="D3835" t="s">
        <v>7105</v>
      </c>
      <c r="E3835">
        <v>38.84960392841926</v>
      </c>
    </row>
    <row r="3836" spans="1:5">
      <c r="A3836" t="s">
        <v>5448</v>
      </c>
      <c r="B3836" t="s">
        <v>969</v>
      </c>
      <c r="C3836" t="s">
        <v>995</v>
      </c>
      <c r="D3836" t="s">
        <v>7106</v>
      </c>
      <c r="E3836">
        <v>21.08025245979785</v>
      </c>
    </row>
    <row r="3837" spans="1:5">
      <c r="A3837" t="s">
        <v>5449</v>
      </c>
      <c r="B3837" t="s">
        <v>969</v>
      </c>
      <c r="C3837" t="s">
        <v>995</v>
      </c>
      <c r="D3837" t="s">
        <v>7107</v>
      </c>
      <c r="E3837">
        <v>0.696118741185857</v>
      </c>
    </row>
    <row r="3838" spans="1:5">
      <c r="A3838" t="s">
        <v>5450</v>
      </c>
      <c r="B3838" t="s">
        <v>969</v>
      </c>
      <c r="C3838" t="s">
        <v>995</v>
      </c>
      <c r="D3838" t="s">
        <v>7003</v>
      </c>
      <c r="E3838">
        <v>31.93494823723814</v>
      </c>
    </row>
    <row r="3839" spans="1:5">
      <c r="A3839" t="s">
        <v>5451</v>
      </c>
      <c r="B3839" t="s">
        <v>969</v>
      </c>
      <c r="C3839" t="s">
        <v>995</v>
      </c>
      <c r="D3839" t="s">
        <v>7004</v>
      </c>
      <c r="E3839">
        <v>239.9550201004583</v>
      </c>
    </row>
    <row r="3840" spans="1:5">
      <c r="A3840" t="s">
        <v>5452</v>
      </c>
      <c r="B3840" t="s">
        <v>969</v>
      </c>
      <c r="C3840" t="s">
        <v>995</v>
      </c>
      <c r="D3840" t="s">
        <v>7108</v>
      </c>
      <c r="E3840">
        <v>410.8374618031467</v>
      </c>
    </row>
    <row r="3841" spans="1:5">
      <c r="A3841" t="s">
        <v>5453</v>
      </c>
      <c r="B3841" t="s">
        <v>969</v>
      </c>
      <c r="C3841" t="s">
        <v>995</v>
      </c>
      <c r="D3841" t="s">
        <v>7109</v>
      </c>
      <c r="E3841">
        <v>12.54685691815226</v>
      </c>
    </row>
    <row r="3842" spans="1:5">
      <c r="A3842" t="s">
        <v>5454</v>
      </c>
      <c r="B3842" t="s">
        <v>969</v>
      </c>
      <c r="C3842" t="s">
        <v>995</v>
      </c>
      <c r="D3842" t="s">
        <v>7110</v>
      </c>
      <c r="E3842">
        <v>0.01254703955309378</v>
      </c>
    </row>
    <row r="3843" spans="1:5">
      <c r="A3843" t="s">
        <v>5455</v>
      </c>
      <c r="B3843" t="s">
        <v>969</v>
      </c>
      <c r="C3843" t="s">
        <v>995</v>
      </c>
      <c r="D3843" t="s">
        <v>7111</v>
      </c>
      <c r="E3843">
        <v>0.5445689427951869</v>
      </c>
    </row>
    <row r="3844" spans="1:5">
      <c r="A3844" t="s">
        <v>5456</v>
      </c>
      <c r="B3844" t="s">
        <v>969</v>
      </c>
      <c r="C3844" t="s">
        <v>995</v>
      </c>
      <c r="D3844" t="s">
        <v>7112</v>
      </c>
      <c r="E3844">
        <v>8.291794622631201</v>
      </c>
    </row>
    <row r="3845" spans="1:5">
      <c r="A3845" t="s">
        <v>5457</v>
      </c>
      <c r="B3845" t="s">
        <v>969</v>
      </c>
      <c r="C3845" t="s">
        <v>995</v>
      </c>
      <c r="D3845" t="s">
        <v>7113</v>
      </c>
      <c r="E3845">
        <v>0.06588927383001547</v>
      </c>
    </row>
    <row r="3846" spans="1:5">
      <c r="A3846" t="s">
        <v>5458</v>
      </c>
      <c r="B3846" t="s">
        <v>969</v>
      </c>
      <c r="C3846" t="s">
        <v>995</v>
      </c>
      <c r="D3846" t="s">
        <v>7114</v>
      </c>
      <c r="E3846">
        <v>14.45446926530612</v>
      </c>
    </row>
    <row r="3847" spans="1:5">
      <c r="A3847" t="s">
        <v>5459</v>
      </c>
      <c r="B3847" t="s">
        <v>969</v>
      </c>
      <c r="C3847" t="s">
        <v>995</v>
      </c>
      <c r="D3847" t="s">
        <v>7115</v>
      </c>
      <c r="E3847">
        <v>2.767127599484037</v>
      </c>
    </row>
    <row r="3848" spans="1:5">
      <c r="A3848" t="s">
        <v>5460</v>
      </c>
      <c r="B3848" t="s">
        <v>969</v>
      </c>
      <c r="C3848" t="s">
        <v>995</v>
      </c>
      <c r="D3848" t="s">
        <v>7116</v>
      </c>
      <c r="E3848">
        <v>18.88453236032807</v>
      </c>
    </row>
    <row r="3849" spans="1:5">
      <c r="A3849" t="s">
        <v>5461</v>
      </c>
      <c r="B3849" t="s">
        <v>969</v>
      </c>
      <c r="C3849" t="s">
        <v>995</v>
      </c>
      <c r="D3849" t="s">
        <v>7005</v>
      </c>
      <c r="E3849">
        <v>9.327004747881066</v>
      </c>
    </row>
    <row r="3850" spans="1:5">
      <c r="A3850" t="s">
        <v>5462</v>
      </c>
      <c r="B3850" t="s">
        <v>969</v>
      </c>
      <c r="C3850" t="s">
        <v>995</v>
      </c>
      <c r="D3850" t="s">
        <v>7117</v>
      </c>
      <c r="E3850">
        <v>33.55395653665182</v>
      </c>
    </row>
    <row r="3851" spans="1:5">
      <c r="A3851" t="s">
        <v>5463</v>
      </c>
      <c r="B3851" t="s">
        <v>969</v>
      </c>
      <c r="C3851" t="s">
        <v>995</v>
      </c>
      <c r="D3851" t="s">
        <v>7118</v>
      </c>
      <c r="E3851">
        <v>88.7499745003382</v>
      </c>
    </row>
    <row r="3852" spans="1:5">
      <c r="A3852" t="s">
        <v>5464</v>
      </c>
      <c r="B3852" t="s">
        <v>969</v>
      </c>
      <c r="C3852" t="s">
        <v>995</v>
      </c>
      <c r="D3852" t="s">
        <v>7119</v>
      </c>
      <c r="E3852">
        <v>105.1956406729132</v>
      </c>
    </row>
    <row r="3853" spans="1:5">
      <c r="A3853" t="s">
        <v>5465</v>
      </c>
      <c r="B3853" t="s">
        <v>969</v>
      </c>
      <c r="C3853" t="s">
        <v>995</v>
      </c>
      <c r="D3853" t="s">
        <v>7120</v>
      </c>
      <c r="E3853">
        <v>129.9679633203818</v>
      </c>
    </row>
    <row r="3854" spans="1:5">
      <c r="A3854" t="s">
        <v>5466</v>
      </c>
      <c r="B3854" t="s">
        <v>969</v>
      </c>
      <c r="C3854" t="s">
        <v>995</v>
      </c>
      <c r="D3854" t="s">
        <v>7006</v>
      </c>
      <c r="E3854">
        <v>6.649163795609858</v>
      </c>
    </row>
    <row r="3855" spans="1:5">
      <c r="A3855" t="s">
        <v>5467</v>
      </c>
      <c r="B3855" t="s">
        <v>969</v>
      </c>
      <c r="C3855" t="s">
        <v>995</v>
      </c>
      <c r="D3855" t="s">
        <v>7121</v>
      </c>
      <c r="E3855">
        <v>41.88498080645985</v>
      </c>
    </row>
    <row r="3856" spans="1:5">
      <c r="A3856" t="s">
        <v>5468</v>
      </c>
      <c r="B3856" t="s">
        <v>969</v>
      </c>
      <c r="C3856" t="s">
        <v>995</v>
      </c>
      <c r="D3856" t="s">
        <v>7122</v>
      </c>
      <c r="E3856">
        <v>213.694096015998</v>
      </c>
    </row>
    <row r="3857" spans="1:5">
      <c r="A3857" t="s">
        <v>5469</v>
      </c>
      <c r="B3857" t="s">
        <v>969</v>
      </c>
      <c r="C3857" t="s">
        <v>995</v>
      </c>
      <c r="D3857" t="s">
        <v>7123</v>
      </c>
      <c r="E3857">
        <v>9.737930466510324</v>
      </c>
    </row>
    <row r="3858" spans="1:5">
      <c r="A3858" t="s">
        <v>5470</v>
      </c>
      <c r="B3858" t="s">
        <v>969</v>
      </c>
      <c r="C3858" t="s">
        <v>995</v>
      </c>
      <c r="D3858" t="s">
        <v>7124</v>
      </c>
      <c r="E3858">
        <v>0.119103877691812</v>
      </c>
    </row>
    <row r="3859" spans="1:5">
      <c r="A3859" t="s">
        <v>5471</v>
      </c>
      <c r="B3859" t="s">
        <v>969</v>
      </c>
      <c r="C3859" t="s">
        <v>995</v>
      </c>
      <c r="D3859" t="s">
        <v>7125</v>
      </c>
      <c r="E3859">
        <v>6.927136246587505</v>
      </c>
    </row>
    <row r="3860" spans="1:5">
      <c r="A3860" t="s">
        <v>5472</v>
      </c>
      <c r="B3860" t="s">
        <v>969</v>
      </c>
      <c r="C3860" t="s">
        <v>995</v>
      </c>
      <c r="D3860" t="s">
        <v>7126</v>
      </c>
      <c r="E3860">
        <v>0.08541311644896371</v>
      </c>
    </row>
    <row r="3861" spans="1:5">
      <c r="A3861" t="s">
        <v>5473</v>
      </c>
      <c r="B3861" t="s">
        <v>969</v>
      </c>
      <c r="C3861" t="s">
        <v>995</v>
      </c>
      <c r="D3861" t="s">
        <v>998</v>
      </c>
      <c r="E3861">
        <v>310.2135341889289</v>
      </c>
    </row>
    <row r="3862" spans="1:5">
      <c r="A3862" t="s">
        <v>5474</v>
      </c>
      <c r="B3862" t="s">
        <v>969</v>
      </c>
      <c r="C3862" t="s">
        <v>995</v>
      </c>
      <c r="D3862" t="s">
        <v>7127</v>
      </c>
      <c r="E3862">
        <v>7.727004511227732</v>
      </c>
    </row>
    <row r="3863" spans="1:5">
      <c r="A3863" t="s">
        <v>5475</v>
      </c>
      <c r="B3863" t="s">
        <v>969</v>
      </c>
      <c r="C3863" t="s">
        <v>995</v>
      </c>
      <c r="D3863" t="s">
        <v>7128</v>
      </c>
      <c r="E3863">
        <v>0.02594931373708897</v>
      </c>
    </row>
    <row r="3864" spans="1:5">
      <c r="A3864" t="s">
        <v>5476</v>
      </c>
      <c r="B3864" t="s">
        <v>969</v>
      </c>
      <c r="C3864" t="s">
        <v>995</v>
      </c>
      <c r="D3864" t="s">
        <v>7129</v>
      </c>
      <c r="E3864">
        <v>0.4987092469306179</v>
      </c>
    </row>
    <row r="3865" spans="1:5">
      <c r="A3865" t="s">
        <v>5477</v>
      </c>
      <c r="B3865" t="s">
        <v>969</v>
      </c>
      <c r="C3865" t="s">
        <v>995</v>
      </c>
      <c r="D3865" t="s">
        <v>7130</v>
      </c>
      <c r="E3865">
        <v>0.01183907729976255</v>
      </c>
    </row>
    <row r="3866" spans="1:5">
      <c r="A3866" t="s">
        <v>5478</v>
      </c>
      <c r="B3866" t="s">
        <v>969</v>
      </c>
      <c r="C3866" t="s">
        <v>995</v>
      </c>
      <c r="D3866" t="s">
        <v>7131</v>
      </c>
      <c r="E3866">
        <v>2.588694875243823</v>
      </c>
    </row>
    <row r="3867" spans="1:5">
      <c r="A3867" t="s">
        <v>5479</v>
      </c>
      <c r="B3867" t="s">
        <v>969</v>
      </c>
      <c r="C3867" t="s">
        <v>995</v>
      </c>
      <c r="D3867" t="s">
        <v>7132</v>
      </c>
      <c r="E3867">
        <v>113.2202893629973</v>
      </c>
    </row>
    <row r="3868" spans="1:5">
      <c r="A3868" t="s">
        <v>5480</v>
      </c>
      <c r="B3868" t="s">
        <v>969</v>
      </c>
      <c r="C3868" t="s">
        <v>995</v>
      </c>
      <c r="D3868" t="s">
        <v>7133</v>
      </c>
      <c r="E3868">
        <v>0.5398745603751466</v>
      </c>
    </row>
    <row r="3869" spans="1:5">
      <c r="A3869" t="s">
        <v>5481</v>
      </c>
      <c r="B3869" t="s">
        <v>969</v>
      </c>
      <c r="C3869" t="s">
        <v>995</v>
      </c>
      <c r="D3869" t="s">
        <v>7134</v>
      </c>
      <c r="E3869">
        <v>114.8940171062181</v>
      </c>
    </row>
    <row r="3870" spans="1:5">
      <c r="A3870" t="s">
        <v>5482</v>
      </c>
      <c r="B3870" t="s">
        <v>969</v>
      </c>
      <c r="C3870" t="s">
        <v>995</v>
      </c>
      <c r="D3870" t="s">
        <v>7135</v>
      </c>
      <c r="E3870">
        <v>173.3037835367167</v>
      </c>
    </row>
    <row r="3871" spans="1:5">
      <c r="A3871" t="s">
        <v>5483</v>
      </c>
      <c r="B3871" t="s">
        <v>969</v>
      </c>
      <c r="C3871" t="s">
        <v>995</v>
      </c>
      <c r="D3871" t="s">
        <v>7136</v>
      </c>
      <c r="E3871">
        <v>421.1715265356219</v>
      </c>
    </row>
    <row r="3872" spans="1:5">
      <c r="A3872" t="s">
        <v>5484</v>
      </c>
      <c r="B3872" t="s">
        <v>969</v>
      </c>
      <c r="C3872" t="s">
        <v>995</v>
      </c>
      <c r="D3872" t="s">
        <v>7137</v>
      </c>
      <c r="E3872">
        <v>0.5398745603751466</v>
      </c>
    </row>
    <row r="3873" spans="1:5">
      <c r="A3873" t="s">
        <v>5485</v>
      </c>
      <c r="B3873" t="s">
        <v>969</v>
      </c>
      <c r="C3873" t="s">
        <v>995</v>
      </c>
      <c r="D3873" t="s">
        <v>7138</v>
      </c>
      <c r="E3873">
        <v>2.967640674756143</v>
      </c>
    </row>
    <row r="3874" spans="1:5">
      <c r="A3874" t="s">
        <v>5486</v>
      </c>
      <c r="B3874" t="s">
        <v>969</v>
      </c>
      <c r="C3874" t="s">
        <v>995</v>
      </c>
      <c r="D3874" t="s">
        <v>7139</v>
      </c>
      <c r="E3874">
        <v>1.302732477297196</v>
      </c>
    </row>
    <row r="3875" spans="1:5">
      <c r="A3875" t="s">
        <v>5487</v>
      </c>
      <c r="B3875" t="s">
        <v>969</v>
      </c>
      <c r="C3875" t="s">
        <v>995</v>
      </c>
      <c r="D3875" t="s">
        <v>7007</v>
      </c>
      <c r="E3875">
        <v>18.88452933922584</v>
      </c>
    </row>
    <row r="3876" spans="1:5">
      <c r="A3876" t="s">
        <v>5488</v>
      </c>
      <c r="B3876" t="s">
        <v>969</v>
      </c>
      <c r="C3876" t="s">
        <v>995</v>
      </c>
      <c r="D3876" t="s">
        <v>7140</v>
      </c>
      <c r="E3876">
        <v>17.23789714246773</v>
      </c>
    </row>
    <row r="3877" spans="1:5">
      <c r="A3877" t="s">
        <v>5489</v>
      </c>
      <c r="B3877" t="s">
        <v>969</v>
      </c>
      <c r="C3877" t="s">
        <v>995</v>
      </c>
      <c r="D3877" t="s">
        <v>7141</v>
      </c>
      <c r="E3877">
        <v>11.58908085059036</v>
      </c>
    </row>
    <row r="3878" spans="1:5">
      <c r="A3878" t="s">
        <v>5490</v>
      </c>
      <c r="B3878" t="s">
        <v>969</v>
      </c>
      <c r="C3878" t="s">
        <v>995</v>
      </c>
      <c r="D3878" t="s">
        <v>7142</v>
      </c>
      <c r="E3878">
        <v>11.58908085059036</v>
      </c>
    </row>
    <row r="3879" spans="1:5">
      <c r="A3879" t="s">
        <v>5326</v>
      </c>
      <c r="B3879" t="s">
        <v>969</v>
      </c>
      <c r="C3879" t="s">
        <v>995</v>
      </c>
      <c r="D3879" t="s">
        <v>996</v>
      </c>
      <c r="E3879">
        <v>354.134497</v>
      </c>
    </row>
    <row r="3880" spans="1:5">
      <c r="A3880" t="s">
        <v>5491</v>
      </c>
      <c r="B3880" t="s">
        <v>970</v>
      </c>
      <c r="C3880" t="s">
        <v>995</v>
      </c>
      <c r="D3880" t="s">
        <v>996</v>
      </c>
      <c r="E3880">
        <v>355.777679</v>
      </c>
    </row>
    <row r="3881" spans="1:5">
      <c r="A3881" t="s">
        <v>5492</v>
      </c>
      <c r="B3881" t="s">
        <v>970</v>
      </c>
      <c r="C3881" t="s">
        <v>995</v>
      </c>
      <c r="D3881" t="s">
        <v>7008</v>
      </c>
      <c r="E3881">
        <v>84.9238082052812</v>
      </c>
    </row>
    <row r="3882" spans="1:5">
      <c r="A3882" t="s">
        <v>5493</v>
      </c>
      <c r="B3882" t="s">
        <v>970</v>
      </c>
      <c r="C3882" t="s">
        <v>995</v>
      </c>
      <c r="D3882" t="s">
        <v>7009</v>
      </c>
      <c r="E3882">
        <v>4.837263906690803</v>
      </c>
    </row>
    <row r="3883" spans="1:5">
      <c r="A3883" t="s">
        <v>5494</v>
      </c>
      <c r="B3883" t="s">
        <v>970</v>
      </c>
      <c r="C3883" t="s">
        <v>995</v>
      </c>
      <c r="D3883" t="s">
        <v>7010</v>
      </c>
      <c r="E3883">
        <v>3.780913366146239</v>
      </c>
    </row>
    <row r="3884" spans="1:5">
      <c r="A3884" t="s">
        <v>5495</v>
      </c>
      <c r="B3884" t="s">
        <v>970</v>
      </c>
      <c r="C3884" t="s">
        <v>995</v>
      </c>
      <c r="D3884" t="s">
        <v>7011</v>
      </c>
      <c r="E3884">
        <v>0.8485090817346097</v>
      </c>
    </row>
    <row r="3885" spans="1:5">
      <c r="A3885" t="s">
        <v>5496</v>
      </c>
      <c r="B3885" t="s">
        <v>970</v>
      </c>
      <c r="C3885" t="s">
        <v>995</v>
      </c>
      <c r="D3885" t="s">
        <v>7012</v>
      </c>
      <c r="E3885">
        <v>174.2361527928507</v>
      </c>
    </row>
    <row r="3886" spans="1:5">
      <c r="A3886" t="s">
        <v>5497</v>
      </c>
      <c r="B3886" t="s">
        <v>970</v>
      </c>
      <c r="C3886" t="s">
        <v>995</v>
      </c>
      <c r="D3886" t="s">
        <v>7013</v>
      </c>
      <c r="E3886">
        <v>0.3314988062140254</v>
      </c>
    </row>
    <row r="3887" spans="1:5">
      <c r="A3887" t="s">
        <v>5498</v>
      </c>
      <c r="B3887" t="s">
        <v>970</v>
      </c>
      <c r="C3887" t="s">
        <v>995</v>
      </c>
      <c r="D3887" t="s">
        <v>7014</v>
      </c>
      <c r="E3887">
        <v>0.2103024383422823</v>
      </c>
    </row>
    <row r="3888" spans="1:5">
      <c r="A3888" t="s">
        <v>5499</v>
      </c>
      <c r="B3888" t="s">
        <v>970</v>
      </c>
      <c r="C3888" t="s">
        <v>995</v>
      </c>
      <c r="D3888" t="s">
        <v>6981</v>
      </c>
      <c r="E3888">
        <v>215.2389277791188</v>
      </c>
    </row>
    <row r="3889" spans="1:5">
      <c r="A3889" t="s">
        <v>5500</v>
      </c>
      <c r="B3889" t="s">
        <v>970</v>
      </c>
      <c r="C3889" t="s">
        <v>995</v>
      </c>
      <c r="D3889" t="s">
        <v>7015</v>
      </c>
      <c r="E3889">
        <v>174.2361527928507</v>
      </c>
    </row>
    <row r="3890" spans="1:5">
      <c r="A3890" t="s">
        <v>5501</v>
      </c>
      <c r="B3890" t="s">
        <v>970</v>
      </c>
      <c r="C3890" t="s">
        <v>995</v>
      </c>
      <c r="D3890" t="s">
        <v>7016</v>
      </c>
      <c r="E3890">
        <v>183.6219766664688</v>
      </c>
    </row>
    <row r="3891" spans="1:5">
      <c r="A3891" t="s">
        <v>5502</v>
      </c>
      <c r="B3891" t="s">
        <v>970</v>
      </c>
      <c r="C3891" t="s">
        <v>995</v>
      </c>
      <c r="D3891" t="s">
        <v>7017</v>
      </c>
      <c r="E3891">
        <v>181.9062387835343</v>
      </c>
    </row>
    <row r="3892" spans="1:5">
      <c r="A3892" t="s">
        <v>5503</v>
      </c>
      <c r="B3892" t="s">
        <v>970</v>
      </c>
      <c r="C3892" t="s">
        <v>995</v>
      </c>
      <c r="D3892" t="s">
        <v>7018</v>
      </c>
      <c r="E3892">
        <v>155.9413430030629</v>
      </c>
    </row>
    <row r="3893" spans="1:5">
      <c r="A3893" t="s">
        <v>5504</v>
      </c>
      <c r="B3893" t="s">
        <v>970</v>
      </c>
      <c r="C3893" t="s">
        <v>995</v>
      </c>
      <c r="D3893" t="s">
        <v>7019</v>
      </c>
      <c r="E3893">
        <v>2.531063580016226</v>
      </c>
    </row>
    <row r="3894" spans="1:5">
      <c r="A3894" t="s">
        <v>5505</v>
      </c>
      <c r="B3894" t="s">
        <v>970</v>
      </c>
      <c r="C3894" t="s">
        <v>995</v>
      </c>
      <c r="D3894" t="s">
        <v>997</v>
      </c>
      <c r="E3894">
        <v>181.9062387835343</v>
      </c>
    </row>
    <row r="3895" spans="1:5">
      <c r="A3895" t="s">
        <v>5506</v>
      </c>
      <c r="B3895" t="s">
        <v>970</v>
      </c>
      <c r="C3895" t="s">
        <v>995</v>
      </c>
      <c r="D3895" t="s">
        <v>7020</v>
      </c>
      <c r="E3895">
        <v>829.4752132687057</v>
      </c>
    </row>
    <row r="3896" spans="1:5">
      <c r="A3896" t="s">
        <v>5507</v>
      </c>
      <c r="B3896" t="s">
        <v>970</v>
      </c>
      <c r="C3896" t="s">
        <v>995</v>
      </c>
      <c r="D3896" t="s">
        <v>7021</v>
      </c>
      <c r="E3896">
        <v>0.104340425704435</v>
      </c>
    </row>
    <row r="3897" spans="1:5">
      <c r="A3897" t="s">
        <v>5508</v>
      </c>
      <c r="B3897" t="s">
        <v>970</v>
      </c>
      <c r="C3897" t="s">
        <v>995</v>
      </c>
      <c r="D3897" t="s">
        <v>7022</v>
      </c>
      <c r="E3897">
        <v>311.8826860061258</v>
      </c>
    </row>
    <row r="3898" spans="1:5">
      <c r="A3898" t="s">
        <v>5509</v>
      </c>
      <c r="B3898" t="s">
        <v>970</v>
      </c>
      <c r="C3898" t="s">
        <v>995</v>
      </c>
      <c r="D3898" t="s">
        <v>7023</v>
      </c>
      <c r="E3898">
        <v>240.8867456582823</v>
      </c>
    </row>
    <row r="3899" spans="1:5">
      <c r="A3899" t="s">
        <v>5510</v>
      </c>
      <c r="B3899" t="s">
        <v>970</v>
      </c>
      <c r="C3899" t="s">
        <v>995</v>
      </c>
      <c r="D3899" t="s">
        <v>7024</v>
      </c>
      <c r="E3899">
        <v>45.04495649685754</v>
      </c>
    </row>
    <row r="3900" spans="1:5">
      <c r="A3900" t="s">
        <v>5511</v>
      </c>
      <c r="B3900" t="s">
        <v>970</v>
      </c>
      <c r="C3900" t="s">
        <v>995</v>
      </c>
      <c r="D3900" t="s">
        <v>6982</v>
      </c>
      <c r="E3900">
        <v>60.29129725762454</v>
      </c>
    </row>
    <row r="3901" spans="1:5">
      <c r="A3901" t="s">
        <v>5512</v>
      </c>
      <c r="B3901" t="s">
        <v>970</v>
      </c>
      <c r="C3901" t="s">
        <v>995</v>
      </c>
      <c r="D3901" t="s">
        <v>7025</v>
      </c>
      <c r="E3901">
        <v>311.8826860061258</v>
      </c>
    </row>
    <row r="3902" spans="1:5">
      <c r="A3902" t="s">
        <v>5513</v>
      </c>
      <c r="B3902" t="s">
        <v>970</v>
      </c>
      <c r="C3902" t="s">
        <v>995</v>
      </c>
      <c r="D3902" t="s">
        <v>7026</v>
      </c>
      <c r="E3902">
        <v>3.295274223797298</v>
      </c>
    </row>
    <row r="3903" spans="1:5">
      <c r="A3903" t="s">
        <v>5514</v>
      </c>
      <c r="B3903" t="s">
        <v>970</v>
      </c>
      <c r="C3903" t="s">
        <v>995</v>
      </c>
      <c r="D3903" t="s">
        <v>7027</v>
      </c>
      <c r="E3903">
        <v>22.10852630467597</v>
      </c>
    </row>
    <row r="3904" spans="1:5">
      <c r="A3904" t="s">
        <v>5515</v>
      </c>
      <c r="B3904" t="s">
        <v>970</v>
      </c>
      <c r="C3904" t="s">
        <v>995</v>
      </c>
      <c r="D3904" t="s">
        <v>7028</v>
      </c>
      <c r="E3904">
        <v>107.0057295869554</v>
      </c>
    </row>
    <row r="3905" spans="1:5">
      <c r="A3905" t="s">
        <v>5516</v>
      </c>
      <c r="B3905" t="s">
        <v>970</v>
      </c>
      <c r="C3905" t="s">
        <v>995</v>
      </c>
      <c r="D3905" t="s">
        <v>7029</v>
      </c>
      <c r="E3905">
        <v>155.9413430030629</v>
      </c>
    </row>
    <row r="3906" spans="1:5">
      <c r="A3906" t="s">
        <v>5517</v>
      </c>
      <c r="B3906" t="s">
        <v>970</v>
      </c>
      <c r="C3906" t="s">
        <v>995</v>
      </c>
      <c r="D3906" t="s">
        <v>6983</v>
      </c>
      <c r="E3906">
        <v>219.4141798063385</v>
      </c>
    </row>
    <row r="3907" spans="1:5">
      <c r="A3907" t="s">
        <v>5518</v>
      </c>
      <c r="B3907" t="s">
        <v>970</v>
      </c>
      <c r="C3907" t="s">
        <v>995</v>
      </c>
      <c r="D3907" t="s">
        <v>7030</v>
      </c>
      <c r="E3907">
        <v>0.1348433841447299</v>
      </c>
    </row>
    <row r="3908" spans="1:5">
      <c r="A3908" t="s">
        <v>5519</v>
      </c>
      <c r="B3908" t="s">
        <v>970</v>
      </c>
      <c r="C3908" t="s">
        <v>995</v>
      </c>
      <c r="D3908" t="s">
        <v>6984</v>
      </c>
      <c r="E3908">
        <v>385.4717221742489</v>
      </c>
    </row>
    <row r="3909" spans="1:5">
      <c r="A3909" t="s">
        <v>5520</v>
      </c>
      <c r="B3909" t="s">
        <v>970</v>
      </c>
      <c r="C3909" t="s">
        <v>995</v>
      </c>
      <c r="D3909" t="s">
        <v>7031</v>
      </c>
      <c r="E3909">
        <v>13373.59241438935</v>
      </c>
    </row>
    <row r="3910" spans="1:5">
      <c r="A3910" t="s">
        <v>5521</v>
      </c>
      <c r="B3910" t="s">
        <v>970</v>
      </c>
      <c r="C3910" t="s">
        <v>995</v>
      </c>
      <c r="D3910" t="s">
        <v>7032</v>
      </c>
      <c r="E3910">
        <v>0.3383449977275351</v>
      </c>
    </row>
    <row r="3911" spans="1:5">
      <c r="A3911" t="s">
        <v>5522</v>
      </c>
      <c r="B3911" t="s">
        <v>970</v>
      </c>
      <c r="C3911" t="s">
        <v>995</v>
      </c>
      <c r="D3911" t="s">
        <v>7033</v>
      </c>
      <c r="E3911">
        <v>45.91459981005804</v>
      </c>
    </row>
    <row r="3912" spans="1:5">
      <c r="A3912" t="s">
        <v>5523</v>
      </c>
      <c r="B3912" t="s">
        <v>970</v>
      </c>
      <c r="C3912" t="s">
        <v>995</v>
      </c>
      <c r="D3912" t="s">
        <v>6985</v>
      </c>
      <c r="E3912">
        <v>45.87903899176356</v>
      </c>
    </row>
    <row r="3913" spans="1:5">
      <c r="A3913" t="s">
        <v>5524</v>
      </c>
      <c r="B3913" t="s">
        <v>970</v>
      </c>
      <c r="C3913" t="s">
        <v>995</v>
      </c>
      <c r="D3913" t="s">
        <v>7034</v>
      </c>
      <c r="E3913">
        <v>0.09037815624878622</v>
      </c>
    </row>
    <row r="3914" spans="1:5">
      <c r="A3914" t="s">
        <v>5525</v>
      </c>
      <c r="B3914" t="s">
        <v>970</v>
      </c>
      <c r="C3914" t="s">
        <v>995</v>
      </c>
      <c r="D3914" t="s">
        <v>7035</v>
      </c>
      <c r="E3914">
        <v>0.6850190212816512</v>
      </c>
    </row>
    <row r="3915" spans="1:5">
      <c r="A3915" t="s">
        <v>5526</v>
      </c>
      <c r="B3915" t="s">
        <v>970</v>
      </c>
      <c r="C3915" t="s">
        <v>995</v>
      </c>
      <c r="D3915" t="s">
        <v>7036</v>
      </c>
      <c r="E3915">
        <v>12.99511144226333</v>
      </c>
    </row>
    <row r="3916" spans="1:5">
      <c r="A3916" t="s">
        <v>5527</v>
      </c>
      <c r="B3916" t="s">
        <v>970</v>
      </c>
      <c r="C3916" t="s">
        <v>995</v>
      </c>
      <c r="D3916" t="s">
        <v>7037</v>
      </c>
      <c r="E3916">
        <v>3.226569437264771</v>
      </c>
    </row>
    <row r="3917" spans="1:5">
      <c r="A3917" t="s">
        <v>5528</v>
      </c>
      <c r="B3917" t="s">
        <v>970</v>
      </c>
      <c r="C3917" t="s">
        <v>995</v>
      </c>
      <c r="D3917" t="s">
        <v>6986</v>
      </c>
      <c r="E3917">
        <v>14.66839308020701</v>
      </c>
    </row>
    <row r="3918" spans="1:5">
      <c r="A3918" t="s">
        <v>5529</v>
      </c>
      <c r="B3918" t="s">
        <v>970</v>
      </c>
      <c r="C3918" t="s">
        <v>995</v>
      </c>
      <c r="D3918" t="s">
        <v>7038</v>
      </c>
      <c r="E3918">
        <v>1.75490054537671</v>
      </c>
    </row>
    <row r="3919" spans="1:5">
      <c r="A3919" t="s">
        <v>5530</v>
      </c>
      <c r="B3919" t="s">
        <v>970</v>
      </c>
      <c r="C3919" t="s">
        <v>995</v>
      </c>
      <c r="D3919" t="s">
        <v>6987</v>
      </c>
      <c r="E3919">
        <v>47.66882784270015</v>
      </c>
    </row>
    <row r="3920" spans="1:5">
      <c r="A3920" t="s">
        <v>5531</v>
      </c>
      <c r="B3920" t="s">
        <v>970</v>
      </c>
      <c r="C3920" t="s">
        <v>995</v>
      </c>
      <c r="D3920" t="s">
        <v>7039</v>
      </c>
      <c r="E3920">
        <v>5.224667974501609</v>
      </c>
    </row>
    <row r="3921" spans="1:5">
      <c r="A3921" t="s">
        <v>5532</v>
      </c>
      <c r="B3921" t="s">
        <v>970</v>
      </c>
      <c r="C3921" t="s">
        <v>995</v>
      </c>
      <c r="D3921" t="s">
        <v>7040</v>
      </c>
      <c r="E3921">
        <v>2.341763775220068</v>
      </c>
    </row>
    <row r="3922" spans="1:5">
      <c r="A3922" t="s">
        <v>5533</v>
      </c>
      <c r="B3922" t="s">
        <v>970</v>
      </c>
      <c r="C3922" t="s">
        <v>995</v>
      </c>
      <c r="D3922" t="s">
        <v>7041</v>
      </c>
      <c r="E3922">
        <v>6.342584347758869</v>
      </c>
    </row>
    <row r="3923" spans="1:5">
      <c r="A3923" t="s">
        <v>5534</v>
      </c>
      <c r="B3923" t="s">
        <v>970</v>
      </c>
      <c r="C3923" t="s">
        <v>995</v>
      </c>
      <c r="D3923" t="s">
        <v>7042</v>
      </c>
      <c r="E3923">
        <v>20.79217906707505</v>
      </c>
    </row>
    <row r="3924" spans="1:5">
      <c r="A3924" t="s">
        <v>5535</v>
      </c>
      <c r="B3924" t="s">
        <v>970</v>
      </c>
      <c r="C3924" t="s">
        <v>995</v>
      </c>
      <c r="D3924" t="s">
        <v>7043</v>
      </c>
      <c r="E3924">
        <v>1.915522840330686</v>
      </c>
    </row>
    <row r="3925" spans="1:5">
      <c r="A3925" t="s">
        <v>5536</v>
      </c>
      <c r="B3925" t="s">
        <v>970</v>
      </c>
      <c r="C3925" t="s">
        <v>995</v>
      </c>
      <c r="D3925" t="s">
        <v>7044</v>
      </c>
      <c r="E3925">
        <v>139.1435521220723</v>
      </c>
    </row>
    <row r="3926" spans="1:5">
      <c r="A3926" t="s">
        <v>5537</v>
      </c>
      <c r="B3926" t="s">
        <v>970</v>
      </c>
      <c r="C3926" t="s">
        <v>995</v>
      </c>
      <c r="D3926" t="s">
        <v>7045</v>
      </c>
      <c r="E3926">
        <v>413.0000789369514</v>
      </c>
    </row>
    <row r="3927" spans="1:5">
      <c r="A3927" t="s">
        <v>5538</v>
      </c>
      <c r="B3927" t="s">
        <v>970</v>
      </c>
      <c r="C3927" t="s">
        <v>995</v>
      </c>
      <c r="D3927" t="s">
        <v>7046</v>
      </c>
      <c r="E3927">
        <v>47.66884061650745</v>
      </c>
    </row>
    <row r="3928" spans="1:5">
      <c r="A3928" t="s">
        <v>5539</v>
      </c>
      <c r="B3928" t="s">
        <v>970</v>
      </c>
      <c r="C3928" t="s">
        <v>995</v>
      </c>
      <c r="D3928" t="s">
        <v>6988</v>
      </c>
      <c r="E3928">
        <v>413.0000789369514</v>
      </c>
    </row>
    <row r="3929" spans="1:5">
      <c r="A3929" t="s">
        <v>5540</v>
      </c>
      <c r="B3929" t="s">
        <v>970</v>
      </c>
      <c r="C3929" t="s">
        <v>995</v>
      </c>
      <c r="D3929" t="s">
        <v>7047</v>
      </c>
      <c r="E3929">
        <v>118.0895375996713</v>
      </c>
    </row>
    <row r="3930" spans="1:5">
      <c r="A3930" t="s">
        <v>5541</v>
      </c>
      <c r="B3930" t="s">
        <v>970</v>
      </c>
      <c r="C3930" t="s">
        <v>995</v>
      </c>
      <c r="D3930" t="s">
        <v>7048</v>
      </c>
      <c r="E3930">
        <v>413.0000789369514</v>
      </c>
    </row>
    <row r="3931" spans="1:5">
      <c r="A3931" t="s">
        <v>5542</v>
      </c>
      <c r="B3931" t="s">
        <v>970</v>
      </c>
      <c r="C3931" t="s">
        <v>995</v>
      </c>
      <c r="D3931" t="s">
        <v>7049</v>
      </c>
      <c r="E3931">
        <v>27.64395974606676</v>
      </c>
    </row>
    <row r="3932" spans="1:5">
      <c r="A3932" t="s">
        <v>5543</v>
      </c>
      <c r="B3932" t="s">
        <v>970</v>
      </c>
      <c r="C3932" t="s">
        <v>995</v>
      </c>
      <c r="D3932" t="s">
        <v>7050</v>
      </c>
      <c r="E3932">
        <v>413.0000789369514</v>
      </c>
    </row>
    <row r="3933" spans="1:5">
      <c r="A3933" t="s">
        <v>5544</v>
      </c>
      <c r="B3933" t="s">
        <v>970</v>
      </c>
      <c r="C3933" t="s">
        <v>995</v>
      </c>
      <c r="D3933" t="s">
        <v>7051</v>
      </c>
      <c r="E3933">
        <v>4.202756914535888</v>
      </c>
    </row>
    <row r="3934" spans="1:5">
      <c r="A3934" t="s">
        <v>5545</v>
      </c>
      <c r="B3934" t="s">
        <v>970</v>
      </c>
      <c r="C3934" t="s">
        <v>995</v>
      </c>
      <c r="D3934" t="s">
        <v>7052</v>
      </c>
      <c r="E3934">
        <v>0.03554897187836269</v>
      </c>
    </row>
    <row r="3935" spans="1:5">
      <c r="A3935" t="s">
        <v>5546</v>
      </c>
      <c r="B3935" t="s">
        <v>970</v>
      </c>
      <c r="C3935" t="s">
        <v>995</v>
      </c>
      <c r="D3935" t="s">
        <v>7053</v>
      </c>
      <c r="E3935">
        <v>40.90962109081919</v>
      </c>
    </row>
    <row r="3936" spans="1:5">
      <c r="A3936" t="s">
        <v>5547</v>
      </c>
      <c r="B3936" t="s">
        <v>970</v>
      </c>
      <c r="C3936" t="s">
        <v>995</v>
      </c>
      <c r="D3936" t="s">
        <v>7054</v>
      </c>
      <c r="E3936">
        <v>1.492401966246755</v>
      </c>
    </row>
    <row r="3937" spans="1:5">
      <c r="A3937" t="s">
        <v>5548</v>
      </c>
      <c r="B3937" t="s">
        <v>970</v>
      </c>
      <c r="C3937" t="s">
        <v>995</v>
      </c>
      <c r="D3937" t="s">
        <v>6989</v>
      </c>
      <c r="E3937">
        <v>39.74865820310492</v>
      </c>
    </row>
    <row r="3938" spans="1:5">
      <c r="A3938" t="s">
        <v>5549</v>
      </c>
      <c r="B3938" t="s">
        <v>970</v>
      </c>
      <c r="C3938" t="s">
        <v>995</v>
      </c>
      <c r="D3938" t="s">
        <v>7055</v>
      </c>
      <c r="E3938">
        <v>11.66158089759097</v>
      </c>
    </row>
    <row r="3939" spans="1:5">
      <c r="A3939" t="s">
        <v>5550</v>
      </c>
      <c r="B3939" t="s">
        <v>970</v>
      </c>
      <c r="C3939" t="s">
        <v>995</v>
      </c>
      <c r="D3939" t="s">
        <v>7056</v>
      </c>
      <c r="E3939">
        <v>47.21981272811732</v>
      </c>
    </row>
    <row r="3940" spans="1:5">
      <c r="A3940" t="s">
        <v>5551</v>
      </c>
      <c r="B3940" t="s">
        <v>970</v>
      </c>
      <c r="C3940" t="s">
        <v>995</v>
      </c>
      <c r="D3940" t="s">
        <v>7057</v>
      </c>
      <c r="E3940">
        <v>2.387640372600496</v>
      </c>
    </row>
    <row r="3941" spans="1:5">
      <c r="A3941" t="s">
        <v>5552</v>
      </c>
      <c r="B3941" t="s">
        <v>970</v>
      </c>
      <c r="C3941" t="s">
        <v>995</v>
      </c>
      <c r="D3941" t="s">
        <v>6990</v>
      </c>
      <c r="E3941">
        <v>0.01740472291577038</v>
      </c>
    </row>
    <row r="3942" spans="1:5">
      <c r="A3942" t="s">
        <v>5553</v>
      </c>
      <c r="B3942" t="s">
        <v>970</v>
      </c>
      <c r="C3942" t="s">
        <v>995</v>
      </c>
      <c r="D3942" t="s">
        <v>6991</v>
      </c>
      <c r="E3942">
        <v>104.7686813866378</v>
      </c>
    </row>
    <row r="3943" spans="1:5">
      <c r="A3943" t="s">
        <v>5554</v>
      </c>
      <c r="B3943" t="s">
        <v>970</v>
      </c>
      <c r="C3943" t="s">
        <v>995</v>
      </c>
      <c r="D3943" t="s">
        <v>7058</v>
      </c>
      <c r="E3943">
        <v>413.0000789369514</v>
      </c>
    </row>
    <row r="3944" spans="1:5">
      <c r="A3944" t="s">
        <v>5555</v>
      </c>
      <c r="B3944" t="s">
        <v>970</v>
      </c>
      <c r="C3944" t="s">
        <v>995</v>
      </c>
      <c r="D3944" t="s">
        <v>6992</v>
      </c>
      <c r="E3944">
        <v>3.295271782087251</v>
      </c>
    </row>
    <row r="3945" spans="1:5">
      <c r="A3945" t="s">
        <v>5556</v>
      </c>
      <c r="B3945" t="s">
        <v>970</v>
      </c>
      <c r="C3945" t="s">
        <v>995</v>
      </c>
      <c r="D3945" t="s">
        <v>7059</v>
      </c>
      <c r="E3945">
        <v>0.2382571073125316</v>
      </c>
    </row>
    <row r="3946" spans="1:5">
      <c r="A3946" t="s">
        <v>5557</v>
      </c>
      <c r="B3946" t="s">
        <v>970</v>
      </c>
      <c r="C3946" t="s">
        <v>995</v>
      </c>
      <c r="D3946" t="s">
        <v>7060</v>
      </c>
      <c r="E3946">
        <v>0.0002268543044996184</v>
      </c>
    </row>
    <row r="3947" spans="1:5">
      <c r="A3947" t="s">
        <v>5558</v>
      </c>
      <c r="B3947" t="s">
        <v>970</v>
      </c>
      <c r="C3947" t="s">
        <v>995</v>
      </c>
      <c r="D3947" t="s">
        <v>6993</v>
      </c>
      <c r="E3947">
        <v>2.470582882968209</v>
      </c>
    </row>
    <row r="3948" spans="1:5">
      <c r="A3948" t="s">
        <v>5559</v>
      </c>
      <c r="B3948" t="s">
        <v>970</v>
      </c>
      <c r="C3948" t="s">
        <v>995</v>
      </c>
      <c r="D3948" t="s">
        <v>7061</v>
      </c>
      <c r="E3948">
        <v>413.0000789369514</v>
      </c>
    </row>
    <row r="3949" spans="1:5">
      <c r="A3949" t="s">
        <v>5560</v>
      </c>
      <c r="B3949" t="s">
        <v>970</v>
      </c>
      <c r="C3949" t="s">
        <v>995</v>
      </c>
      <c r="D3949" t="s">
        <v>7062</v>
      </c>
      <c r="E3949">
        <v>1.985352054216346</v>
      </c>
    </row>
    <row r="3950" spans="1:5">
      <c r="A3950" t="s">
        <v>5561</v>
      </c>
      <c r="B3950" t="s">
        <v>970</v>
      </c>
      <c r="C3950" t="s">
        <v>995</v>
      </c>
      <c r="D3950" t="s">
        <v>7063</v>
      </c>
      <c r="E3950">
        <v>439.8909958876637</v>
      </c>
    </row>
    <row r="3951" spans="1:5">
      <c r="A3951" t="s">
        <v>5562</v>
      </c>
      <c r="B3951" t="s">
        <v>970</v>
      </c>
      <c r="C3951" t="s">
        <v>995</v>
      </c>
      <c r="D3951" t="s">
        <v>6994</v>
      </c>
      <c r="E3951">
        <v>1.918311060648373</v>
      </c>
    </row>
    <row r="3952" spans="1:5">
      <c r="A3952" t="s">
        <v>5563</v>
      </c>
      <c r="B3952" t="s">
        <v>970</v>
      </c>
      <c r="C3952" t="s">
        <v>995</v>
      </c>
      <c r="D3952" t="s">
        <v>7064</v>
      </c>
      <c r="E3952">
        <v>2.410979510220189</v>
      </c>
    </row>
    <row r="3953" spans="1:5">
      <c r="A3953" t="s">
        <v>5564</v>
      </c>
      <c r="B3953" t="s">
        <v>970</v>
      </c>
      <c r="C3953" t="s">
        <v>995</v>
      </c>
      <c r="D3953" t="s">
        <v>7065</v>
      </c>
      <c r="E3953">
        <v>3.56839583643381</v>
      </c>
    </row>
    <row r="3954" spans="1:5">
      <c r="A3954" t="s">
        <v>5565</v>
      </c>
      <c r="B3954" t="s">
        <v>970</v>
      </c>
      <c r="C3954" t="s">
        <v>995</v>
      </c>
      <c r="D3954" t="s">
        <v>7066</v>
      </c>
      <c r="E3954">
        <v>0.07806722241048143</v>
      </c>
    </row>
    <row r="3955" spans="1:5">
      <c r="A3955" t="s">
        <v>5566</v>
      </c>
      <c r="B3955" t="s">
        <v>970</v>
      </c>
      <c r="C3955" t="s">
        <v>995</v>
      </c>
      <c r="D3955" t="s">
        <v>7067</v>
      </c>
      <c r="E3955">
        <v>215.2394486426904</v>
      </c>
    </row>
    <row r="3956" spans="1:5">
      <c r="A3956" t="s">
        <v>5567</v>
      </c>
      <c r="B3956" t="s">
        <v>970</v>
      </c>
      <c r="C3956" t="s">
        <v>995</v>
      </c>
      <c r="D3956" t="s">
        <v>7068</v>
      </c>
      <c r="E3956">
        <v>0.7231727669140914</v>
      </c>
    </row>
    <row r="3957" spans="1:5">
      <c r="A3957" t="s">
        <v>5568</v>
      </c>
      <c r="B3957" t="s">
        <v>970</v>
      </c>
      <c r="C3957" t="s">
        <v>995</v>
      </c>
      <c r="D3957" t="s">
        <v>6995</v>
      </c>
      <c r="E3957">
        <v>0.2012866146923148</v>
      </c>
    </row>
    <row r="3958" spans="1:5">
      <c r="A3958" t="s">
        <v>5569</v>
      </c>
      <c r="B3958" t="s">
        <v>970</v>
      </c>
      <c r="C3958" t="s">
        <v>995</v>
      </c>
      <c r="D3958" t="s">
        <v>7069</v>
      </c>
      <c r="E3958">
        <v>1014.883840141488</v>
      </c>
    </row>
    <row r="3959" spans="1:5">
      <c r="A3959" t="s">
        <v>5570</v>
      </c>
      <c r="B3959" t="s">
        <v>970</v>
      </c>
      <c r="C3959" t="s">
        <v>995</v>
      </c>
      <c r="D3959" t="s">
        <v>7070</v>
      </c>
      <c r="E3959">
        <v>374.2593544410057</v>
      </c>
    </row>
    <row r="3960" spans="1:5">
      <c r="A3960" t="s">
        <v>5571</v>
      </c>
      <c r="B3960" t="s">
        <v>970</v>
      </c>
      <c r="C3960" t="s">
        <v>995</v>
      </c>
      <c r="D3960" t="s">
        <v>7071</v>
      </c>
      <c r="E3960">
        <v>0.6511193184337625</v>
      </c>
    </row>
    <row r="3961" spans="1:5">
      <c r="A3961" t="s">
        <v>5572</v>
      </c>
      <c r="B3961" t="s">
        <v>970</v>
      </c>
      <c r="C3961" t="s">
        <v>995</v>
      </c>
      <c r="D3961" t="s">
        <v>7072</v>
      </c>
      <c r="E3961">
        <v>0.01402089002932011</v>
      </c>
    </row>
    <row r="3962" spans="1:5">
      <c r="A3962" t="s">
        <v>5573</v>
      </c>
      <c r="B3962" t="s">
        <v>970</v>
      </c>
      <c r="C3962" t="s">
        <v>995</v>
      </c>
      <c r="D3962" t="s">
        <v>7073</v>
      </c>
      <c r="E3962">
        <v>0.003484722681807822</v>
      </c>
    </row>
    <row r="3963" spans="1:5">
      <c r="A3963" t="s">
        <v>5574</v>
      </c>
      <c r="B3963" t="s">
        <v>970</v>
      </c>
      <c r="C3963" t="s">
        <v>995</v>
      </c>
      <c r="D3963" t="s">
        <v>7074</v>
      </c>
      <c r="E3963">
        <v>0.9285730324048395</v>
      </c>
    </row>
    <row r="3964" spans="1:5">
      <c r="A3964" t="s">
        <v>5575</v>
      </c>
      <c r="B3964" t="s">
        <v>970</v>
      </c>
      <c r="C3964" t="s">
        <v>995</v>
      </c>
      <c r="D3964" t="s">
        <v>7075</v>
      </c>
      <c r="E3964">
        <v>1.715725239928702</v>
      </c>
    </row>
    <row r="3965" spans="1:5">
      <c r="A3965" t="s">
        <v>5576</v>
      </c>
      <c r="B3965" t="s">
        <v>970</v>
      </c>
      <c r="C3965" t="s">
        <v>995</v>
      </c>
      <c r="D3965" t="s">
        <v>7076</v>
      </c>
      <c r="E3965">
        <v>19.02437845252906</v>
      </c>
    </row>
    <row r="3966" spans="1:5">
      <c r="A3966" t="s">
        <v>5577</v>
      </c>
      <c r="B3966" t="s">
        <v>970</v>
      </c>
      <c r="C3966" t="s">
        <v>995</v>
      </c>
      <c r="D3966" t="s">
        <v>7077</v>
      </c>
      <c r="E3966">
        <v>48.57200924482442</v>
      </c>
    </row>
    <row r="3967" spans="1:5">
      <c r="A3967" t="s">
        <v>5578</v>
      </c>
      <c r="B3967" t="s">
        <v>970</v>
      </c>
      <c r="C3967" t="s">
        <v>995</v>
      </c>
      <c r="D3967" t="s">
        <v>7078</v>
      </c>
      <c r="E3967">
        <v>33.20446545016339</v>
      </c>
    </row>
    <row r="3968" spans="1:5">
      <c r="A3968" t="s">
        <v>5579</v>
      </c>
      <c r="B3968" t="s">
        <v>970</v>
      </c>
      <c r="C3968" t="s">
        <v>995</v>
      </c>
      <c r="D3968" t="s">
        <v>7079</v>
      </c>
      <c r="E3968">
        <v>17.68957379821811</v>
      </c>
    </row>
    <row r="3969" spans="1:5">
      <c r="A3969" t="s">
        <v>5580</v>
      </c>
      <c r="B3969" t="s">
        <v>970</v>
      </c>
      <c r="C3969" t="s">
        <v>995</v>
      </c>
      <c r="D3969" t="s">
        <v>7080</v>
      </c>
      <c r="E3969">
        <v>0.07365160754616927</v>
      </c>
    </row>
    <row r="3970" spans="1:5">
      <c r="A3970" t="s">
        <v>5581</v>
      </c>
      <c r="B3970" t="s">
        <v>970</v>
      </c>
      <c r="C3970" t="s">
        <v>995</v>
      </c>
      <c r="D3970" t="s">
        <v>7081</v>
      </c>
      <c r="E3970">
        <v>5.766830362208196</v>
      </c>
    </row>
    <row r="3971" spans="1:5">
      <c r="A3971" t="s">
        <v>5582</v>
      </c>
      <c r="B3971" t="s">
        <v>970</v>
      </c>
      <c r="C3971" t="s">
        <v>995</v>
      </c>
      <c r="D3971" t="s">
        <v>7082</v>
      </c>
      <c r="E3971">
        <v>0.1487961603618425</v>
      </c>
    </row>
    <row r="3972" spans="1:5">
      <c r="A3972" t="s">
        <v>5583</v>
      </c>
      <c r="B3972" t="s">
        <v>970</v>
      </c>
      <c r="C3972" t="s">
        <v>995</v>
      </c>
      <c r="D3972" t="s">
        <v>7083</v>
      </c>
      <c r="E3972">
        <v>0.08662821080620144</v>
      </c>
    </row>
    <row r="3973" spans="1:5">
      <c r="A3973" t="s">
        <v>5584</v>
      </c>
      <c r="B3973" t="s">
        <v>970</v>
      </c>
      <c r="C3973" t="s">
        <v>995</v>
      </c>
      <c r="D3973" t="s">
        <v>7084</v>
      </c>
      <c r="E3973">
        <v>38.58828714523772</v>
      </c>
    </row>
    <row r="3974" spans="1:5">
      <c r="A3974" t="s">
        <v>5585</v>
      </c>
      <c r="B3974" t="s">
        <v>970</v>
      </c>
      <c r="C3974" t="s">
        <v>995</v>
      </c>
      <c r="D3974" t="s">
        <v>7085</v>
      </c>
      <c r="E3974">
        <v>7.788472801167758</v>
      </c>
    </row>
    <row r="3975" spans="1:5">
      <c r="A3975" t="s">
        <v>5586</v>
      </c>
      <c r="B3975" t="s">
        <v>970</v>
      </c>
      <c r="C3975" t="s">
        <v>995</v>
      </c>
      <c r="D3975" t="s">
        <v>7086</v>
      </c>
      <c r="E3975">
        <v>6.613868997135316</v>
      </c>
    </row>
    <row r="3976" spans="1:5">
      <c r="A3976" t="s">
        <v>5587</v>
      </c>
      <c r="B3976" t="s">
        <v>970</v>
      </c>
      <c r="C3976" t="s">
        <v>995</v>
      </c>
      <c r="D3976" t="s">
        <v>7087</v>
      </c>
      <c r="E3976">
        <v>20.19078360591655</v>
      </c>
    </row>
    <row r="3977" spans="1:5">
      <c r="A3977" t="s">
        <v>5588</v>
      </c>
      <c r="B3977" t="s">
        <v>970</v>
      </c>
      <c r="C3977" t="s">
        <v>995</v>
      </c>
      <c r="D3977" t="s">
        <v>7088</v>
      </c>
      <c r="E3977">
        <v>0.1792031498076944</v>
      </c>
    </row>
    <row r="3978" spans="1:5">
      <c r="A3978" t="s">
        <v>5589</v>
      </c>
      <c r="B3978" t="s">
        <v>970</v>
      </c>
      <c r="C3978" t="s">
        <v>995</v>
      </c>
      <c r="D3978" t="s">
        <v>6996</v>
      </c>
      <c r="E3978">
        <v>17.8362731441166</v>
      </c>
    </row>
    <row r="3979" spans="1:5">
      <c r="A3979" t="s">
        <v>5590</v>
      </c>
      <c r="B3979" t="s">
        <v>970</v>
      </c>
      <c r="C3979" t="s">
        <v>995</v>
      </c>
      <c r="D3979" t="s">
        <v>6997</v>
      </c>
      <c r="E3979">
        <v>76.44133157207874</v>
      </c>
    </row>
    <row r="3980" spans="1:5">
      <c r="A3980" t="s">
        <v>5591</v>
      </c>
      <c r="B3980" t="s">
        <v>970</v>
      </c>
      <c r="C3980" t="s">
        <v>995</v>
      </c>
      <c r="D3980" t="s">
        <v>7089</v>
      </c>
      <c r="E3980">
        <v>4.892758580670485</v>
      </c>
    </row>
    <row r="3981" spans="1:5">
      <c r="A3981" t="s">
        <v>5592</v>
      </c>
      <c r="B3981" t="s">
        <v>970</v>
      </c>
      <c r="C3981" t="s">
        <v>995</v>
      </c>
      <c r="D3981" t="s">
        <v>7090</v>
      </c>
      <c r="E3981">
        <v>19.02437845252906</v>
      </c>
    </row>
    <row r="3982" spans="1:5">
      <c r="A3982" t="s">
        <v>5593</v>
      </c>
      <c r="B3982" t="s">
        <v>970</v>
      </c>
      <c r="C3982" t="s">
        <v>995</v>
      </c>
      <c r="D3982" t="s">
        <v>7091</v>
      </c>
      <c r="E3982">
        <v>0.2285549997165656</v>
      </c>
    </row>
    <row r="3983" spans="1:5">
      <c r="A3983" t="s">
        <v>5594</v>
      </c>
      <c r="B3983" t="s">
        <v>970</v>
      </c>
      <c r="C3983" t="s">
        <v>995</v>
      </c>
      <c r="D3983" t="s">
        <v>7092</v>
      </c>
      <c r="E3983">
        <v>8.481517190215081</v>
      </c>
    </row>
    <row r="3984" spans="1:5">
      <c r="A3984" t="s">
        <v>5595</v>
      </c>
      <c r="B3984" t="s">
        <v>970</v>
      </c>
      <c r="C3984" t="s">
        <v>995</v>
      </c>
      <c r="D3984" t="s">
        <v>6998</v>
      </c>
      <c r="E3984">
        <v>31.44803685820942</v>
      </c>
    </row>
    <row r="3985" spans="1:5">
      <c r="A3985" t="s">
        <v>5596</v>
      </c>
      <c r="B3985" t="s">
        <v>970</v>
      </c>
      <c r="C3985" t="s">
        <v>995</v>
      </c>
      <c r="D3985" t="s">
        <v>7093</v>
      </c>
      <c r="E3985">
        <v>2.059546397026764</v>
      </c>
    </row>
    <row r="3986" spans="1:5">
      <c r="A3986" t="s">
        <v>5597</v>
      </c>
      <c r="B3986" t="s">
        <v>970</v>
      </c>
      <c r="C3986" t="s">
        <v>995</v>
      </c>
      <c r="D3986" t="s">
        <v>6999</v>
      </c>
      <c r="E3986">
        <v>176.7926367557957</v>
      </c>
    </row>
    <row r="3987" spans="1:5">
      <c r="A3987" t="s">
        <v>5598</v>
      </c>
      <c r="B3987" t="s">
        <v>970</v>
      </c>
      <c r="C3987" t="s">
        <v>995</v>
      </c>
      <c r="D3987" t="s">
        <v>7094</v>
      </c>
      <c r="E3987">
        <v>811.1444260530947</v>
      </c>
    </row>
    <row r="3988" spans="1:5">
      <c r="A3988" t="s">
        <v>5599</v>
      </c>
      <c r="B3988" t="s">
        <v>970</v>
      </c>
      <c r="C3988" t="s">
        <v>995</v>
      </c>
      <c r="D3988" t="s">
        <v>7095</v>
      </c>
      <c r="E3988">
        <v>311.8826860061258</v>
      </c>
    </row>
    <row r="3989" spans="1:5">
      <c r="A3989" t="s">
        <v>5600</v>
      </c>
      <c r="B3989" t="s">
        <v>970</v>
      </c>
      <c r="C3989" t="s">
        <v>995</v>
      </c>
      <c r="D3989" t="s">
        <v>7096</v>
      </c>
      <c r="E3989">
        <v>91.39135472936263</v>
      </c>
    </row>
    <row r="3990" spans="1:5">
      <c r="A3990" t="s">
        <v>5601</v>
      </c>
      <c r="B3990" t="s">
        <v>970</v>
      </c>
      <c r="C3990" t="s">
        <v>995</v>
      </c>
      <c r="D3990" t="s">
        <v>7097</v>
      </c>
      <c r="E3990">
        <v>71.06575132976997</v>
      </c>
    </row>
    <row r="3991" spans="1:5">
      <c r="A3991" t="s">
        <v>5602</v>
      </c>
      <c r="B3991" t="s">
        <v>970</v>
      </c>
      <c r="C3991" t="s">
        <v>995</v>
      </c>
      <c r="D3991" t="s">
        <v>7000</v>
      </c>
      <c r="E3991">
        <v>5.083792370380739</v>
      </c>
    </row>
    <row r="3992" spans="1:5">
      <c r="A3992" t="s">
        <v>5603</v>
      </c>
      <c r="B3992" t="s">
        <v>970</v>
      </c>
      <c r="C3992" t="s">
        <v>995</v>
      </c>
      <c r="D3992" t="s">
        <v>7098</v>
      </c>
      <c r="E3992">
        <v>1.121290276363076</v>
      </c>
    </row>
    <row r="3993" spans="1:5">
      <c r="A3993" t="s">
        <v>5604</v>
      </c>
      <c r="B3993" t="s">
        <v>970</v>
      </c>
      <c r="C3993" t="s">
        <v>995</v>
      </c>
      <c r="D3993" t="s">
        <v>7001</v>
      </c>
      <c r="E3993">
        <v>82.7890921436646</v>
      </c>
    </row>
    <row r="3994" spans="1:5">
      <c r="A3994" t="s">
        <v>5605</v>
      </c>
      <c r="B3994" t="s">
        <v>970</v>
      </c>
      <c r="C3994" t="s">
        <v>995</v>
      </c>
      <c r="D3994" t="s">
        <v>7099</v>
      </c>
      <c r="E3994">
        <v>0.05134547969451538</v>
      </c>
    </row>
    <row r="3995" spans="1:5">
      <c r="A3995" t="s">
        <v>5606</v>
      </c>
      <c r="B3995" t="s">
        <v>970</v>
      </c>
      <c r="C3995" t="s">
        <v>995</v>
      </c>
      <c r="D3995" t="s">
        <v>7100</v>
      </c>
      <c r="E3995">
        <v>85.68205411890901</v>
      </c>
    </row>
    <row r="3996" spans="1:5">
      <c r="A3996" t="s">
        <v>5607</v>
      </c>
      <c r="B3996" t="s">
        <v>970</v>
      </c>
      <c r="C3996" t="s">
        <v>995</v>
      </c>
      <c r="D3996" t="s">
        <v>7002</v>
      </c>
      <c r="E3996">
        <v>67.84521833781754</v>
      </c>
    </row>
    <row r="3997" spans="1:5">
      <c r="A3997" t="s">
        <v>5608</v>
      </c>
      <c r="B3997" t="s">
        <v>970</v>
      </c>
      <c r="C3997" t="s">
        <v>995</v>
      </c>
      <c r="D3997" t="s">
        <v>7101</v>
      </c>
      <c r="E3997">
        <v>3.03159624212201</v>
      </c>
    </row>
    <row r="3998" spans="1:5">
      <c r="A3998" t="s">
        <v>5609</v>
      </c>
      <c r="B3998" t="s">
        <v>970</v>
      </c>
      <c r="C3998" t="s">
        <v>995</v>
      </c>
      <c r="D3998" t="s">
        <v>7102</v>
      </c>
      <c r="E3998">
        <v>3.979378134725859</v>
      </c>
    </row>
    <row r="3999" spans="1:5">
      <c r="A3999" t="s">
        <v>5610</v>
      </c>
      <c r="B3999" t="s">
        <v>970</v>
      </c>
      <c r="C3999" t="s">
        <v>995</v>
      </c>
      <c r="D3999" t="s">
        <v>7103</v>
      </c>
      <c r="E3999">
        <v>0.2128353118141171</v>
      </c>
    </row>
    <row r="4000" spans="1:5">
      <c r="A4000" t="s">
        <v>5611</v>
      </c>
      <c r="B4000" t="s">
        <v>970</v>
      </c>
      <c r="C4000" t="s">
        <v>995</v>
      </c>
      <c r="D4000" t="s">
        <v>7104</v>
      </c>
      <c r="E4000">
        <v>83.1687065472933</v>
      </c>
    </row>
    <row r="4001" spans="1:5">
      <c r="A4001" t="s">
        <v>5612</v>
      </c>
      <c r="B4001" t="s">
        <v>970</v>
      </c>
      <c r="C4001" t="s">
        <v>995</v>
      </c>
      <c r="D4001" t="s">
        <v>7105</v>
      </c>
      <c r="E4001">
        <v>39.04320360914401</v>
      </c>
    </row>
    <row r="4002" spans="1:5">
      <c r="A4002" t="s">
        <v>5613</v>
      </c>
      <c r="B4002" t="s">
        <v>970</v>
      </c>
      <c r="C4002" t="s">
        <v>995</v>
      </c>
      <c r="D4002" t="s">
        <v>7106</v>
      </c>
      <c r="E4002">
        <v>21.10429354580367</v>
      </c>
    </row>
    <row r="4003" spans="1:5">
      <c r="A4003" t="s">
        <v>5614</v>
      </c>
      <c r="B4003" t="s">
        <v>970</v>
      </c>
      <c r="C4003" t="s">
        <v>995</v>
      </c>
      <c r="D4003" t="s">
        <v>7107</v>
      </c>
      <c r="E4003">
        <v>0.6985495610893646</v>
      </c>
    </row>
    <row r="4004" spans="1:5">
      <c r="A4004" t="s">
        <v>5615</v>
      </c>
      <c r="B4004" t="s">
        <v>970</v>
      </c>
      <c r="C4004" t="s">
        <v>995</v>
      </c>
      <c r="D4004" t="s">
        <v>7003</v>
      </c>
      <c r="E4004">
        <v>32.09881198975769</v>
      </c>
    </row>
    <row r="4005" spans="1:5">
      <c r="A4005" t="s">
        <v>5616</v>
      </c>
      <c r="B4005" t="s">
        <v>970</v>
      </c>
      <c r="C4005" t="s">
        <v>995</v>
      </c>
      <c r="D4005" t="s">
        <v>7004</v>
      </c>
      <c r="E4005">
        <v>240.8867456582823</v>
      </c>
    </row>
    <row r="4006" spans="1:5">
      <c r="A4006" t="s">
        <v>5617</v>
      </c>
      <c r="B4006" t="s">
        <v>970</v>
      </c>
      <c r="C4006" t="s">
        <v>995</v>
      </c>
      <c r="D4006" t="s">
        <v>7108</v>
      </c>
      <c r="E4006">
        <v>413.0000789369514</v>
      </c>
    </row>
    <row r="4007" spans="1:5">
      <c r="A4007" t="s">
        <v>5618</v>
      </c>
      <c r="B4007" t="s">
        <v>970</v>
      </c>
      <c r="C4007" t="s">
        <v>995</v>
      </c>
      <c r="D4007" t="s">
        <v>7109</v>
      </c>
      <c r="E4007">
        <v>12.61072441034696</v>
      </c>
    </row>
    <row r="4008" spans="1:5">
      <c r="A4008" t="s">
        <v>5619</v>
      </c>
      <c r="B4008" t="s">
        <v>970</v>
      </c>
      <c r="C4008" t="s">
        <v>995</v>
      </c>
      <c r="D4008" t="s">
        <v>7110</v>
      </c>
      <c r="E4008">
        <v>0.0126139020735339</v>
      </c>
    </row>
    <row r="4009" spans="1:5">
      <c r="A4009" t="s">
        <v>5620</v>
      </c>
      <c r="B4009" t="s">
        <v>970</v>
      </c>
      <c r="C4009" t="s">
        <v>995</v>
      </c>
      <c r="D4009" t="s">
        <v>7111</v>
      </c>
      <c r="E4009">
        <v>0.5464705569932804</v>
      </c>
    </row>
    <row r="4010" spans="1:5">
      <c r="A4010" t="s">
        <v>5621</v>
      </c>
      <c r="B4010" t="s">
        <v>970</v>
      </c>
      <c r="C4010" t="s">
        <v>995</v>
      </c>
      <c r="D4010" t="s">
        <v>7112</v>
      </c>
      <c r="E4010">
        <v>8.307569123288182</v>
      </c>
    </row>
    <row r="4011" spans="1:5">
      <c r="A4011" t="s">
        <v>5622</v>
      </c>
      <c r="B4011" t="s">
        <v>970</v>
      </c>
      <c r="C4011" t="s">
        <v>995</v>
      </c>
      <c r="D4011" t="s">
        <v>7113</v>
      </c>
      <c r="E4011">
        <v>0.06624985761182811</v>
      </c>
    </row>
    <row r="4012" spans="1:5">
      <c r="A4012" t="s">
        <v>5623</v>
      </c>
      <c r="B4012" t="s">
        <v>970</v>
      </c>
      <c r="C4012" t="s">
        <v>995</v>
      </c>
      <c r="D4012" t="s">
        <v>7114</v>
      </c>
      <c r="E4012">
        <v>14.52153791836735</v>
      </c>
    </row>
    <row r="4013" spans="1:5">
      <c r="A4013" t="s">
        <v>5624</v>
      </c>
      <c r="B4013" t="s">
        <v>970</v>
      </c>
      <c r="C4013" t="s">
        <v>995</v>
      </c>
      <c r="D4013" t="s">
        <v>7115</v>
      </c>
      <c r="E4013">
        <v>2.779294920822974</v>
      </c>
    </row>
    <row r="4014" spans="1:5">
      <c r="A4014" t="s">
        <v>5625</v>
      </c>
      <c r="B4014" t="s">
        <v>970</v>
      </c>
      <c r="C4014" t="s">
        <v>995</v>
      </c>
      <c r="D4014" t="s">
        <v>7116</v>
      </c>
      <c r="E4014">
        <v>19.02437845252906</v>
      </c>
    </row>
    <row r="4015" spans="1:5">
      <c r="A4015" t="s">
        <v>5626</v>
      </c>
      <c r="B4015" t="s">
        <v>970</v>
      </c>
      <c r="C4015" t="s">
        <v>995</v>
      </c>
      <c r="D4015" t="s">
        <v>7005</v>
      </c>
      <c r="E4015">
        <v>9.379545008163458</v>
      </c>
    </row>
    <row r="4016" spans="1:5">
      <c r="A4016" t="s">
        <v>5627</v>
      </c>
      <c r="B4016" t="s">
        <v>970</v>
      </c>
      <c r="C4016" t="s">
        <v>995</v>
      </c>
      <c r="D4016" t="s">
        <v>7117</v>
      </c>
      <c r="E4016">
        <v>33.72717149114924</v>
      </c>
    </row>
    <row r="4017" spans="1:5">
      <c r="A4017" t="s">
        <v>5628</v>
      </c>
      <c r="B4017" t="s">
        <v>970</v>
      </c>
      <c r="C4017" t="s">
        <v>995</v>
      </c>
      <c r="D4017" t="s">
        <v>7118</v>
      </c>
      <c r="E4017">
        <v>89.21049003653395</v>
      </c>
    </row>
    <row r="4018" spans="1:5">
      <c r="A4018" t="s">
        <v>5629</v>
      </c>
      <c r="B4018" t="s">
        <v>970</v>
      </c>
      <c r="C4018" t="s">
        <v>995</v>
      </c>
      <c r="D4018" t="s">
        <v>7119</v>
      </c>
      <c r="E4018">
        <v>105.7357608117735</v>
      </c>
    </row>
    <row r="4019" spans="1:5">
      <c r="A4019" t="s">
        <v>5630</v>
      </c>
      <c r="B4019" t="s">
        <v>970</v>
      </c>
      <c r="C4019" t="s">
        <v>995</v>
      </c>
      <c r="D4019" t="s">
        <v>7120</v>
      </c>
      <c r="E4019">
        <v>130.777875391522</v>
      </c>
    </row>
    <row r="4020" spans="1:5">
      <c r="A4020" t="s">
        <v>5631</v>
      </c>
      <c r="B4020" t="s">
        <v>970</v>
      </c>
      <c r="C4020" t="s">
        <v>995</v>
      </c>
      <c r="D4020" t="s">
        <v>7006</v>
      </c>
      <c r="E4020">
        <v>6.680419135287725</v>
      </c>
    </row>
    <row r="4021" spans="1:5">
      <c r="A4021" t="s">
        <v>5632</v>
      </c>
      <c r="B4021" t="s">
        <v>970</v>
      </c>
      <c r="C4021" t="s">
        <v>995</v>
      </c>
      <c r="D4021" t="s">
        <v>7121</v>
      </c>
      <c r="E4021">
        <v>42.539364712806</v>
      </c>
    </row>
    <row r="4022" spans="1:5">
      <c r="A4022" t="s">
        <v>5633</v>
      </c>
      <c r="B4022" t="s">
        <v>970</v>
      </c>
      <c r="C4022" t="s">
        <v>995</v>
      </c>
      <c r="D4022" t="s">
        <v>7122</v>
      </c>
      <c r="E4022">
        <v>215.2394486426904</v>
      </c>
    </row>
    <row r="4023" spans="1:5">
      <c r="A4023" t="s">
        <v>5634</v>
      </c>
      <c r="B4023" t="s">
        <v>970</v>
      </c>
      <c r="C4023" t="s">
        <v>995</v>
      </c>
      <c r="D4023" t="s">
        <v>7123</v>
      </c>
      <c r="E4023">
        <v>9.792068400375182</v>
      </c>
    </row>
    <row r="4024" spans="1:5">
      <c r="A4024" t="s">
        <v>5635</v>
      </c>
      <c r="B4024" t="s">
        <v>970</v>
      </c>
      <c r="C4024" t="s">
        <v>995</v>
      </c>
      <c r="D4024" t="s">
        <v>7124</v>
      </c>
      <c r="E4024">
        <v>0.1201664554789975</v>
      </c>
    </row>
    <row r="4025" spans="1:5">
      <c r="A4025" t="s">
        <v>5636</v>
      </c>
      <c r="B4025" t="s">
        <v>970</v>
      </c>
      <c r="C4025" t="s">
        <v>995</v>
      </c>
      <c r="D4025" t="s">
        <v>7125</v>
      </c>
      <c r="E4025">
        <v>6.96238677999722</v>
      </c>
    </row>
    <row r="4026" spans="1:5">
      <c r="A4026" t="s">
        <v>5637</v>
      </c>
      <c r="B4026" t="s">
        <v>970</v>
      </c>
      <c r="C4026" t="s">
        <v>995</v>
      </c>
      <c r="D4026" t="s">
        <v>7126</v>
      </c>
      <c r="E4026">
        <v>0.0860910712006587</v>
      </c>
    </row>
    <row r="4027" spans="1:5">
      <c r="A4027" t="s">
        <v>5638</v>
      </c>
      <c r="B4027" t="s">
        <v>970</v>
      </c>
      <c r="C4027" t="s">
        <v>995</v>
      </c>
      <c r="D4027" t="s">
        <v>998</v>
      </c>
      <c r="E4027">
        <v>311.7924889928067</v>
      </c>
    </row>
    <row r="4028" spans="1:5">
      <c r="A4028" t="s">
        <v>5639</v>
      </c>
      <c r="B4028" t="s">
        <v>970</v>
      </c>
      <c r="C4028" t="s">
        <v>995</v>
      </c>
      <c r="D4028" t="s">
        <v>7127</v>
      </c>
      <c r="E4028">
        <v>7.759775072799894</v>
      </c>
    </row>
    <row r="4029" spans="1:5">
      <c r="A4029" t="s">
        <v>5640</v>
      </c>
      <c r="B4029" t="s">
        <v>970</v>
      </c>
      <c r="C4029" t="s">
        <v>995</v>
      </c>
      <c r="D4029" t="s">
        <v>7128</v>
      </c>
      <c r="E4029">
        <v>0.02576268604816392</v>
      </c>
    </row>
    <row r="4030" spans="1:5">
      <c r="A4030" t="s">
        <v>5641</v>
      </c>
      <c r="B4030" t="s">
        <v>970</v>
      </c>
      <c r="C4030" t="s">
        <v>995</v>
      </c>
      <c r="D4030" t="s">
        <v>7129</v>
      </c>
      <c r="E4030">
        <v>0.4919012877114849</v>
      </c>
    </row>
    <row r="4031" spans="1:5">
      <c r="A4031" t="s">
        <v>5642</v>
      </c>
      <c r="B4031" t="s">
        <v>970</v>
      </c>
      <c r="C4031" t="s">
        <v>995</v>
      </c>
      <c r="D4031" t="s">
        <v>7130</v>
      </c>
      <c r="E4031">
        <v>0.01187143991828365</v>
      </c>
    </row>
    <row r="4032" spans="1:5">
      <c r="A4032" t="s">
        <v>5643</v>
      </c>
      <c r="B4032" t="s">
        <v>970</v>
      </c>
      <c r="C4032" t="s">
        <v>995</v>
      </c>
      <c r="D4032" t="s">
        <v>7131</v>
      </c>
      <c r="E4032">
        <v>2.603496857609724</v>
      </c>
    </row>
    <row r="4033" spans="1:5">
      <c r="A4033" t="s">
        <v>5644</v>
      </c>
      <c r="B4033" t="s">
        <v>970</v>
      </c>
      <c r="C4033" t="s">
        <v>995</v>
      </c>
      <c r="D4033" t="s">
        <v>7132</v>
      </c>
      <c r="E4033">
        <v>113.6476010163122</v>
      </c>
    </row>
    <row r="4034" spans="1:5">
      <c r="A4034" t="s">
        <v>5645</v>
      </c>
      <c r="B4034" t="s">
        <v>970</v>
      </c>
      <c r="C4034" t="s">
        <v>995</v>
      </c>
      <c r="D4034" t="s">
        <v>7133</v>
      </c>
      <c r="E4034">
        <v>0.5423795751855686</v>
      </c>
    </row>
    <row r="4035" spans="1:5">
      <c r="A4035" t="s">
        <v>5646</v>
      </c>
      <c r="B4035" t="s">
        <v>970</v>
      </c>
      <c r="C4035" t="s">
        <v>995</v>
      </c>
      <c r="D4035" t="s">
        <v>7134</v>
      </c>
      <c r="E4035">
        <v>115.5121209297523</v>
      </c>
    </row>
    <row r="4036" spans="1:5">
      <c r="A4036" t="s">
        <v>5647</v>
      </c>
      <c r="B4036" t="s">
        <v>970</v>
      </c>
      <c r="C4036" t="s">
        <v>995</v>
      </c>
      <c r="D4036" t="s">
        <v>7135</v>
      </c>
      <c r="E4036">
        <v>174.2361527928507</v>
      </c>
    </row>
    <row r="4037" spans="1:5">
      <c r="A4037" t="s">
        <v>5648</v>
      </c>
      <c r="B4037" t="s">
        <v>970</v>
      </c>
      <c r="C4037" t="s">
        <v>995</v>
      </c>
      <c r="D4037" t="s">
        <v>7136</v>
      </c>
      <c r="E4037">
        <v>423.0920467261823</v>
      </c>
    </row>
    <row r="4038" spans="1:5">
      <c r="A4038" t="s">
        <v>5649</v>
      </c>
      <c r="B4038" t="s">
        <v>970</v>
      </c>
      <c r="C4038" t="s">
        <v>995</v>
      </c>
      <c r="D4038" t="s">
        <v>7137</v>
      </c>
      <c r="E4038">
        <v>0.5423795751855686</v>
      </c>
    </row>
    <row r="4039" spans="1:5">
      <c r="A4039" t="s">
        <v>5650</v>
      </c>
      <c r="B4039" t="s">
        <v>970</v>
      </c>
      <c r="C4039" t="s">
        <v>995</v>
      </c>
      <c r="D4039" t="s">
        <v>7138</v>
      </c>
      <c r="E4039">
        <v>2.981410510173298</v>
      </c>
    </row>
    <row r="4040" spans="1:5">
      <c r="A4040" t="s">
        <v>5651</v>
      </c>
      <c r="B4040" t="s">
        <v>970</v>
      </c>
      <c r="C4040" t="s">
        <v>995</v>
      </c>
      <c r="D4040" t="s">
        <v>7139</v>
      </c>
      <c r="E4040">
        <v>1.308529806012004</v>
      </c>
    </row>
    <row r="4041" spans="1:5">
      <c r="A4041" t="s">
        <v>5652</v>
      </c>
      <c r="B4041" t="s">
        <v>970</v>
      </c>
      <c r="C4041" t="s">
        <v>995</v>
      </c>
      <c r="D4041" t="s">
        <v>7007</v>
      </c>
      <c r="E4041">
        <v>19.02701765355948</v>
      </c>
    </row>
    <row r="4042" spans="1:5">
      <c r="A4042" t="s">
        <v>5653</v>
      </c>
      <c r="B4042" t="s">
        <v>970</v>
      </c>
      <c r="C4042" t="s">
        <v>995</v>
      </c>
      <c r="D4042" t="s">
        <v>7140</v>
      </c>
      <c r="E4042">
        <v>17.29617978382405</v>
      </c>
    </row>
    <row r="4043" spans="1:5">
      <c r="A4043" t="s">
        <v>5654</v>
      </c>
      <c r="B4043" t="s">
        <v>970</v>
      </c>
      <c r="C4043" t="s">
        <v>995</v>
      </c>
      <c r="D4043" t="s">
        <v>7141</v>
      </c>
      <c r="E4043">
        <v>11.66729015268778</v>
      </c>
    </row>
    <row r="4044" spans="1:5">
      <c r="A4044" t="s">
        <v>5655</v>
      </c>
      <c r="B4044" t="s">
        <v>970</v>
      </c>
      <c r="C4044" t="s">
        <v>995</v>
      </c>
      <c r="D4044" t="s">
        <v>7142</v>
      </c>
      <c r="E4044">
        <v>11.66729015268778</v>
      </c>
    </row>
    <row r="4045" spans="1:5">
      <c r="A4045" t="s">
        <v>5491</v>
      </c>
      <c r="B4045" t="s">
        <v>970</v>
      </c>
      <c r="C4045" t="s">
        <v>995</v>
      </c>
      <c r="D4045" t="s">
        <v>996</v>
      </c>
      <c r="E4045">
        <v>355.777679</v>
      </c>
    </row>
    <row r="4046" spans="1:5">
      <c r="A4046" t="s">
        <v>5656</v>
      </c>
      <c r="B4046" t="s">
        <v>971</v>
      </c>
      <c r="C4046" t="s">
        <v>995</v>
      </c>
      <c r="D4046" t="s">
        <v>996</v>
      </c>
      <c r="E4046">
        <v>355.694348</v>
      </c>
    </row>
    <row r="4047" spans="1:5">
      <c r="A4047" t="s">
        <v>5657</v>
      </c>
      <c r="B4047" t="s">
        <v>971</v>
      </c>
      <c r="C4047" t="s">
        <v>995</v>
      </c>
      <c r="D4047" t="s">
        <v>7008</v>
      </c>
      <c r="E4047">
        <v>85.06943134354916</v>
      </c>
    </row>
    <row r="4048" spans="1:5">
      <c r="A4048" t="s">
        <v>5658</v>
      </c>
      <c r="B4048" t="s">
        <v>971</v>
      </c>
      <c r="C4048" t="s">
        <v>995</v>
      </c>
      <c r="D4048" t="s">
        <v>7009</v>
      </c>
      <c r="E4048">
        <v>4.85846670937869</v>
      </c>
    </row>
    <row r="4049" spans="1:5">
      <c r="A4049" t="s">
        <v>5659</v>
      </c>
      <c r="B4049" t="s">
        <v>971</v>
      </c>
      <c r="C4049" t="s">
        <v>995</v>
      </c>
      <c r="D4049" t="s">
        <v>7010</v>
      </c>
      <c r="E4049">
        <v>3.78379947480199</v>
      </c>
    </row>
    <row r="4050" spans="1:5">
      <c r="A4050" t="s">
        <v>5660</v>
      </c>
      <c r="B4050" t="s">
        <v>971</v>
      </c>
      <c r="C4050" t="s">
        <v>995</v>
      </c>
      <c r="D4050" t="s">
        <v>7011</v>
      </c>
      <c r="E4050">
        <v>0.8481770604067137</v>
      </c>
    </row>
    <row r="4051" spans="1:5">
      <c r="A4051" t="s">
        <v>5661</v>
      </c>
      <c r="B4051" t="s">
        <v>971</v>
      </c>
      <c r="C4051" t="s">
        <v>995</v>
      </c>
      <c r="D4051" t="s">
        <v>7012</v>
      </c>
      <c r="E4051">
        <v>174.5349372287415</v>
      </c>
    </row>
    <row r="4052" spans="1:5">
      <c r="A4052" t="s">
        <v>5662</v>
      </c>
      <c r="B4052" t="s">
        <v>971</v>
      </c>
      <c r="C4052" t="s">
        <v>995</v>
      </c>
      <c r="D4052" t="s">
        <v>7013</v>
      </c>
      <c r="E4052">
        <v>0.3301745323813334</v>
      </c>
    </row>
    <row r="4053" spans="1:5">
      <c r="A4053" t="s">
        <v>5663</v>
      </c>
      <c r="B4053" t="s">
        <v>971</v>
      </c>
      <c r="C4053" t="s">
        <v>995</v>
      </c>
      <c r="D4053" t="s">
        <v>7014</v>
      </c>
      <c r="E4053">
        <v>0.2099905784107585</v>
      </c>
    </row>
    <row r="4054" spans="1:5">
      <c r="A4054" t="s">
        <v>5664</v>
      </c>
      <c r="B4054" t="s">
        <v>971</v>
      </c>
      <c r="C4054" t="s">
        <v>995</v>
      </c>
      <c r="D4054" t="s">
        <v>6981</v>
      </c>
      <c r="E4054">
        <v>215.3336380460689</v>
      </c>
    </row>
    <row r="4055" spans="1:5">
      <c r="A4055" t="s">
        <v>5665</v>
      </c>
      <c r="B4055" t="s">
        <v>971</v>
      </c>
      <c r="C4055" t="s">
        <v>995</v>
      </c>
      <c r="D4055" t="s">
        <v>7015</v>
      </c>
      <c r="E4055">
        <v>174.5349372287415</v>
      </c>
    </row>
    <row r="4056" spans="1:5">
      <c r="A4056" t="s">
        <v>5666</v>
      </c>
      <c r="B4056" t="s">
        <v>971</v>
      </c>
      <c r="C4056" t="s">
        <v>995</v>
      </c>
      <c r="D4056" t="s">
        <v>7016</v>
      </c>
      <c r="E4056">
        <v>183.6986179261093</v>
      </c>
    </row>
    <row r="4057" spans="1:5">
      <c r="A4057" t="s">
        <v>5667</v>
      </c>
      <c r="B4057" t="s">
        <v>971</v>
      </c>
      <c r="C4057" t="s">
        <v>995</v>
      </c>
      <c r="D4057" t="s">
        <v>7017</v>
      </c>
      <c r="E4057">
        <v>181.8636323197824</v>
      </c>
    </row>
    <row r="4058" spans="1:5">
      <c r="A4058" t="s">
        <v>5668</v>
      </c>
      <c r="B4058" t="s">
        <v>971</v>
      </c>
      <c r="C4058" t="s">
        <v>995</v>
      </c>
      <c r="D4058" t="s">
        <v>7018</v>
      </c>
      <c r="E4058">
        <v>156.2087477410415</v>
      </c>
    </row>
    <row r="4059" spans="1:5">
      <c r="A4059" t="s">
        <v>5669</v>
      </c>
      <c r="B4059" t="s">
        <v>971</v>
      </c>
      <c r="C4059" t="s">
        <v>995</v>
      </c>
      <c r="D4059" t="s">
        <v>7019</v>
      </c>
      <c r="E4059">
        <v>2.536857067863852</v>
      </c>
    </row>
    <row r="4060" spans="1:5">
      <c r="A4060" t="s">
        <v>5670</v>
      </c>
      <c r="B4060" t="s">
        <v>971</v>
      </c>
      <c r="C4060" t="s">
        <v>995</v>
      </c>
      <c r="D4060" t="s">
        <v>997</v>
      </c>
      <c r="E4060">
        <v>181.8636323197824</v>
      </c>
    </row>
    <row r="4061" spans="1:5">
      <c r="A4061" t="s">
        <v>5671</v>
      </c>
      <c r="B4061" t="s">
        <v>971</v>
      </c>
      <c r="C4061" t="s">
        <v>995</v>
      </c>
      <c r="D4061" t="s">
        <v>7020</v>
      </c>
      <c r="E4061">
        <v>830.89848721279</v>
      </c>
    </row>
    <row r="4062" spans="1:5">
      <c r="A4062" t="s">
        <v>5672</v>
      </c>
      <c r="B4062" t="s">
        <v>971</v>
      </c>
      <c r="C4062" t="s">
        <v>995</v>
      </c>
      <c r="D4062" t="s">
        <v>7021</v>
      </c>
      <c r="E4062">
        <v>0.1042999692353893</v>
      </c>
    </row>
    <row r="4063" spans="1:5">
      <c r="A4063" t="s">
        <v>5673</v>
      </c>
      <c r="B4063" t="s">
        <v>971</v>
      </c>
      <c r="C4063" t="s">
        <v>995</v>
      </c>
      <c r="D4063" t="s">
        <v>7022</v>
      </c>
      <c r="E4063">
        <v>312.4173582791037</v>
      </c>
    </row>
    <row r="4064" spans="1:5">
      <c r="A4064" t="s">
        <v>5674</v>
      </c>
      <c r="B4064" t="s">
        <v>971</v>
      </c>
      <c r="C4064" t="s">
        <v>995</v>
      </c>
      <c r="D4064" t="s">
        <v>7023</v>
      </c>
      <c r="E4064">
        <v>241.0459187234732</v>
      </c>
    </row>
    <row r="4065" spans="1:5">
      <c r="A4065" t="s">
        <v>5675</v>
      </c>
      <c r="B4065" t="s">
        <v>971</v>
      </c>
      <c r="C4065" t="s">
        <v>995</v>
      </c>
      <c r="D4065" t="s">
        <v>7024</v>
      </c>
      <c r="E4065">
        <v>45.10830260859993</v>
      </c>
    </row>
    <row r="4066" spans="1:5">
      <c r="A4066" t="s">
        <v>5676</v>
      </c>
      <c r="B4066" t="s">
        <v>971</v>
      </c>
      <c r="C4066" t="s">
        <v>995</v>
      </c>
      <c r="D4066" t="s">
        <v>6982</v>
      </c>
      <c r="E4066">
        <v>60.20052967830032</v>
      </c>
    </row>
    <row r="4067" spans="1:5">
      <c r="A4067" t="s">
        <v>5677</v>
      </c>
      <c r="B4067" t="s">
        <v>971</v>
      </c>
      <c r="C4067" t="s">
        <v>995</v>
      </c>
      <c r="D4067" t="s">
        <v>7025</v>
      </c>
      <c r="E4067">
        <v>312.4173582791037</v>
      </c>
    </row>
    <row r="4068" spans="1:5">
      <c r="A4068" t="s">
        <v>5678</v>
      </c>
      <c r="B4068" t="s">
        <v>971</v>
      </c>
      <c r="C4068" t="s">
        <v>995</v>
      </c>
      <c r="D4068" t="s">
        <v>7026</v>
      </c>
      <c r="E4068">
        <v>3.282278023885896</v>
      </c>
    </row>
    <row r="4069" spans="1:5">
      <c r="A4069" t="s">
        <v>5679</v>
      </c>
      <c r="B4069" t="s">
        <v>971</v>
      </c>
      <c r="C4069" t="s">
        <v>995</v>
      </c>
      <c r="D4069" t="s">
        <v>7027</v>
      </c>
      <c r="E4069">
        <v>22.11980693212308</v>
      </c>
    </row>
    <row r="4070" spans="1:5">
      <c r="A4070" t="s">
        <v>5680</v>
      </c>
      <c r="B4070" t="s">
        <v>971</v>
      </c>
      <c r="C4070" t="s">
        <v>995</v>
      </c>
      <c r="D4070" t="s">
        <v>7028</v>
      </c>
      <c r="E4070">
        <v>107.3800417270318</v>
      </c>
    </row>
    <row r="4071" spans="1:5">
      <c r="A4071" t="s">
        <v>5681</v>
      </c>
      <c r="B4071" t="s">
        <v>971</v>
      </c>
      <c r="C4071" t="s">
        <v>995</v>
      </c>
      <c r="D4071" t="s">
        <v>7029</v>
      </c>
      <c r="E4071">
        <v>156.2087477410415</v>
      </c>
    </row>
    <row r="4072" spans="1:5">
      <c r="A4072" t="s">
        <v>5682</v>
      </c>
      <c r="B4072" t="s">
        <v>971</v>
      </c>
      <c r="C4072" t="s">
        <v>995</v>
      </c>
      <c r="D4072" t="s">
        <v>6983</v>
      </c>
      <c r="E4072">
        <v>219.7780854843443</v>
      </c>
    </row>
    <row r="4073" spans="1:5">
      <c r="A4073" t="s">
        <v>5683</v>
      </c>
      <c r="B4073" t="s">
        <v>971</v>
      </c>
      <c r="C4073" t="s">
        <v>995</v>
      </c>
      <c r="D4073" t="s">
        <v>7030</v>
      </c>
      <c r="E4073">
        <v>0.1347173604107658</v>
      </c>
    </row>
    <row r="4074" spans="1:5">
      <c r="A4074" t="s">
        <v>5684</v>
      </c>
      <c r="B4074" t="s">
        <v>971</v>
      </c>
      <c r="C4074" t="s">
        <v>995</v>
      </c>
      <c r="D4074" t="s">
        <v>6984</v>
      </c>
      <c r="E4074">
        <v>385.9564188925251</v>
      </c>
    </row>
    <row r="4075" spans="1:5">
      <c r="A4075" t="s">
        <v>5685</v>
      </c>
      <c r="B4075" t="s">
        <v>971</v>
      </c>
      <c r="C4075" t="s">
        <v>995</v>
      </c>
      <c r="D4075" t="s">
        <v>7031</v>
      </c>
      <c r="E4075">
        <v>13379.51280797442</v>
      </c>
    </row>
    <row r="4076" spans="1:5">
      <c r="A4076" t="s">
        <v>5686</v>
      </c>
      <c r="B4076" t="s">
        <v>971</v>
      </c>
      <c r="C4076" t="s">
        <v>995</v>
      </c>
      <c r="D4076" t="s">
        <v>7032</v>
      </c>
      <c r="E4076">
        <v>0.338490395597794</v>
      </c>
    </row>
    <row r="4077" spans="1:5">
      <c r="A4077" t="s">
        <v>5687</v>
      </c>
      <c r="B4077" t="s">
        <v>971</v>
      </c>
      <c r="C4077" t="s">
        <v>995</v>
      </c>
      <c r="D4077" t="s">
        <v>7033</v>
      </c>
      <c r="E4077">
        <v>45.97831345453859</v>
      </c>
    </row>
    <row r="4078" spans="1:5">
      <c r="A4078" t="s">
        <v>5688</v>
      </c>
      <c r="B4078" t="s">
        <v>971</v>
      </c>
      <c r="C4078" t="s">
        <v>995</v>
      </c>
      <c r="D4078" t="s">
        <v>6985</v>
      </c>
      <c r="E4078">
        <v>45.93921591090053</v>
      </c>
    </row>
    <row r="4079" spans="1:5">
      <c r="A4079" t="s">
        <v>5689</v>
      </c>
      <c r="B4079" t="s">
        <v>971</v>
      </c>
      <c r="C4079" t="s">
        <v>995</v>
      </c>
      <c r="D4079" t="s">
        <v>7034</v>
      </c>
      <c r="E4079">
        <v>0.09171487648387533</v>
      </c>
    </row>
    <row r="4080" spans="1:5">
      <c r="A4080" t="s">
        <v>5690</v>
      </c>
      <c r="B4080" t="s">
        <v>971</v>
      </c>
      <c r="C4080" t="s">
        <v>995</v>
      </c>
      <c r="D4080" t="s">
        <v>7035</v>
      </c>
      <c r="E4080">
        <v>0.6858783281374315</v>
      </c>
    </row>
    <row r="4081" spans="1:5">
      <c r="A4081" t="s">
        <v>5691</v>
      </c>
      <c r="B4081" t="s">
        <v>971</v>
      </c>
      <c r="C4081" t="s">
        <v>995</v>
      </c>
      <c r="D4081" t="s">
        <v>7036</v>
      </c>
      <c r="E4081">
        <v>13.01739469228798</v>
      </c>
    </row>
    <row r="4082" spans="1:5">
      <c r="A4082" t="s">
        <v>5692</v>
      </c>
      <c r="B4082" t="s">
        <v>971</v>
      </c>
      <c r="C4082" t="s">
        <v>995</v>
      </c>
      <c r="D4082" t="s">
        <v>7037</v>
      </c>
      <c r="E4082">
        <v>3.225813703351018</v>
      </c>
    </row>
    <row r="4083" spans="1:5">
      <c r="A4083" t="s">
        <v>5693</v>
      </c>
      <c r="B4083" t="s">
        <v>971</v>
      </c>
      <c r="C4083" t="s">
        <v>995</v>
      </c>
      <c r="D4083" t="s">
        <v>6986</v>
      </c>
      <c r="E4083">
        <v>14.67289678606065</v>
      </c>
    </row>
    <row r="4084" spans="1:5">
      <c r="A4084" t="s">
        <v>5694</v>
      </c>
      <c r="B4084" t="s">
        <v>971</v>
      </c>
      <c r="C4084" t="s">
        <v>995</v>
      </c>
      <c r="D4084" t="s">
        <v>7038</v>
      </c>
      <c r="E4084">
        <v>1.757909716157466</v>
      </c>
    </row>
    <row r="4085" spans="1:5">
      <c r="A4085" t="s">
        <v>5695</v>
      </c>
      <c r="B4085" t="s">
        <v>971</v>
      </c>
      <c r="C4085" t="s">
        <v>995</v>
      </c>
      <c r="D4085" t="s">
        <v>6987</v>
      </c>
      <c r="E4085">
        <v>47.65752227056531</v>
      </c>
    </row>
    <row r="4086" spans="1:5">
      <c r="A4086" t="s">
        <v>5696</v>
      </c>
      <c r="B4086" t="s">
        <v>971</v>
      </c>
      <c r="C4086" t="s">
        <v>995</v>
      </c>
      <c r="D4086" t="s">
        <v>7039</v>
      </c>
      <c r="E4086">
        <v>5.250462448802933</v>
      </c>
    </row>
    <row r="4087" spans="1:5">
      <c r="A4087" t="s">
        <v>5697</v>
      </c>
      <c r="B4087" t="s">
        <v>971</v>
      </c>
      <c r="C4087" t="s">
        <v>995</v>
      </c>
      <c r="D4087" t="s">
        <v>7040</v>
      </c>
      <c r="E4087">
        <v>2.34377544827411</v>
      </c>
    </row>
    <row r="4088" spans="1:5">
      <c r="A4088" t="s">
        <v>5698</v>
      </c>
      <c r="B4088" t="s">
        <v>971</v>
      </c>
      <c r="C4088" t="s">
        <v>995</v>
      </c>
      <c r="D4088" t="s">
        <v>7041</v>
      </c>
      <c r="E4088">
        <v>6.36343566509935</v>
      </c>
    </row>
    <row r="4089" spans="1:5">
      <c r="A4089" t="s">
        <v>5699</v>
      </c>
      <c r="B4089" t="s">
        <v>971</v>
      </c>
      <c r="C4089" t="s">
        <v>995</v>
      </c>
      <c r="D4089" t="s">
        <v>7042</v>
      </c>
      <c r="E4089">
        <v>20.82783120276517</v>
      </c>
    </row>
    <row r="4090" spans="1:5">
      <c r="A4090" t="s">
        <v>5700</v>
      </c>
      <c r="B4090" t="s">
        <v>971</v>
      </c>
      <c r="C4090" t="s">
        <v>995</v>
      </c>
      <c r="D4090" t="s">
        <v>7043</v>
      </c>
      <c r="E4090">
        <v>1.916752380772807</v>
      </c>
    </row>
    <row r="4091" spans="1:5">
      <c r="A4091" t="s">
        <v>5701</v>
      </c>
      <c r="B4091" t="s">
        <v>971</v>
      </c>
      <c r="C4091" t="s">
        <v>995</v>
      </c>
      <c r="D4091" t="s">
        <v>7044</v>
      </c>
      <c r="E4091">
        <v>139.3539811914191</v>
      </c>
    </row>
    <row r="4092" spans="1:5">
      <c r="A4092" t="s">
        <v>5702</v>
      </c>
      <c r="B4092" t="s">
        <v>971</v>
      </c>
      <c r="C4092" t="s">
        <v>995</v>
      </c>
      <c r="D4092" t="s">
        <v>7045</v>
      </c>
      <c r="E4092">
        <v>414.5013063349671</v>
      </c>
    </row>
    <row r="4093" spans="1:5">
      <c r="A4093" t="s">
        <v>5703</v>
      </c>
      <c r="B4093" t="s">
        <v>971</v>
      </c>
      <c r="C4093" t="s">
        <v>995</v>
      </c>
      <c r="D4093" t="s">
        <v>7046</v>
      </c>
      <c r="E4093">
        <v>47.65753504130542</v>
      </c>
    </row>
    <row r="4094" spans="1:5">
      <c r="A4094" t="s">
        <v>5704</v>
      </c>
      <c r="B4094" t="s">
        <v>971</v>
      </c>
      <c r="C4094" t="s">
        <v>995</v>
      </c>
      <c r="D4094" t="s">
        <v>6988</v>
      </c>
      <c r="E4094">
        <v>414.49985724757</v>
      </c>
    </row>
    <row r="4095" spans="1:5">
      <c r="A4095" t="s">
        <v>5705</v>
      </c>
      <c r="B4095" t="s">
        <v>971</v>
      </c>
      <c r="C4095" t="s">
        <v>995</v>
      </c>
      <c r="D4095" t="s">
        <v>7047</v>
      </c>
      <c r="E4095">
        <v>118.1407754236711</v>
      </c>
    </row>
    <row r="4096" spans="1:5">
      <c r="A4096" t="s">
        <v>5706</v>
      </c>
      <c r="B4096" t="s">
        <v>971</v>
      </c>
      <c r="C4096" t="s">
        <v>995</v>
      </c>
      <c r="D4096" t="s">
        <v>7048</v>
      </c>
      <c r="E4096">
        <v>414.5013063349671</v>
      </c>
    </row>
    <row r="4097" spans="1:5">
      <c r="A4097" t="s">
        <v>5707</v>
      </c>
      <c r="B4097" t="s">
        <v>971</v>
      </c>
      <c r="C4097" t="s">
        <v>995</v>
      </c>
      <c r="D4097" t="s">
        <v>7049</v>
      </c>
      <c r="E4097">
        <v>27.47663660848407</v>
      </c>
    </row>
    <row r="4098" spans="1:5">
      <c r="A4098" t="s">
        <v>5708</v>
      </c>
      <c r="B4098" t="s">
        <v>971</v>
      </c>
      <c r="C4098" t="s">
        <v>995</v>
      </c>
      <c r="D4098" t="s">
        <v>7050</v>
      </c>
      <c r="E4098">
        <v>414.5013063349671</v>
      </c>
    </row>
    <row r="4099" spans="1:5">
      <c r="A4099" t="s">
        <v>5709</v>
      </c>
      <c r="B4099" t="s">
        <v>971</v>
      </c>
      <c r="C4099" t="s">
        <v>995</v>
      </c>
      <c r="D4099" t="s">
        <v>7051</v>
      </c>
      <c r="E4099">
        <v>4.199714386546815</v>
      </c>
    </row>
    <row r="4100" spans="1:5">
      <c r="A4100" t="s">
        <v>5710</v>
      </c>
      <c r="B4100" t="s">
        <v>971</v>
      </c>
      <c r="C4100" t="s">
        <v>995</v>
      </c>
      <c r="D4100" t="s">
        <v>7052</v>
      </c>
      <c r="E4100">
        <v>0.03553062978817469</v>
      </c>
    </row>
    <row r="4101" spans="1:5">
      <c r="A4101" t="s">
        <v>5711</v>
      </c>
      <c r="B4101" t="s">
        <v>971</v>
      </c>
      <c r="C4101" t="s">
        <v>995</v>
      </c>
      <c r="D4101" t="s">
        <v>7053</v>
      </c>
      <c r="E4101">
        <v>40.96014642247106</v>
      </c>
    </row>
    <row r="4102" spans="1:5">
      <c r="A4102" t="s">
        <v>5712</v>
      </c>
      <c r="B4102" t="s">
        <v>971</v>
      </c>
      <c r="C4102" t="s">
        <v>995</v>
      </c>
      <c r="D4102" t="s">
        <v>7054</v>
      </c>
      <c r="E4102">
        <v>1.491007174499316</v>
      </c>
    </row>
    <row r="4103" spans="1:5">
      <c r="A4103" t="s">
        <v>5713</v>
      </c>
      <c r="B4103" t="s">
        <v>971</v>
      </c>
      <c r="C4103" t="s">
        <v>995</v>
      </c>
      <c r="D4103" t="s">
        <v>6989</v>
      </c>
      <c r="E4103">
        <v>39.83735394231433</v>
      </c>
    </row>
    <row r="4104" spans="1:5">
      <c r="A4104" t="s">
        <v>5714</v>
      </c>
      <c r="B4104" t="s">
        <v>971</v>
      </c>
      <c r="C4104" t="s">
        <v>995</v>
      </c>
      <c r="D4104" t="s">
        <v>7055</v>
      </c>
      <c r="E4104">
        <v>11.67560255617369</v>
      </c>
    </row>
    <row r="4105" spans="1:5">
      <c r="A4105" t="s">
        <v>5715</v>
      </c>
      <c r="B4105" t="s">
        <v>971</v>
      </c>
      <c r="C4105" t="s">
        <v>995</v>
      </c>
      <c r="D4105" t="s">
        <v>7056</v>
      </c>
      <c r="E4105">
        <v>47.20875280376932</v>
      </c>
    </row>
    <row r="4106" spans="1:5">
      <c r="A4106" t="s">
        <v>5716</v>
      </c>
      <c r="B4106" t="s">
        <v>971</v>
      </c>
      <c r="C4106" t="s">
        <v>995</v>
      </c>
      <c r="D4106" t="s">
        <v>7057</v>
      </c>
      <c r="E4106">
        <v>2.385408893244764</v>
      </c>
    </row>
    <row r="4107" spans="1:5">
      <c r="A4107" t="s">
        <v>5717</v>
      </c>
      <c r="B4107" t="s">
        <v>971</v>
      </c>
      <c r="C4107" t="s">
        <v>995</v>
      </c>
      <c r="D4107" t="s">
        <v>6990</v>
      </c>
      <c r="E4107">
        <v>0.01740792665043209</v>
      </c>
    </row>
    <row r="4108" spans="1:5">
      <c r="A4108" t="s">
        <v>5718</v>
      </c>
      <c r="B4108" t="s">
        <v>971</v>
      </c>
      <c r="C4108" t="s">
        <v>995</v>
      </c>
      <c r="D4108" t="s">
        <v>6991</v>
      </c>
      <c r="E4108">
        <v>104.7725889108367</v>
      </c>
    </row>
    <row r="4109" spans="1:5">
      <c r="A4109" t="s">
        <v>5719</v>
      </c>
      <c r="B4109" t="s">
        <v>971</v>
      </c>
      <c r="C4109" t="s">
        <v>995</v>
      </c>
      <c r="D4109" t="s">
        <v>7058</v>
      </c>
      <c r="E4109">
        <v>414.5013063349671</v>
      </c>
    </row>
    <row r="4110" spans="1:5">
      <c r="A4110" t="s">
        <v>5720</v>
      </c>
      <c r="B4110" t="s">
        <v>971</v>
      </c>
      <c r="C4110" t="s">
        <v>995</v>
      </c>
      <c r="D4110" t="s">
        <v>6992</v>
      </c>
      <c r="E4110">
        <v>3.283205074924355</v>
      </c>
    </row>
    <row r="4111" spans="1:5">
      <c r="A4111" t="s">
        <v>5721</v>
      </c>
      <c r="B4111" t="s">
        <v>971</v>
      </c>
      <c r="C4111" t="s">
        <v>995</v>
      </c>
      <c r="D4111" t="s">
        <v>7059</v>
      </c>
      <c r="E4111">
        <v>0.2380344338735697</v>
      </c>
    </row>
    <row r="4112" spans="1:5">
      <c r="A4112" t="s">
        <v>5722</v>
      </c>
      <c r="B4112" t="s">
        <v>971</v>
      </c>
      <c r="C4112" t="s">
        <v>995</v>
      </c>
      <c r="D4112" t="s">
        <v>7060</v>
      </c>
      <c r="E4112">
        <v>0.0002269191747228033</v>
      </c>
    </row>
    <row r="4113" spans="1:5">
      <c r="A4113" t="s">
        <v>5723</v>
      </c>
      <c r="B4113" t="s">
        <v>971</v>
      </c>
      <c r="C4113" t="s">
        <v>995</v>
      </c>
      <c r="D4113" t="s">
        <v>6993</v>
      </c>
      <c r="E4113">
        <v>2.473552976505859</v>
      </c>
    </row>
    <row r="4114" spans="1:5">
      <c r="A4114" t="s">
        <v>5724</v>
      </c>
      <c r="B4114" t="s">
        <v>971</v>
      </c>
      <c r="C4114" t="s">
        <v>995</v>
      </c>
      <c r="D4114" t="s">
        <v>7061</v>
      </c>
      <c r="E4114">
        <v>414.5013063349671</v>
      </c>
    </row>
    <row r="4115" spans="1:5">
      <c r="A4115" t="s">
        <v>5725</v>
      </c>
      <c r="B4115" t="s">
        <v>971</v>
      </c>
      <c r="C4115" t="s">
        <v>995</v>
      </c>
      <c r="D4115" t="s">
        <v>7062</v>
      </c>
      <c r="E4115">
        <v>1.979289932448605</v>
      </c>
    </row>
    <row r="4116" spans="1:5">
      <c r="A4116" t="s">
        <v>5726</v>
      </c>
      <c r="B4116" t="s">
        <v>971</v>
      </c>
      <c r="C4116" t="s">
        <v>995</v>
      </c>
      <c r="D4116" t="s">
        <v>7063</v>
      </c>
      <c r="E4116">
        <v>440.6449697911208</v>
      </c>
    </row>
    <row r="4117" spans="1:5">
      <c r="A4117" t="s">
        <v>5727</v>
      </c>
      <c r="B4117" t="s">
        <v>971</v>
      </c>
      <c r="C4117" t="s">
        <v>995</v>
      </c>
      <c r="D4117" t="s">
        <v>6994</v>
      </c>
      <c r="E4117">
        <v>1.921725280948463</v>
      </c>
    </row>
    <row r="4118" spans="1:5">
      <c r="A4118" t="s">
        <v>5728</v>
      </c>
      <c r="B4118" t="s">
        <v>971</v>
      </c>
      <c r="C4118" t="s">
        <v>995</v>
      </c>
      <c r="D4118" t="s">
        <v>7064</v>
      </c>
      <c r="E4118">
        <v>2.414025186616545</v>
      </c>
    </row>
    <row r="4119" spans="1:5">
      <c r="A4119" t="s">
        <v>5729</v>
      </c>
      <c r="B4119" t="s">
        <v>971</v>
      </c>
      <c r="C4119" t="s">
        <v>995</v>
      </c>
      <c r="D4119" t="s">
        <v>7065</v>
      </c>
      <c r="E4119">
        <v>3.567657512275113</v>
      </c>
    </row>
    <row r="4120" spans="1:5">
      <c r="A4120" t="s">
        <v>5730</v>
      </c>
      <c r="B4120" t="s">
        <v>971</v>
      </c>
      <c r="C4120" t="s">
        <v>995</v>
      </c>
      <c r="D4120" t="s">
        <v>7066</v>
      </c>
      <c r="E4120">
        <v>0.07698134880615189</v>
      </c>
    </row>
    <row r="4121" spans="1:5">
      <c r="A4121" t="s">
        <v>5731</v>
      </c>
      <c r="B4121" t="s">
        <v>971</v>
      </c>
      <c r="C4121" t="s">
        <v>995</v>
      </c>
      <c r="D4121" t="s">
        <v>7067</v>
      </c>
      <c r="E4121">
        <v>215.3338987678492</v>
      </c>
    </row>
    <row r="4122" spans="1:5">
      <c r="A4122" t="s">
        <v>5732</v>
      </c>
      <c r="B4122" t="s">
        <v>971</v>
      </c>
      <c r="C4122" t="s">
        <v>995</v>
      </c>
      <c r="D4122" t="s">
        <v>7068</v>
      </c>
      <c r="E4122">
        <v>0.7230033838600193</v>
      </c>
    </row>
    <row r="4123" spans="1:5">
      <c r="A4123" t="s">
        <v>5733</v>
      </c>
      <c r="B4123" t="s">
        <v>971</v>
      </c>
      <c r="C4123" t="s">
        <v>995</v>
      </c>
      <c r="D4123" t="s">
        <v>6995</v>
      </c>
      <c r="E4123">
        <v>0.2008294254949758</v>
      </c>
    </row>
    <row r="4124" spans="1:5">
      <c r="A4124" t="s">
        <v>5734</v>
      </c>
      <c r="B4124" t="s">
        <v>971</v>
      </c>
      <c r="C4124" t="s">
        <v>995</v>
      </c>
      <c r="D4124" t="s">
        <v>7069</v>
      </c>
      <c r="E4124">
        <v>1009.818269569266</v>
      </c>
    </row>
    <row r="4125" spans="1:5">
      <c r="A4125" t="s">
        <v>5735</v>
      </c>
      <c r="B4125" t="s">
        <v>971</v>
      </c>
      <c r="C4125" t="s">
        <v>995</v>
      </c>
      <c r="D4125" t="s">
        <v>7070</v>
      </c>
      <c r="E4125">
        <v>374.9012909372997</v>
      </c>
    </row>
    <row r="4126" spans="1:5">
      <c r="A4126" t="s">
        <v>5736</v>
      </c>
      <c r="B4126" t="s">
        <v>971</v>
      </c>
      <c r="C4126" t="s">
        <v>995</v>
      </c>
      <c r="D4126" t="s">
        <v>7071</v>
      </c>
      <c r="E4126">
        <v>0.6518224478320769</v>
      </c>
    </row>
    <row r="4127" spans="1:5">
      <c r="A4127" t="s">
        <v>5737</v>
      </c>
      <c r="B4127" t="s">
        <v>971</v>
      </c>
      <c r="C4127" t="s">
        <v>995</v>
      </c>
      <c r="D4127" t="s">
        <v>7072</v>
      </c>
      <c r="E4127">
        <v>0.01403880639936787</v>
      </c>
    </row>
    <row r="4128" spans="1:5">
      <c r="A4128" t="s">
        <v>5738</v>
      </c>
      <c r="B4128" t="s">
        <v>971</v>
      </c>
      <c r="C4128" t="s">
        <v>995</v>
      </c>
      <c r="D4128" t="s">
        <v>7073</v>
      </c>
      <c r="E4128">
        <v>0.003490698020761415</v>
      </c>
    </row>
    <row r="4129" spans="1:5">
      <c r="A4129" t="s">
        <v>5739</v>
      </c>
      <c r="B4129" t="s">
        <v>971</v>
      </c>
      <c r="C4129" t="s">
        <v>995</v>
      </c>
      <c r="D4129" t="s">
        <v>7074</v>
      </c>
      <c r="E4129">
        <v>0.9293787178042008</v>
      </c>
    </row>
    <row r="4130" spans="1:5">
      <c r="A4130" t="s">
        <v>5740</v>
      </c>
      <c r="B4130" t="s">
        <v>971</v>
      </c>
      <c r="C4130" t="s">
        <v>995</v>
      </c>
      <c r="D4130" t="s">
        <v>7075</v>
      </c>
      <c r="E4130">
        <v>1.721787499602826</v>
      </c>
    </row>
    <row r="4131" spans="1:5">
      <c r="A4131" t="s">
        <v>5741</v>
      </c>
      <c r="B4131" t="s">
        <v>971</v>
      </c>
      <c r="C4131" t="s">
        <v>995</v>
      </c>
      <c r="D4131" t="s">
        <v>7076</v>
      </c>
      <c r="E4131">
        <v>19.04496154778833</v>
      </c>
    </row>
    <row r="4132" spans="1:5">
      <c r="A4132" t="s">
        <v>5742</v>
      </c>
      <c r="B4132" t="s">
        <v>971</v>
      </c>
      <c r="C4132" t="s">
        <v>995</v>
      </c>
      <c r="D4132" t="s">
        <v>7077</v>
      </c>
      <c r="E4132">
        <v>48.64917383992375</v>
      </c>
    </row>
    <row r="4133" spans="1:5">
      <c r="A4133" t="s">
        <v>5743</v>
      </c>
      <c r="B4133" t="s">
        <v>971</v>
      </c>
      <c r="C4133" t="s">
        <v>995</v>
      </c>
      <c r="D4133" t="s">
        <v>7078</v>
      </c>
      <c r="E4133">
        <v>33.21603240188134</v>
      </c>
    </row>
    <row r="4134" spans="1:5">
      <c r="A4134" t="s">
        <v>5744</v>
      </c>
      <c r="B4134" t="s">
        <v>971</v>
      </c>
      <c r="C4134" t="s">
        <v>995</v>
      </c>
      <c r="D4134" t="s">
        <v>7079</v>
      </c>
      <c r="E4134">
        <v>17.71361847815239</v>
      </c>
    </row>
    <row r="4135" spans="1:5">
      <c r="A4135" t="s">
        <v>5745</v>
      </c>
      <c r="B4135" t="s">
        <v>971</v>
      </c>
      <c r="C4135" t="s">
        <v>995</v>
      </c>
      <c r="D4135" t="s">
        <v>7080</v>
      </c>
      <c r="E4135">
        <v>0.07372291821839087</v>
      </c>
    </row>
    <row r="4136" spans="1:5">
      <c r="A4136" t="s">
        <v>5746</v>
      </c>
      <c r="B4136" t="s">
        <v>971</v>
      </c>
      <c r="C4136" t="s">
        <v>995</v>
      </c>
      <c r="D4136" t="s">
        <v>7081</v>
      </c>
      <c r="E4136">
        <v>5.765675901296285</v>
      </c>
    </row>
    <row r="4137" spans="1:5">
      <c r="A4137" t="s">
        <v>5747</v>
      </c>
      <c r="B4137" t="s">
        <v>971</v>
      </c>
      <c r="C4137" t="s">
        <v>995</v>
      </c>
      <c r="D4137" t="s">
        <v>7082</v>
      </c>
      <c r="E4137">
        <v>0.1489169051566025</v>
      </c>
    </row>
    <row r="4138" spans="1:5">
      <c r="A4138" t="s">
        <v>5748</v>
      </c>
      <c r="B4138" t="s">
        <v>971</v>
      </c>
      <c r="C4138" t="s">
        <v>995</v>
      </c>
      <c r="D4138" t="s">
        <v>7083</v>
      </c>
      <c r="E4138">
        <v>0.08664286950411222</v>
      </c>
    </row>
    <row r="4139" spans="1:5">
      <c r="A4139" t="s">
        <v>5749</v>
      </c>
      <c r="B4139" t="s">
        <v>971</v>
      </c>
      <c r="C4139" t="s">
        <v>995</v>
      </c>
      <c r="D4139" t="s">
        <v>7084</v>
      </c>
      <c r="E4139">
        <v>38.67692877471131</v>
      </c>
    </row>
    <row r="4140" spans="1:5">
      <c r="A4140" t="s">
        <v>5750</v>
      </c>
      <c r="B4140" t="s">
        <v>971</v>
      </c>
      <c r="C4140" t="s">
        <v>995</v>
      </c>
      <c r="D4140" t="s">
        <v>7085</v>
      </c>
      <c r="E4140">
        <v>7.814619859169393</v>
      </c>
    </row>
    <row r="4141" spans="1:5">
      <c r="A4141" t="s">
        <v>5751</v>
      </c>
      <c r="B4141" t="s">
        <v>971</v>
      </c>
      <c r="C4141" t="s">
        <v>995</v>
      </c>
      <c r="D4141" t="s">
        <v>7086</v>
      </c>
      <c r="E4141">
        <v>6.625279488047187</v>
      </c>
    </row>
    <row r="4142" spans="1:5">
      <c r="A4142" t="s">
        <v>5752</v>
      </c>
      <c r="B4142" t="s">
        <v>971</v>
      </c>
      <c r="C4142" t="s">
        <v>995</v>
      </c>
      <c r="D4142" t="s">
        <v>7087</v>
      </c>
      <c r="E4142">
        <v>20.20562506955202</v>
      </c>
    </row>
    <row r="4143" spans="1:5">
      <c r="A4143" t="s">
        <v>5753</v>
      </c>
      <c r="B4143" t="s">
        <v>971</v>
      </c>
      <c r="C4143" t="s">
        <v>995</v>
      </c>
      <c r="D4143" t="s">
        <v>7088</v>
      </c>
      <c r="E4143">
        <v>0.1791066129255105</v>
      </c>
    </row>
    <row r="4144" spans="1:5">
      <c r="A4144" t="s">
        <v>5754</v>
      </c>
      <c r="B4144" t="s">
        <v>971</v>
      </c>
      <c r="C4144" t="s">
        <v>995</v>
      </c>
      <c r="D4144" t="s">
        <v>6996</v>
      </c>
      <c r="E4144">
        <v>17.81073710583792</v>
      </c>
    </row>
    <row r="4145" spans="1:5">
      <c r="A4145" t="s">
        <v>5755</v>
      </c>
      <c r="B4145" t="s">
        <v>971</v>
      </c>
      <c r="C4145" t="s">
        <v>995</v>
      </c>
      <c r="D4145" t="s">
        <v>6997</v>
      </c>
      <c r="E4145">
        <v>76.3035354390183</v>
      </c>
    </row>
    <row r="4146" spans="1:5">
      <c r="A4146" t="s">
        <v>5756</v>
      </c>
      <c r="B4146" t="s">
        <v>971</v>
      </c>
      <c r="C4146" t="s">
        <v>995</v>
      </c>
      <c r="D4146" t="s">
        <v>7089</v>
      </c>
      <c r="E4146">
        <v>4.89016259079734</v>
      </c>
    </row>
    <row r="4147" spans="1:5">
      <c r="A4147" t="s">
        <v>5757</v>
      </c>
      <c r="B4147" t="s">
        <v>971</v>
      </c>
      <c r="C4147" t="s">
        <v>995</v>
      </c>
      <c r="D4147" t="s">
        <v>7090</v>
      </c>
      <c r="E4147">
        <v>19.04496154778833</v>
      </c>
    </row>
    <row r="4148" spans="1:5">
      <c r="A4148" t="s">
        <v>5758</v>
      </c>
      <c r="B4148" t="s">
        <v>971</v>
      </c>
      <c r="C4148" t="s">
        <v>995</v>
      </c>
      <c r="D4148" t="s">
        <v>7091</v>
      </c>
      <c r="E4148">
        <v>0.2276065939073461</v>
      </c>
    </row>
    <row r="4149" spans="1:5">
      <c r="A4149" t="s">
        <v>5759</v>
      </c>
      <c r="B4149" t="s">
        <v>971</v>
      </c>
      <c r="C4149" t="s">
        <v>995</v>
      </c>
      <c r="D4149" t="s">
        <v>7092</v>
      </c>
      <c r="E4149">
        <v>8.488713780962073</v>
      </c>
    </row>
    <row r="4150" spans="1:5">
      <c r="A4150" t="s">
        <v>5760</v>
      </c>
      <c r="B4150" t="s">
        <v>971</v>
      </c>
      <c r="C4150" t="s">
        <v>995</v>
      </c>
      <c r="D4150" t="s">
        <v>6998</v>
      </c>
      <c r="E4150">
        <v>31.4887982817838</v>
      </c>
    </row>
    <row r="4151" spans="1:5">
      <c r="A4151" t="s">
        <v>5761</v>
      </c>
      <c r="B4151" t="s">
        <v>971</v>
      </c>
      <c r="C4151" t="s">
        <v>995</v>
      </c>
      <c r="D4151" t="s">
        <v>7093</v>
      </c>
      <c r="E4151">
        <v>2.051423753097349</v>
      </c>
    </row>
    <row r="4152" spans="1:5">
      <c r="A4152" t="s">
        <v>5762</v>
      </c>
      <c r="B4152" t="s">
        <v>971</v>
      </c>
      <c r="C4152" t="s">
        <v>995</v>
      </c>
      <c r="D4152" t="s">
        <v>6999</v>
      </c>
      <c r="E4152">
        <v>177.3485585276994</v>
      </c>
    </row>
    <row r="4153" spans="1:5">
      <c r="A4153" t="s">
        <v>5763</v>
      </c>
      <c r="B4153" t="s">
        <v>971</v>
      </c>
      <c r="C4153" t="s">
        <v>995</v>
      </c>
      <c r="D4153" t="s">
        <v>7094</v>
      </c>
      <c r="E4153">
        <v>812.5346320692436</v>
      </c>
    </row>
    <row r="4154" spans="1:5">
      <c r="A4154" t="s">
        <v>5764</v>
      </c>
      <c r="B4154" t="s">
        <v>971</v>
      </c>
      <c r="C4154" t="s">
        <v>995</v>
      </c>
      <c r="D4154" t="s">
        <v>7095</v>
      </c>
      <c r="E4154">
        <v>312.4173582791037</v>
      </c>
    </row>
    <row r="4155" spans="1:5">
      <c r="A4155" t="s">
        <v>5765</v>
      </c>
      <c r="B4155" t="s">
        <v>971</v>
      </c>
      <c r="C4155" t="s">
        <v>995</v>
      </c>
      <c r="D4155" t="s">
        <v>7096</v>
      </c>
      <c r="E4155">
        <v>91.42386984858661</v>
      </c>
    </row>
    <row r="4156" spans="1:5">
      <c r="A4156" t="s">
        <v>5766</v>
      </c>
      <c r="B4156" t="s">
        <v>971</v>
      </c>
      <c r="C4156" t="s">
        <v>995</v>
      </c>
      <c r="D4156" t="s">
        <v>7097</v>
      </c>
      <c r="E4156">
        <v>71.15584738518611</v>
      </c>
    </row>
    <row r="4157" spans="1:5">
      <c r="A4157" t="s">
        <v>5767</v>
      </c>
      <c r="B4157" t="s">
        <v>971</v>
      </c>
      <c r="C4157" t="s">
        <v>995</v>
      </c>
      <c r="D4157" t="s">
        <v>7000</v>
      </c>
      <c r="E4157">
        <v>5.070564331843531</v>
      </c>
    </row>
    <row r="4158" spans="1:5">
      <c r="A4158" t="s">
        <v>5768</v>
      </c>
      <c r="B4158" t="s">
        <v>971</v>
      </c>
      <c r="C4158" t="s">
        <v>995</v>
      </c>
      <c r="D4158" t="s">
        <v>7098</v>
      </c>
      <c r="E4158">
        <v>1.123374831044204</v>
      </c>
    </row>
    <row r="4159" spans="1:5">
      <c r="A4159" t="s">
        <v>5769</v>
      </c>
      <c r="B4159" t="s">
        <v>971</v>
      </c>
      <c r="C4159" t="s">
        <v>995</v>
      </c>
      <c r="D4159" t="s">
        <v>7001</v>
      </c>
      <c r="E4159">
        <v>82.84085243823111</v>
      </c>
    </row>
    <row r="4160" spans="1:5">
      <c r="A4160" t="s">
        <v>5770</v>
      </c>
      <c r="B4160" t="s">
        <v>971</v>
      </c>
      <c r="C4160" t="s">
        <v>995</v>
      </c>
      <c r="D4160" t="s">
        <v>7099</v>
      </c>
      <c r="E4160">
        <v>0.05153387308033341</v>
      </c>
    </row>
    <row r="4161" spans="1:5">
      <c r="A4161" t="s">
        <v>5771</v>
      </c>
      <c r="B4161" t="s">
        <v>971</v>
      </c>
      <c r="C4161" t="s">
        <v>995</v>
      </c>
      <c r="D4161" t="s">
        <v>7100</v>
      </c>
      <c r="E4161">
        <v>85.82898020424581</v>
      </c>
    </row>
    <row r="4162" spans="1:5">
      <c r="A4162" t="s">
        <v>5772</v>
      </c>
      <c r="B4162" t="s">
        <v>971</v>
      </c>
      <c r="C4162" t="s">
        <v>995</v>
      </c>
      <c r="D4162" t="s">
        <v>7002</v>
      </c>
      <c r="E4162">
        <v>67.90837321446539</v>
      </c>
    </row>
    <row r="4163" spans="1:5">
      <c r="A4163" t="s">
        <v>5773</v>
      </c>
      <c r="B4163" t="s">
        <v>971</v>
      </c>
      <c r="C4163" t="s">
        <v>995</v>
      </c>
      <c r="D4163" t="s">
        <v>7101</v>
      </c>
      <c r="E4163">
        <v>3.031395271401628</v>
      </c>
    </row>
    <row r="4164" spans="1:5">
      <c r="A4164" t="s">
        <v>5774</v>
      </c>
      <c r="B4164" t="s">
        <v>971</v>
      </c>
      <c r="C4164" t="s">
        <v>995</v>
      </c>
      <c r="D4164" t="s">
        <v>7102</v>
      </c>
      <c r="E4164">
        <v>4.01179791856902</v>
      </c>
    </row>
    <row r="4165" spans="1:5">
      <c r="A4165" t="s">
        <v>5775</v>
      </c>
      <c r="B4165" t="s">
        <v>971</v>
      </c>
      <c r="C4165" t="s">
        <v>995</v>
      </c>
      <c r="D4165" t="s">
        <v>7103</v>
      </c>
      <c r="E4165">
        <v>0.2125488748726092</v>
      </c>
    </row>
    <row r="4166" spans="1:5">
      <c r="A4166" t="s">
        <v>5776</v>
      </c>
      <c r="B4166" t="s">
        <v>971</v>
      </c>
      <c r="C4166" t="s">
        <v>995</v>
      </c>
      <c r="D4166" t="s">
        <v>7104</v>
      </c>
      <c r="E4166">
        <v>83.31131993273155</v>
      </c>
    </row>
    <row r="4167" spans="1:5">
      <c r="A4167" t="s">
        <v>5777</v>
      </c>
      <c r="B4167" t="s">
        <v>971</v>
      </c>
      <c r="C4167" t="s">
        <v>995</v>
      </c>
      <c r="D4167" t="s">
        <v>7105</v>
      </c>
      <c r="E4167">
        <v>39.12353399907826</v>
      </c>
    </row>
    <row r="4168" spans="1:5">
      <c r="A4168" t="s">
        <v>5778</v>
      </c>
      <c r="B4168" t="s">
        <v>971</v>
      </c>
      <c r="C4168" t="s">
        <v>995</v>
      </c>
      <c r="D4168" t="s">
        <v>7106</v>
      </c>
      <c r="E4168">
        <v>21.24967697827062</v>
      </c>
    </row>
    <row r="4169" spans="1:5">
      <c r="A4169" t="s">
        <v>5779</v>
      </c>
      <c r="B4169" t="s">
        <v>971</v>
      </c>
      <c r="C4169" t="s">
        <v>995</v>
      </c>
      <c r="D4169" t="s">
        <v>7107</v>
      </c>
      <c r="E4169">
        <v>0.6978967015357187</v>
      </c>
    </row>
    <row r="4170" spans="1:5">
      <c r="A4170" t="s">
        <v>5780</v>
      </c>
      <c r="B4170" t="s">
        <v>971</v>
      </c>
      <c r="C4170" t="s">
        <v>995</v>
      </c>
      <c r="D4170" t="s">
        <v>7003</v>
      </c>
      <c r="E4170">
        <v>32.11110709878895</v>
      </c>
    </row>
    <row r="4171" spans="1:5">
      <c r="A4171" t="s">
        <v>5781</v>
      </c>
      <c r="B4171" t="s">
        <v>971</v>
      </c>
      <c r="C4171" t="s">
        <v>995</v>
      </c>
      <c r="D4171" t="s">
        <v>7004</v>
      </c>
      <c r="E4171">
        <v>241.0986927457761</v>
      </c>
    </row>
    <row r="4172" spans="1:5">
      <c r="A4172" t="s">
        <v>5782</v>
      </c>
      <c r="B4172" t="s">
        <v>971</v>
      </c>
      <c r="C4172" t="s">
        <v>995</v>
      </c>
      <c r="D4172" t="s">
        <v>7108</v>
      </c>
      <c r="E4172">
        <v>414.5013063349671</v>
      </c>
    </row>
    <row r="4173" spans="1:5">
      <c r="A4173" t="s">
        <v>5783</v>
      </c>
      <c r="B4173" t="s">
        <v>971</v>
      </c>
      <c r="C4173" t="s">
        <v>995</v>
      </c>
      <c r="D4173" t="s">
        <v>7109</v>
      </c>
      <c r="E4173">
        <v>12.82760955122128</v>
      </c>
    </row>
    <row r="4174" spans="1:5">
      <c r="A4174" t="s">
        <v>5784</v>
      </c>
      <c r="B4174" t="s">
        <v>971</v>
      </c>
      <c r="C4174" t="s">
        <v>995</v>
      </c>
      <c r="D4174" t="s">
        <v>7110</v>
      </c>
      <c r="E4174">
        <v>0.01282740594754346</v>
      </c>
    </row>
    <row r="4175" spans="1:5">
      <c r="A4175" t="s">
        <v>5785</v>
      </c>
      <c r="B4175" t="s">
        <v>971</v>
      </c>
      <c r="C4175" t="s">
        <v>995</v>
      </c>
      <c r="D4175" t="s">
        <v>7111</v>
      </c>
      <c r="E4175">
        <v>0.5459598290004541</v>
      </c>
    </row>
    <row r="4176" spans="1:5">
      <c r="A4176" t="s">
        <v>5786</v>
      </c>
      <c r="B4176" t="s">
        <v>971</v>
      </c>
      <c r="C4176" t="s">
        <v>995</v>
      </c>
      <c r="D4176" t="s">
        <v>7112</v>
      </c>
      <c r="E4176">
        <v>8.295753222865045</v>
      </c>
    </row>
    <row r="4177" spans="1:5">
      <c r="A4177" t="s">
        <v>5787</v>
      </c>
      <c r="B4177" t="s">
        <v>971</v>
      </c>
      <c r="C4177" t="s">
        <v>995</v>
      </c>
      <c r="D4177" t="s">
        <v>7113</v>
      </c>
      <c r="E4177">
        <v>0.06623606348966521</v>
      </c>
    </row>
    <row r="4178" spans="1:5">
      <c r="A4178" t="s">
        <v>5788</v>
      </c>
      <c r="B4178" t="s">
        <v>971</v>
      </c>
      <c r="C4178" t="s">
        <v>995</v>
      </c>
      <c r="D4178" t="s">
        <v>7114</v>
      </c>
      <c r="E4178">
        <v>14.51813665306122</v>
      </c>
    </row>
    <row r="4179" spans="1:5">
      <c r="A4179" t="s">
        <v>5789</v>
      </c>
      <c r="B4179" t="s">
        <v>971</v>
      </c>
      <c r="C4179" t="s">
        <v>995</v>
      </c>
      <c r="D4179" t="s">
        <v>7115</v>
      </c>
      <c r="E4179">
        <v>2.78137665381059</v>
      </c>
    </row>
    <row r="4180" spans="1:5">
      <c r="A4180" t="s">
        <v>5790</v>
      </c>
      <c r="B4180" t="s">
        <v>971</v>
      </c>
      <c r="C4180" t="s">
        <v>995</v>
      </c>
      <c r="D4180" t="s">
        <v>7116</v>
      </c>
      <c r="E4180">
        <v>19.04496154778833</v>
      </c>
    </row>
    <row r="4181" spans="1:5">
      <c r="A4181" t="s">
        <v>5791</v>
      </c>
      <c r="B4181" t="s">
        <v>971</v>
      </c>
      <c r="C4181" t="s">
        <v>995</v>
      </c>
      <c r="D4181" t="s">
        <v>7005</v>
      </c>
      <c r="E4181">
        <v>9.371686491686217</v>
      </c>
    </row>
    <row r="4182" spans="1:5">
      <c r="A4182" t="s">
        <v>5792</v>
      </c>
      <c r="B4182" t="s">
        <v>971</v>
      </c>
      <c r="C4182" t="s">
        <v>995</v>
      </c>
      <c r="D4182" t="s">
        <v>7117</v>
      </c>
      <c r="E4182">
        <v>33.71781748123617</v>
      </c>
    </row>
    <row r="4183" spans="1:5">
      <c r="A4183" t="s">
        <v>5793</v>
      </c>
      <c r="B4183" t="s">
        <v>971</v>
      </c>
      <c r="C4183" t="s">
        <v>995</v>
      </c>
      <c r="D4183" t="s">
        <v>7118</v>
      </c>
      <c r="E4183">
        <v>89.19254712585801</v>
      </c>
    </row>
    <row r="4184" spans="1:5">
      <c r="A4184" t="s">
        <v>5794</v>
      </c>
      <c r="B4184" t="s">
        <v>971</v>
      </c>
      <c r="C4184" t="s">
        <v>995</v>
      </c>
      <c r="D4184" t="s">
        <v>7119</v>
      </c>
      <c r="E4184">
        <v>105.8553957200647</v>
      </c>
    </row>
    <row r="4185" spans="1:5">
      <c r="A4185" t="s">
        <v>5795</v>
      </c>
      <c r="B4185" t="s">
        <v>971</v>
      </c>
      <c r="C4185" t="s">
        <v>995</v>
      </c>
      <c r="D4185" t="s">
        <v>7120</v>
      </c>
      <c r="E4185">
        <v>130.8380455273607</v>
      </c>
    </row>
    <row r="4186" spans="1:5">
      <c r="A4186" t="s">
        <v>5796</v>
      </c>
      <c r="B4186" t="s">
        <v>971</v>
      </c>
      <c r="C4186" t="s">
        <v>995</v>
      </c>
      <c r="D4186" t="s">
        <v>7006</v>
      </c>
      <c r="E4186">
        <v>6.690515048245738</v>
      </c>
    </row>
    <row r="4187" spans="1:5">
      <c r="A4187" t="s">
        <v>5797</v>
      </c>
      <c r="B4187" t="s">
        <v>971</v>
      </c>
      <c r="C4187" t="s">
        <v>995</v>
      </c>
      <c r="D4187" t="s">
        <v>7121</v>
      </c>
      <c r="E4187">
        <v>41.28166555423751</v>
      </c>
    </row>
    <row r="4188" spans="1:5">
      <c r="A4188" t="s">
        <v>5798</v>
      </c>
      <c r="B4188" t="s">
        <v>971</v>
      </c>
      <c r="C4188" t="s">
        <v>995</v>
      </c>
      <c r="D4188" t="s">
        <v>7122</v>
      </c>
      <c r="E4188">
        <v>215.3338987678492</v>
      </c>
    </row>
    <row r="4189" spans="1:5">
      <c r="A4189" t="s">
        <v>5799</v>
      </c>
      <c r="B4189" t="s">
        <v>971</v>
      </c>
      <c r="C4189" t="s">
        <v>995</v>
      </c>
      <c r="D4189" t="s">
        <v>7123</v>
      </c>
      <c r="E4189">
        <v>9.798022497906283</v>
      </c>
    </row>
    <row r="4190" spans="1:5">
      <c r="A4190" t="s">
        <v>5800</v>
      </c>
      <c r="B4190" t="s">
        <v>971</v>
      </c>
      <c r="C4190" t="s">
        <v>995</v>
      </c>
      <c r="D4190" t="s">
        <v>7124</v>
      </c>
      <c r="E4190">
        <v>0.119144008292477</v>
      </c>
    </row>
    <row r="4191" spans="1:5">
      <c r="A4191" t="s">
        <v>5801</v>
      </c>
      <c r="B4191" t="s">
        <v>971</v>
      </c>
      <c r="C4191" t="s">
        <v>995</v>
      </c>
      <c r="D4191" t="s">
        <v>7125</v>
      </c>
      <c r="E4191">
        <v>6.974862056527909</v>
      </c>
    </row>
    <row r="4192" spans="1:5">
      <c r="A4192" t="s">
        <v>5802</v>
      </c>
      <c r="B4192" t="s">
        <v>971</v>
      </c>
      <c r="C4192" t="s">
        <v>995</v>
      </c>
      <c r="D4192" t="s">
        <v>7126</v>
      </c>
      <c r="E4192">
        <v>0.08546254444595057</v>
      </c>
    </row>
    <row r="4193" spans="1:5">
      <c r="A4193" t="s">
        <v>5803</v>
      </c>
      <c r="B4193" t="s">
        <v>971</v>
      </c>
      <c r="C4193" t="s">
        <v>995</v>
      </c>
      <c r="D4193" t="s">
        <v>998</v>
      </c>
      <c r="E4193">
        <v>312.4170838735064</v>
      </c>
    </row>
    <row r="4194" spans="1:5">
      <c r="A4194" t="s">
        <v>5804</v>
      </c>
      <c r="B4194" t="s">
        <v>971</v>
      </c>
      <c r="C4194" t="s">
        <v>995</v>
      </c>
      <c r="D4194" t="s">
        <v>7127</v>
      </c>
      <c r="E4194">
        <v>7.780968022928954</v>
      </c>
    </row>
    <row r="4195" spans="1:5">
      <c r="A4195" t="s">
        <v>5805</v>
      </c>
      <c r="B4195" t="s">
        <v>971</v>
      </c>
      <c r="C4195" t="s">
        <v>995</v>
      </c>
      <c r="D4195" t="s">
        <v>7128</v>
      </c>
      <c r="E4195">
        <v>0.02612481178232862</v>
      </c>
    </row>
    <row r="4196" spans="1:5">
      <c r="A4196" t="s">
        <v>5806</v>
      </c>
      <c r="B4196" t="s">
        <v>971</v>
      </c>
      <c r="C4196" t="s">
        <v>995</v>
      </c>
      <c r="D4196" t="s">
        <v>7129</v>
      </c>
      <c r="E4196">
        <v>0.4882686198424637</v>
      </c>
    </row>
    <row r="4197" spans="1:5">
      <c r="A4197" t="s">
        <v>5807</v>
      </c>
      <c r="B4197" t="s">
        <v>971</v>
      </c>
      <c r="C4197" t="s">
        <v>995</v>
      </c>
      <c r="D4197" t="s">
        <v>7130</v>
      </c>
      <c r="E4197">
        <v>0.01190242890390762</v>
      </c>
    </row>
    <row r="4198" spans="1:5">
      <c r="A4198" t="s">
        <v>5808</v>
      </c>
      <c r="B4198" t="s">
        <v>971</v>
      </c>
      <c r="C4198" t="s">
        <v>995</v>
      </c>
      <c r="D4198" t="s">
        <v>7131</v>
      </c>
      <c r="E4198">
        <v>2.60768281310823</v>
      </c>
    </row>
    <row r="4199" spans="1:5">
      <c r="A4199" t="s">
        <v>5809</v>
      </c>
      <c r="B4199" t="s">
        <v>971</v>
      </c>
      <c r="C4199" t="s">
        <v>995</v>
      </c>
      <c r="D4199" t="s">
        <v>7132</v>
      </c>
      <c r="E4199">
        <v>114.048719488597</v>
      </c>
    </row>
    <row r="4200" spans="1:5">
      <c r="A4200" t="s">
        <v>5810</v>
      </c>
      <c r="B4200" t="s">
        <v>971</v>
      </c>
      <c r="C4200" t="s">
        <v>995</v>
      </c>
      <c r="D4200" t="s">
        <v>7133</v>
      </c>
      <c r="E4200">
        <v>0.5422525378950145</v>
      </c>
    </row>
    <row r="4201" spans="1:5">
      <c r="A4201" t="s">
        <v>5811</v>
      </c>
      <c r="B4201" t="s">
        <v>971</v>
      </c>
      <c r="C4201" t="s">
        <v>995</v>
      </c>
      <c r="D4201" t="s">
        <v>7134</v>
      </c>
      <c r="E4201">
        <v>115.710174101524</v>
      </c>
    </row>
    <row r="4202" spans="1:5">
      <c r="A4202" t="s">
        <v>5812</v>
      </c>
      <c r="B4202" t="s">
        <v>971</v>
      </c>
      <c r="C4202" t="s">
        <v>995</v>
      </c>
      <c r="D4202" t="s">
        <v>7135</v>
      </c>
      <c r="E4202">
        <v>174.5349372287415</v>
      </c>
    </row>
    <row r="4203" spans="1:5">
      <c r="A4203" t="s">
        <v>5813</v>
      </c>
      <c r="B4203" t="s">
        <v>971</v>
      </c>
      <c r="C4203" t="s">
        <v>995</v>
      </c>
      <c r="D4203" t="s">
        <v>7136</v>
      </c>
      <c r="E4203">
        <v>423.3000170179545</v>
      </c>
    </row>
    <row r="4204" spans="1:5">
      <c r="A4204" t="s">
        <v>5814</v>
      </c>
      <c r="B4204" t="s">
        <v>971</v>
      </c>
      <c r="C4204" t="s">
        <v>995</v>
      </c>
      <c r="D4204" t="s">
        <v>7137</v>
      </c>
      <c r="E4204">
        <v>0.5422525378950145</v>
      </c>
    </row>
    <row r="4205" spans="1:5">
      <c r="A4205" t="s">
        <v>5815</v>
      </c>
      <c r="B4205" t="s">
        <v>971</v>
      </c>
      <c r="C4205" t="s">
        <v>995</v>
      </c>
      <c r="D4205" t="s">
        <v>7138</v>
      </c>
      <c r="E4205">
        <v>2.980712197901652</v>
      </c>
    </row>
    <row r="4206" spans="1:5">
      <c r="A4206" t="s">
        <v>5816</v>
      </c>
      <c r="B4206" t="s">
        <v>971</v>
      </c>
      <c r="C4206" t="s">
        <v>995</v>
      </c>
      <c r="D4206" t="s">
        <v>7139</v>
      </c>
      <c r="E4206">
        <v>1.309312761804826</v>
      </c>
    </row>
    <row r="4207" spans="1:5">
      <c r="A4207" t="s">
        <v>5817</v>
      </c>
      <c r="B4207" t="s">
        <v>971</v>
      </c>
      <c r="C4207" t="s">
        <v>995</v>
      </c>
      <c r="D4207" t="s">
        <v>7007</v>
      </c>
      <c r="E4207">
        <v>19.04494727164346</v>
      </c>
    </row>
    <row r="4208" spans="1:5">
      <c r="A4208" t="s">
        <v>5818</v>
      </c>
      <c r="B4208" t="s">
        <v>971</v>
      </c>
      <c r="C4208" t="s">
        <v>995</v>
      </c>
      <c r="D4208" t="s">
        <v>7140</v>
      </c>
      <c r="E4208">
        <v>17.09050123964559</v>
      </c>
    </row>
    <row r="4209" spans="1:5">
      <c r="A4209" t="s">
        <v>5819</v>
      </c>
      <c r="B4209" t="s">
        <v>971</v>
      </c>
      <c r="C4209" t="s">
        <v>995</v>
      </c>
      <c r="D4209" t="s">
        <v>7141</v>
      </c>
      <c r="E4209">
        <v>11.60178051183029</v>
      </c>
    </row>
    <row r="4210" spans="1:5">
      <c r="A4210" t="s">
        <v>5820</v>
      </c>
      <c r="B4210" t="s">
        <v>971</v>
      </c>
      <c r="C4210" t="s">
        <v>995</v>
      </c>
      <c r="D4210" t="s">
        <v>7142</v>
      </c>
      <c r="E4210">
        <v>11.60178051183029</v>
      </c>
    </row>
    <row r="4211" spans="1:5">
      <c r="A4211" t="s">
        <v>5656</v>
      </c>
      <c r="B4211" t="s">
        <v>971</v>
      </c>
      <c r="C4211" t="s">
        <v>995</v>
      </c>
      <c r="D4211" t="s">
        <v>996</v>
      </c>
      <c r="E4211">
        <v>355.694348</v>
      </c>
    </row>
    <row r="4212" spans="1:5">
      <c r="A4212" t="s">
        <v>5821</v>
      </c>
      <c r="B4212" t="s">
        <v>972</v>
      </c>
      <c r="C4212" t="s">
        <v>995</v>
      </c>
      <c r="D4212" t="s">
        <v>996</v>
      </c>
      <c r="E4212">
        <v>353.424475</v>
      </c>
    </row>
    <row r="4213" spans="1:5">
      <c r="A4213" t="s">
        <v>5822</v>
      </c>
      <c r="B4213" t="s">
        <v>972</v>
      </c>
      <c r="C4213" t="s">
        <v>995</v>
      </c>
      <c r="D4213" t="s">
        <v>7008</v>
      </c>
      <c r="E4213">
        <v>84.13454190795547</v>
      </c>
    </row>
    <row r="4214" spans="1:5">
      <c r="A4214" t="s">
        <v>5823</v>
      </c>
      <c r="B4214" t="s">
        <v>972</v>
      </c>
      <c r="C4214" t="s">
        <v>995</v>
      </c>
      <c r="D4214" t="s">
        <v>7009</v>
      </c>
      <c r="E4214">
        <v>4.80771479226363</v>
      </c>
    </row>
    <row r="4215" spans="1:5">
      <c r="A4215" t="s">
        <v>5824</v>
      </c>
      <c r="B4215" t="s">
        <v>972</v>
      </c>
      <c r="C4215" t="s">
        <v>995</v>
      </c>
      <c r="D4215" t="s">
        <v>7010</v>
      </c>
      <c r="E4215">
        <v>3.757220055089746</v>
      </c>
    </row>
    <row r="4216" spans="1:5">
      <c r="A4216" t="s">
        <v>5825</v>
      </c>
      <c r="B4216" t="s">
        <v>972</v>
      </c>
      <c r="C4216" t="s">
        <v>995</v>
      </c>
      <c r="D4216" t="s">
        <v>7011</v>
      </c>
      <c r="E4216">
        <v>0.8397464726728769</v>
      </c>
    </row>
    <row r="4217" spans="1:5">
      <c r="A4217" t="s">
        <v>5826</v>
      </c>
      <c r="B4217" t="s">
        <v>972</v>
      </c>
      <c r="C4217" t="s">
        <v>995</v>
      </c>
      <c r="D4217" t="s">
        <v>7012</v>
      </c>
      <c r="E4217">
        <v>172.6168172034398</v>
      </c>
    </row>
    <row r="4218" spans="1:5">
      <c r="A4218" t="s">
        <v>5827</v>
      </c>
      <c r="B4218" t="s">
        <v>972</v>
      </c>
      <c r="C4218" t="s">
        <v>995</v>
      </c>
      <c r="D4218" t="s">
        <v>7013</v>
      </c>
      <c r="E4218">
        <v>0.3270237278017389</v>
      </c>
    </row>
    <row r="4219" spans="1:5">
      <c r="A4219" t="s">
        <v>5828</v>
      </c>
      <c r="B4219" t="s">
        <v>972</v>
      </c>
      <c r="C4219" t="s">
        <v>995</v>
      </c>
      <c r="D4219" t="s">
        <v>7014</v>
      </c>
      <c r="E4219">
        <v>0.2075689089497401</v>
      </c>
    </row>
    <row r="4220" spans="1:5">
      <c r="A4220" t="s">
        <v>5829</v>
      </c>
      <c r="B4220" t="s">
        <v>972</v>
      </c>
      <c r="C4220" t="s">
        <v>995</v>
      </c>
      <c r="D4220" t="s">
        <v>6981</v>
      </c>
      <c r="E4220">
        <v>214.2346944033092</v>
      </c>
    </row>
    <row r="4221" spans="1:5">
      <c r="A4221" t="s">
        <v>5830</v>
      </c>
      <c r="B4221" t="s">
        <v>972</v>
      </c>
      <c r="C4221" t="s">
        <v>995</v>
      </c>
      <c r="D4221" t="s">
        <v>7015</v>
      </c>
      <c r="E4221">
        <v>172.6168172034398</v>
      </c>
    </row>
    <row r="4222" spans="1:5">
      <c r="A4222" t="s">
        <v>5831</v>
      </c>
      <c r="B4222" t="s">
        <v>972</v>
      </c>
      <c r="C4222" t="s">
        <v>995</v>
      </c>
      <c r="D4222" t="s">
        <v>7016</v>
      </c>
      <c r="E4222">
        <v>181.9786074091161</v>
      </c>
    </row>
    <row r="4223" spans="1:5">
      <c r="A4223" t="s">
        <v>5832</v>
      </c>
      <c r="B4223" t="s">
        <v>972</v>
      </c>
      <c r="C4223" t="s">
        <v>995</v>
      </c>
      <c r="D4223" t="s">
        <v>7017</v>
      </c>
      <c r="E4223">
        <v>180.7030646835359</v>
      </c>
    </row>
    <row r="4224" spans="1:5">
      <c r="A4224" t="s">
        <v>5833</v>
      </c>
      <c r="B4224" t="s">
        <v>972</v>
      </c>
      <c r="C4224" t="s">
        <v>995</v>
      </c>
      <c r="D4224" t="s">
        <v>7018</v>
      </c>
      <c r="E4224">
        <v>154.4920344195257</v>
      </c>
    </row>
    <row r="4225" spans="1:5">
      <c r="A4225" t="s">
        <v>5834</v>
      </c>
      <c r="B4225" t="s">
        <v>972</v>
      </c>
      <c r="C4225" t="s">
        <v>995</v>
      </c>
      <c r="D4225" t="s">
        <v>7019</v>
      </c>
      <c r="E4225">
        <v>2.507478956869042</v>
      </c>
    </row>
    <row r="4226" spans="1:5">
      <c r="A4226" t="s">
        <v>5835</v>
      </c>
      <c r="B4226" t="s">
        <v>972</v>
      </c>
      <c r="C4226" t="s">
        <v>995</v>
      </c>
      <c r="D4226" t="s">
        <v>997</v>
      </c>
      <c r="E4226">
        <v>180.7030646835359</v>
      </c>
    </row>
    <row r="4227" spans="1:5">
      <c r="A4227" t="s">
        <v>5836</v>
      </c>
      <c r="B4227" t="s">
        <v>972</v>
      </c>
      <c r="C4227" t="s">
        <v>995</v>
      </c>
      <c r="D4227" t="s">
        <v>7020</v>
      </c>
      <c r="E4227">
        <v>821.7664080320127</v>
      </c>
    </row>
    <row r="4228" spans="1:5">
      <c r="A4228" t="s">
        <v>5837</v>
      </c>
      <c r="B4228" t="s">
        <v>972</v>
      </c>
      <c r="C4228" t="s">
        <v>995</v>
      </c>
      <c r="D4228" t="s">
        <v>7021</v>
      </c>
      <c r="E4228">
        <v>0.1032383553668244</v>
      </c>
    </row>
    <row r="4229" spans="1:5">
      <c r="A4229" t="s">
        <v>5838</v>
      </c>
      <c r="B4229" t="s">
        <v>972</v>
      </c>
      <c r="C4229" t="s">
        <v>995</v>
      </c>
      <c r="D4229" t="s">
        <v>7022</v>
      </c>
      <c r="E4229">
        <v>308.9842039049611</v>
      </c>
    </row>
    <row r="4230" spans="1:5">
      <c r="A4230" t="s">
        <v>5839</v>
      </c>
      <c r="B4230" t="s">
        <v>972</v>
      </c>
      <c r="C4230" t="s">
        <v>995</v>
      </c>
      <c r="D4230" t="s">
        <v>7023</v>
      </c>
      <c r="E4230">
        <v>239.2542574018814</v>
      </c>
    </row>
    <row r="4231" spans="1:5">
      <c r="A4231" t="s">
        <v>5840</v>
      </c>
      <c r="B4231" t="s">
        <v>972</v>
      </c>
      <c r="C4231" t="s">
        <v>995</v>
      </c>
      <c r="D4231" t="s">
        <v>7024</v>
      </c>
      <c r="E4231">
        <v>44.76303956213785</v>
      </c>
    </row>
    <row r="4232" spans="1:5">
      <c r="A4232" t="s">
        <v>5841</v>
      </c>
      <c r="B4232" t="s">
        <v>972</v>
      </c>
      <c r="C4232" t="s">
        <v>995</v>
      </c>
      <c r="D4232" t="s">
        <v>6982</v>
      </c>
      <c r="E4232">
        <v>59.50431906787736</v>
      </c>
    </row>
    <row r="4233" spans="1:5">
      <c r="A4233" t="s">
        <v>5842</v>
      </c>
      <c r="B4233" t="s">
        <v>972</v>
      </c>
      <c r="C4233" t="s">
        <v>995</v>
      </c>
      <c r="D4233" t="s">
        <v>7025</v>
      </c>
      <c r="E4233">
        <v>308.9842039049611</v>
      </c>
    </row>
    <row r="4234" spans="1:5">
      <c r="A4234" t="s">
        <v>5843</v>
      </c>
      <c r="B4234" t="s">
        <v>972</v>
      </c>
      <c r="C4234" t="s">
        <v>995</v>
      </c>
      <c r="D4234" t="s">
        <v>7026</v>
      </c>
      <c r="E4234">
        <v>3.242092619070838</v>
      </c>
    </row>
    <row r="4235" spans="1:5">
      <c r="A4235" t="s">
        <v>5844</v>
      </c>
      <c r="B4235" t="s">
        <v>972</v>
      </c>
      <c r="C4235" t="s">
        <v>995</v>
      </c>
      <c r="D4235" t="s">
        <v>7027</v>
      </c>
      <c r="E4235">
        <v>21.55744597455385</v>
      </c>
    </row>
    <row r="4236" spans="1:5">
      <c r="A4236" t="s">
        <v>5845</v>
      </c>
      <c r="B4236" t="s">
        <v>972</v>
      </c>
      <c r="C4236" t="s">
        <v>995</v>
      </c>
      <c r="D4236" t="s">
        <v>7028</v>
      </c>
      <c r="E4236">
        <v>106.6701582073894</v>
      </c>
    </row>
    <row r="4237" spans="1:5">
      <c r="A4237" t="s">
        <v>5846</v>
      </c>
      <c r="B4237" t="s">
        <v>972</v>
      </c>
      <c r="C4237" t="s">
        <v>995</v>
      </c>
      <c r="D4237" t="s">
        <v>7029</v>
      </c>
      <c r="E4237">
        <v>154.4920344195257</v>
      </c>
    </row>
    <row r="4238" spans="1:5">
      <c r="A4238" t="s">
        <v>5847</v>
      </c>
      <c r="B4238" t="s">
        <v>972</v>
      </c>
      <c r="C4238" t="s">
        <v>995</v>
      </c>
      <c r="D4238" t="s">
        <v>6983</v>
      </c>
      <c r="E4238">
        <v>217.6787194676541</v>
      </c>
    </row>
    <row r="4239" spans="1:5">
      <c r="A4239" t="s">
        <v>5848</v>
      </c>
      <c r="B4239" t="s">
        <v>972</v>
      </c>
      <c r="C4239" t="s">
        <v>995</v>
      </c>
      <c r="D4239" t="s">
        <v>7030</v>
      </c>
      <c r="E4239">
        <v>0.1340986200131735</v>
      </c>
    </row>
    <row r="4240" spans="1:5">
      <c r="A4240" t="s">
        <v>5849</v>
      </c>
      <c r="B4240" t="s">
        <v>972</v>
      </c>
      <c r="C4240" t="s">
        <v>995</v>
      </c>
      <c r="D4240" t="s">
        <v>6984</v>
      </c>
      <c r="E4240">
        <v>384.5357221350591</v>
      </c>
    </row>
    <row r="4241" spans="1:5">
      <c r="A4241" t="s">
        <v>5850</v>
      </c>
      <c r="B4241" t="s">
        <v>972</v>
      </c>
      <c r="C4241" t="s">
        <v>995</v>
      </c>
      <c r="D4241" t="s">
        <v>7031</v>
      </c>
      <c r="E4241">
        <v>13198.31484800956</v>
      </c>
    </row>
    <row r="4242" spans="1:5">
      <c r="A4242" t="s">
        <v>5851</v>
      </c>
      <c r="B4242" t="s">
        <v>972</v>
      </c>
      <c r="C4242" t="s">
        <v>995</v>
      </c>
      <c r="D4242" t="s">
        <v>7032</v>
      </c>
      <c r="E4242">
        <v>0.3339062710832233</v>
      </c>
    </row>
    <row r="4243" spans="1:5">
      <c r="A4243" t="s">
        <v>5852</v>
      </c>
      <c r="B4243" t="s">
        <v>972</v>
      </c>
      <c r="C4243" t="s">
        <v>995</v>
      </c>
      <c r="D4243" t="s">
        <v>7033</v>
      </c>
      <c r="E4243">
        <v>45.54015986401263</v>
      </c>
    </row>
    <row r="4244" spans="1:5">
      <c r="A4244" t="s">
        <v>5853</v>
      </c>
      <c r="B4244" t="s">
        <v>972</v>
      </c>
      <c r="C4244" t="s">
        <v>995</v>
      </c>
      <c r="D4244" t="s">
        <v>6985</v>
      </c>
      <c r="E4244">
        <v>45.5100708846885</v>
      </c>
    </row>
    <row r="4245" spans="1:5">
      <c r="A4245" t="s">
        <v>5854</v>
      </c>
      <c r="B4245" t="s">
        <v>972</v>
      </c>
      <c r="C4245" t="s">
        <v>995</v>
      </c>
      <c r="D4245" t="s">
        <v>7034</v>
      </c>
      <c r="E4245">
        <v>0.0916394905854313</v>
      </c>
    </row>
    <row r="4246" spans="1:5">
      <c r="A4246" t="s">
        <v>5855</v>
      </c>
      <c r="B4246" t="s">
        <v>972</v>
      </c>
      <c r="C4246" t="s">
        <v>995</v>
      </c>
      <c r="D4246" t="s">
        <v>7035</v>
      </c>
      <c r="E4246">
        <v>0.68127039285497</v>
      </c>
    </row>
    <row r="4247" spans="1:5">
      <c r="A4247" t="s">
        <v>5856</v>
      </c>
      <c r="B4247" t="s">
        <v>972</v>
      </c>
      <c r="C4247" t="s">
        <v>995</v>
      </c>
      <c r="D4247" t="s">
        <v>7036</v>
      </c>
      <c r="E4247">
        <v>12.87433854652081</v>
      </c>
    </row>
    <row r="4248" spans="1:5">
      <c r="A4248" t="s">
        <v>5857</v>
      </c>
      <c r="B4248" t="s">
        <v>972</v>
      </c>
      <c r="C4248" t="s">
        <v>995</v>
      </c>
      <c r="D4248" t="s">
        <v>7037</v>
      </c>
      <c r="E4248">
        <v>3.205228086881603</v>
      </c>
    </row>
    <row r="4249" spans="1:5">
      <c r="A4249" t="s">
        <v>5858</v>
      </c>
      <c r="B4249" t="s">
        <v>972</v>
      </c>
      <c r="C4249" t="s">
        <v>995</v>
      </c>
      <c r="D4249" t="s">
        <v>6986</v>
      </c>
      <c r="E4249">
        <v>14.60954277695361</v>
      </c>
    </row>
    <row r="4250" spans="1:5">
      <c r="A4250" t="s">
        <v>5859</v>
      </c>
      <c r="B4250" t="s">
        <v>972</v>
      </c>
      <c r="C4250" t="s">
        <v>995</v>
      </c>
      <c r="D4250" t="s">
        <v>7038</v>
      </c>
      <c r="E4250">
        <v>1.738590992802825</v>
      </c>
    </row>
    <row r="4251" spans="1:5">
      <c r="A4251" t="s">
        <v>5860</v>
      </c>
      <c r="B4251" t="s">
        <v>972</v>
      </c>
      <c r="C4251" t="s">
        <v>995</v>
      </c>
      <c r="D4251" t="s">
        <v>6987</v>
      </c>
      <c r="E4251">
        <v>47.36543966866323</v>
      </c>
    </row>
    <row r="4252" spans="1:5">
      <c r="A4252" t="s">
        <v>5861</v>
      </c>
      <c r="B4252" t="s">
        <v>972</v>
      </c>
      <c r="C4252" t="s">
        <v>995</v>
      </c>
      <c r="D4252" t="s">
        <v>7039</v>
      </c>
      <c r="E4252">
        <v>5.215540836930083</v>
      </c>
    </row>
    <row r="4253" spans="1:5">
      <c r="A4253" t="s">
        <v>5862</v>
      </c>
      <c r="B4253" t="s">
        <v>972</v>
      </c>
      <c r="C4253" t="s">
        <v>995</v>
      </c>
      <c r="D4253" t="s">
        <v>7040</v>
      </c>
      <c r="E4253">
        <v>2.326345925668192</v>
      </c>
    </row>
    <row r="4254" spans="1:5">
      <c r="A4254" t="s">
        <v>5863</v>
      </c>
      <c r="B4254" t="s">
        <v>972</v>
      </c>
      <c r="C4254" t="s">
        <v>995</v>
      </c>
      <c r="D4254" t="s">
        <v>7041</v>
      </c>
      <c r="E4254">
        <v>6.293752037002561</v>
      </c>
    </row>
    <row r="4255" spans="1:5">
      <c r="A4255" t="s">
        <v>5864</v>
      </c>
      <c r="B4255" t="s">
        <v>972</v>
      </c>
      <c r="C4255" t="s">
        <v>995</v>
      </c>
      <c r="D4255" t="s">
        <v>7042</v>
      </c>
      <c r="E4255">
        <v>20.59894212465297</v>
      </c>
    </row>
    <row r="4256" spans="1:5">
      <c r="A4256" t="s">
        <v>5865</v>
      </c>
      <c r="B4256" t="s">
        <v>972</v>
      </c>
      <c r="C4256" t="s">
        <v>995</v>
      </c>
      <c r="D4256" t="s">
        <v>7043</v>
      </c>
      <c r="E4256">
        <v>1.894590022252064</v>
      </c>
    </row>
    <row r="4257" spans="1:5">
      <c r="A4257" t="s">
        <v>5866</v>
      </c>
      <c r="B4257" t="s">
        <v>972</v>
      </c>
      <c r="C4257" t="s">
        <v>995</v>
      </c>
      <c r="D4257" t="s">
        <v>7044</v>
      </c>
      <c r="E4257">
        <v>136.7202620174165</v>
      </c>
    </row>
    <row r="4258" spans="1:5">
      <c r="A4258" t="s">
        <v>5867</v>
      </c>
      <c r="B4258" t="s">
        <v>972</v>
      </c>
      <c r="C4258" t="s">
        <v>995</v>
      </c>
      <c r="D4258" t="s">
        <v>7045</v>
      </c>
      <c r="E4258">
        <v>412.5744485379953</v>
      </c>
    </row>
    <row r="4259" spans="1:5">
      <c r="A4259" t="s">
        <v>5868</v>
      </c>
      <c r="B4259" t="s">
        <v>972</v>
      </c>
      <c r="C4259" t="s">
        <v>995</v>
      </c>
      <c r="D4259" t="s">
        <v>7046</v>
      </c>
      <c r="E4259">
        <v>47.36544601651216</v>
      </c>
    </row>
    <row r="4260" spans="1:5">
      <c r="A4260" t="s">
        <v>5869</v>
      </c>
      <c r="B4260" t="s">
        <v>972</v>
      </c>
      <c r="C4260" t="s">
        <v>995</v>
      </c>
      <c r="D4260" t="s">
        <v>6988</v>
      </c>
      <c r="E4260">
        <v>412.5744485379953</v>
      </c>
    </row>
    <row r="4261" spans="1:5">
      <c r="A4261" t="s">
        <v>5870</v>
      </c>
      <c r="B4261" t="s">
        <v>972</v>
      </c>
      <c r="C4261" t="s">
        <v>995</v>
      </c>
      <c r="D4261" t="s">
        <v>7047</v>
      </c>
      <c r="E4261">
        <v>117.0515371968926</v>
      </c>
    </row>
    <row r="4262" spans="1:5">
      <c r="A4262" t="s">
        <v>5871</v>
      </c>
      <c r="B4262" t="s">
        <v>972</v>
      </c>
      <c r="C4262" t="s">
        <v>995</v>
      </c>
      <c r="D4262" t="s">
        <v>7048</v>
      </c>
      <c r="E4262">
        <v>412.5744485379953</v>
      </c>
    </row>
    <row r="4263" spans="1:5">
      <c r="A4263" t="s">
        <v>5872</v>
      </c>
      <c r="B4263" t="s">
        <v>972</v>
      </c>
      <c r="C4263" t="s">
        <v>995</v>
      </c>
      <c r="D4263" t="s">
        <v>7049</v>
      </c>
      <c r="E4263">
        <v>27.22124075589398</v>
      </c>
    </row>
    <row r="4264" spans="1:5">
      <c r="A4264" t="s">
        <v>5873</v>
      </c>
      <c r="B4264" t="s">
        <v>972</v>
      </c>
      <c r="C4264" t="s">
        <v>995</v>
      </c>
      <c r="D4264" t="s">
        <v>7050</v>
      </c>
      <c r="E4264">
        <v>412.5744485379953</v>
      </c>
    </row>
    <row r="4265" spans="1:5">
      <c r="A4265" t="s">
        <v>5874</v>
      </c>
      <c r="B4265" t="s">
        <v>972</v>
      </c>
      <c r="C4265" t="s">
        <v>995</v>
      </c>
      <c r="D4265" t="s">
        <v>7051</v>
      </c>
      <c r="E4265">
        <v>4.164176807091938</v>
      </c>
    </row>
    <row r="4266" spans="1:5">
      <c r="A4266" t="s">
        <v>5875</v>
      </c>
      <c r="B4266" t="s">
        <v>972</v>
      </c>
      <c r="C4266" t="s">
        <v>995</v>
      </c>
      <c r="D4266" t="s">
        <v>7052</v>
      </c>
      <c r="E4266">
        <v>0.03523735151768221</v>
      </c>
    </row>
    <row r="4267" spans="1:5">
      <c r="A4267" t="s">
        <v>5876</v>
      </c>
      <c r="B4267" t="s">
        <v>972</v>
      </c>
      <c r="C4267" t="s">
        <v>995</v>
      </c>
      <c r="D4267" t="s">
        <v>7053</v>
      </c>
      <c r="E4267">
        <v>40.65912868252262</v>
      </c>
    </row>
    <row r="4268" spans="1:5">
      <c r="A4268" t="s">
        <v>5877</v>
      </c>
      <c r="B4268" t="s">
        <v>972</v>
      </c>
      <c r="C4268" t="s">
        <v>995</v>
      </c>
      <c r="D4268" t="s">
        <v>7054</v>
      </c>
      <c r="E4268">
        <v>1.484159163678208</v>
      </c>
    </row>
    <row r="4269" spans="1:5">
      <c r="A4269" t="s">
        <v>5878</v>
      </c>
      <c r="B4269" t="s">
        <v>972</v>
      </c>
      <c r="C4269" t="s">
        <v>995</v>
      </c>
      <c r="D4269" t="s">
        <v>6989</v>
      </c>
      <c r="E4269">
        <v>39.39700175468381</v>
      </c>
    </row>
    <row r="4270" spans="1:5">
      <c r="A4270" t="s">
        <v>5879</v>
      </c>
      <c r="B4270" t="s">
        <v>972</v>
      </c>
      <c r="C4270" t="s">
        <v>995</v>
      </c>
      <c r="D4270" t="s">
        <v>7055</v>
      </c>
      <c r="E4270">
        <v>11.60980724258579</v>
      </c>
    </row>
    <row r="4271" spans="1:5">
      <c r="A4271" t="s">
        <v>5880</v>
      </c>
      <c r="B4271" t="s">
        <v>972</v>
      </c>
      <c r="C4271" t="s">
        <v>995</v>
      </c>
      <c r="D4271" t="s">
        <v>7056</v>
      </c>
      <c r="E4271">
        <v>46.90748888446479</v>
      </c>
    </row>
    <row r="4272" spans="1:5">
      <c r="A4272" t="s">
        <v>5881</v>
      </c>
      <c r="B4272" t="s">
        <v>972</v>
      </c>
      <c r="C4272" t="s">
        <v>995</v>
      </c>
      <c r="D4272" t="s">
        <v>7057</v>
      </c>
      <c r="E4272">
        <v>2.373444755915297</v>
      </c>
    </row>
    <row r="4273" spans="1:5">
      <c r="A4273" t="s">
        <v>5882</v>
      </c>
      <c r="B4273" t="s">
        <v>972</v>
      </c>
      <c r="C4273" t="s">
        <v>995</v>
      </c>
      <c r="D4273" t="s">
        <v>6990</v>
      </c>
      <c r="E4273">
        <v>0.01719473963058772</v>
      </c>
    </row>
    <row r="4274" spans="1:5">
      <c r="A4274" t="s">
        <v>5883</v>
      </c>
      <c r="B4274" t="s">
        <v>972</v>
      </c>
      <c r="C4274" t="s">
        <v>995</v>
      </c>
      <c r="D4274" t="s">
        <v>6991</v>
      </c>
      <c r="E4274">
        <v>103.0234366459944</v>
      </c>
    </row>
    <row r="4275" spans="1:5">
      <c r="A4275" t="s">
        <v>5884</v>
      </c>
      <c r="B4275" t="s">
        <v>972</v>
      </c>
      <c r="C4275" t="s">
        <v>995</v>
      </c>
      <c r="D4275" t="s">
        <v>7058</v>
      </c>
      <c r="E4275">
        <v>412.5744485379953</v>
      </c>
    </row>
    <row r="4276" spans="1:5">
      <c r="A4276" t="s">
        <v>5885</v>
      </c>
      <c r="B4276" t="s">
        <v>972</v>
      </c>
      <c r="C4276" t="s">
        <v>995</v>
      </c>
      <c r="D4276" t="s">
        <v>6992</v>
      </c>
      <c r="E4276">
        <v>3.242088812239173</v>
      </c>
    </row>
    <row r="4277" spans="1:5">
      <c r="A4277" t="s">
        <v>5886</v>
      </c>
      <c r="B4277" t="s">
        <v>972</v>
      </c>
      <c r="C4277" t="s">
        <v>995</v>
      </c>
      <c r="D4277" t="s">
        <v>7059</v>
      </c>
      <c r="E4277">
        <v>0.2369411706952366</v>
      </c>
    </row>
    <row r="4278" spans="1:5">
      <c r="A4278" t="s">
        <v>5887</v>
      </c>
      <c r="B4278" t="s">
        <v>972</v>
      </c>
      <c r="C4278" t="s">
        <v>995</v>
      </c>
      <c r="D4278" t="s">
        <v>7060</v>
      </c>
      <c r="E4278">
        <v>0.0002245172169386661</v>
      </c>
    </row>
    <row r="4279" spans="1:5">
      <c r="A4279" t="s">
        <v>5888</v>
      </c>
      <c r="B4279" t="s">
        <v>972</v>
      </c>
      <c r="C4279" t="s">
        <v>995</v>
      </c>
      <c r="D4279" t="s">
        <v>6993</v>
      </c>
      <c r="E4279">
        <v>2.456592790646915</v>
      </c>
    </row>
    <row r="4280" spans="1:5">
      <c r="A4280" t="s">
        <v>5889</v>
      </c>
      <c r="B4280" t="s">
        <v>972</v>
      </c>
      <c r="C4280" t="s">
        <v>995</v>
      </c>
      <c r="D4280" t="s">
        <v>7061</v>
      </c>
      <c r="E4280">
        <v>412.5744485379953</v>
      </c>
    </row>
    <row r="4281" spans="1:5">
      <c r="A4281" t="s">
        <v>5890</v>
      </c>
      <c r="B4281" t="s">
        <v>972</v>
      </c>
      <c r="C4281" t="s">
        <v>995</v>
      </c>
      <c r="D4281" t="s">
        <v>7062</v>
      </c>
      <c r="E4281">
        <v>1.946947326663133</v>
      </c>
    </row>
    <row r="4282" spans="1:5">
      <c r="A4282" t="s">
        <v>5891</v>
      </c>
      <c r="B4282" t="s">
        <v>972</v>
      </c>
      <c r="C4282" t="s">
        <v>995</v>
      </c>
      <c r="D4282" t="s">
        <v>7063</v>
      </c>
      <c r="E4282">
        <v>435.8024733222027</v>
      </c>
    </row>
    <row r="4283" spans="1:5">
      <c r="A4283" t="s">
        <v>5892</v>
      </c>
      <c r="B4283" t="s">
        <v>972</v>
      </c>
      <c r="C4283" t="s">
        <v>995</v>
      </c>
      <c r="D4283" t="s">
        <v>6994</v>
      </c>
      <c r="E4283">
        <v>1.915892417481495</v>
      </c>
    </row>
    <row r="4284" spans="1:5">
      <c r="A4284" t="s">
        <v>5893</v>
      </c>
      <c r="B4284" t="s">
        <v>972</v>
      </c>
      <c r="C4284" t="s">
        <v>995</v>
      </c>
      <c r="D4284" t="s">
        <v>7064</v>
      </c>
      <c r="E4284">
        <v>2.391712545534725</v>
      </c>
    </row>
    <row r="4285" spans="1:5">
      <c r="A4285" t="s">
        <v>5894</v>
      </c>
      <c r="B4285" t="s">
        <v>972</v>
      </c>
      <c r="C4285" t="s">
        <v>995</v>
      </c>
      <c r="D4285" t="s">
        <v>7065</v>
      </c>
      <c r="E4285">
        <v>3.534435397445338</v>
      </c>
    </row>
    <row r="4286" spans="1:5">
      <c r="A4286" t="s">
        <v>5895</v>
      </c>
      <c r="B4286" t="s">
        <v>972</v>
      </c>
      <c r="C4286" t="s">
        <v>995</v>
      </c>
      <c r="D4286" t="s">
        <v>7066</v>
      </c>
      <c r="E4286">
        <v>0.0766277828688241</v>
      </c>
    </row>
    <row r="4287" spans="1:5">
      <c r="A4287" t="s">
        <v>5896</v>
      </c>
      <c r="B4287" t="s">
        <v>972</v>
      </c>
      <c r="C4287" t="s">
        <v>995</v>
      </c>
      <c r="D4287" t="s">
        <v>7067</v>
      </c>
      <c r="E4287">
        <v>214.234824265657</v>
      </c>
    </row>
    <row r="4288" spans="1:5">
      <c r="A4288" t="s">
        <v>5897</v>
      </c>
      <c r="B4288" t="s">
        <v>972</v>
      </c>
      <c r="C4288" t="s">
        <v>995</v>
      </c>
      <c r="D4288" t="s">
        <v>7068</v>
      </c>
      <c r="E4288">
        <v>0.7183895184186361</v>
      </c>
    </row>
    <row r="4289" spans="1:5">
      <c r="A4289" t="s">
        <v>5898</v>
      </c>
      <c r="B4289" t="s">
        <v>972</v>
      </c>
      <c r="C4289" t="s">
        <v>995</v>
      </c>
      <c r="D4289" t="s">
        <v>6995</v>
      </c>
      <c r="E4289">
        <v>0.2014491530040182</v>
      </c>
    </row>
    <row r="4290" spans="1:5">
      <c r="A4290" t="s">
        <v>5899</v>
      </c>
      <c r="B4290" t="s">
        <v>972</v>
      </c>
      <c r="C4290" t="s">
        <v>995</v>
      </c>
      <c r="D4290" t="s">
        <v>7069</v>
      </c>
      <c r="E4290">
        <v>999.8881781454405</v>
      </c>
    </row>
    <row r="4291" spans="1:5">
      <c r="A4291" t="s">
        <v>5900</v>
      </c>
      <c r="B4291" t="s">
        <v>972</v>
      </c>
      <c r="C4291" t="s">
        <v>995</v>
      </c>
      <c r="D4291" t="s">
        <v>7070</v>
      </c>
      <c r="E4291">
        <v>370.7811095176298</v>
      </c>
    </row>
    <row r="4292" spans="1:5">
      <c r="A4292" t="s">
        <v>5901</v>
      </c>
      <c r="B4292" t="s">
        <v>972</v>
      </c>
      <c r="C4292" t="s">
        <v>995</v>
      </c>
      <c r="D4292" t="s">
        <v>7071</v>
      </c>
      <c r="E4292">
        <v>0.6522692134060477</v>
      </c>
    </row>
    <row r="4293" spans="1:5">
      <c r="A4293" t="s">
        <v>5902</v>
      </c>
      <c r="B4293" t="s">
        <v>972</v>
      </c>
      <c r="C4293" t="s">
        <v>995</v>
      </c>
      <c r="D4293" t="s">
        <v>7072</v>
      </c>
      <c r="E4293">
        <v>0.01394959300234799</v>
      </c>
    </row>
    <row r="4294" spans="1:5">
      <c r="A4294" t="s">
        <v>5903</v>
      </c>
      <c r="B4294" t="s">
        <v>972</v>
      </c>
      <c r="C4294" t="s">
        <v>995</v>
      </c>
      <c r="D4294" t="s">
        <v>7073</v>
      </c>
      <c r="E4294">
        <v>0.00345233665189476</v>
      </c>
    </row>
    <row r="4295" spans="1:5">
      <c r="A4295" t="s">
        <v>5904</v>
      </c>
      <c r="B4295" t="s">
        <v>972</v>
      </c>
      <c r="C4295" t="s">
        <v>995</v>
      </c>
      <c r="D4295" t="s">
        <v>7074</v>
      </c>
      <c r="E4295">
        <v>0.9217553534166021</v>
      </c>
    </row>
    <row r="4296" spans="1:5">
      <c r="A4296" t="s">
        <v>5905</v>
      </c>
      <c r="B4296" t="s">
        <v>972</v>
      </c>
      <c r="C4296" t="s">
        <v>995</v>
      </c>
      <c r="D4296" t="s">
        <v>7075</v>
      </c>
      <c r="E4296">
        <v>1.707253988416683</v>
      </c>
    </row>
    <row r="4297" spans="1:5">
      <c r="A4297" t="s">
        <v>5906</v>
      </c>
      <c r="B4297" t="s">
        <v>972</v>
      </c>
      <c r="C4297" t="s">
        <v>995</v>
      </c>
      <c r="D4297" t="s">
        <v>7076</v>
      </c>
      <c r="E4297">
        <v>19.03725430701517</v>
      </c>
    </row>
    <row r="4298" spans="1:5">
      <c r="A4298" t="s">
        <v>5907</v>
      </c>
      <c r="B4298" t="s">
        <v>972</v>
      </c>
      <c r="C4298" t="s">
        <v>995</v>
      </c>
      <c r="D4298" t="s">
        <v>7077</v>
      </c>
      <c r="E4298">
        <v>48.42270933561903</v>
      </c>
    </row>
    <row r="4299" spans="1:5">
      <c r="A4299" t="s">
        <v>5908</v>
      </c>
      <c r="B4299" t="s">
        <v>972</v>
      </c>
      <c r="C4299" t="s">
        <v>995</v>
      </c>
      <c r="D4299" t="s">
        <v>7078</v>
      </c>
      <c r="E4299">
        <v>33.00119119140243</v>
      </c>
    </row>
    <row r="4300" spans="1:5">
      <c r="A4300" t="s">
        <v>5909</v>
      </c>
      <c r="B4300" t="s">
        <v>972</v>
      </c>
      <c r="C4300" t="s">
        <v>995</v>
      </c>
      <c r="D4300" t="s">
        <v>7079</v>
      </c>
      <c r="E4300">
        <v>17.56478117607299</v>
      </c>
    </row>
    <row r="4301" spans="1:5">
      <c r="A4301" t="s">
        <v>5910</v>
      </c>
      <c r="B4301" t="s">
        <v>972</v>
      </c>
      <c r="C4301" t="s">
        <v>995</v>
      </c>
      <c r="D4301" t="s">
        <v>7080</v>
      </c>
      <c r="E4301">
        <v>0.07340932901163338</v>
      </c>
    </row>
    <row r="4302" spans="1:5">
      <c r="A4302" t="s">
        <v>5911</v>
      </c>
      <c r="B4302" t="s">
        <v>972</v>
      </c>
      <c r="C4302" t="s">
        <v>995</v>
      </c>
      <c r="D4302" t="s">
        <v>7081</v>
      </c>
      <c r="E4302">
        <v>5.730925803109144</v>
      </c>
    </row>
    <row r="4303" spans="1:5">
      <c r="A4303" t="s">
        <v>5912</v>
      </c>
      <c r="B4303" t="s">
        <v>972</v>
      </c>
      <c r="C4303" t="s">
        <v>995</v>
      </c>
      <c r="D4303" t="s">
        <v>7082</v>
      </c>
      <c r="E4303">
        <v>0.1479514099511929</v>
      </c>
    </row>
    <row r="4304" spans="1:5">
      <c r="A4304" t="s">
        <v>5913</v>
      </c>
      <c r="B4304" t="s">
        <v>972</v>
      </c>
      <c r="C4304" t="s">
        <v>995</v>
      </c>
      <c r="D4304" t="s">
        <v>7083</v>
      </c>
      <c r="E4304">
        <v>0.08685784301980057</v>
      </c>
    </row>
    <row r="4305" spans="1:5">
      <c r="A4305" t="s">
        <v>5914</v>
      </c>
      <c r="B4305" t="s">
        <v>972</v>
      </c>
      <c r="C4305" t="s">
        <v>995</v>
      </c>
      <c r="D4305" t="s">
        <v>7084</v>
      </c>
      <c r="E4305">
        <v>38.24953866177228</v>
      </c>
    </row>
    <row r="4306" spans="1:5">
      <c r="A4306" t="s">
        <v>5915</v>
      </c>
      <c r="B4306" t="s">
        <v>972</v>
      </c>
      <c r="C4306" t="s">
        <v>995</v>
      </c>
      <c r="D4306" t="s">
        <v>7085</v>
      </c>
      <c r="E4306">
        <v>7.778728139689062</v>
      </c>
    </row>
    <row r="4307" spans="1:5">
      <c r="A4307" t="s">
        <v>5916</v>
      </c>
      <c r="B4307" t="s">
        <v>972</v>
      </c>
      <c r="C4307" t="s">
        <v>995</v>
      </c>
      <c r="D4307" t="s">
        <v>7086</v>
      </c>
      <c r="E4307">
        <v>6.579555616237338</v>
      </c>
    </row>
    <row r="4308" spans="1:5">
      <c r="A4308" t="s">
        <v>5917</v>
      </c>
      <c r="B4308" t="s">
        <v>972</v>
      </c>
      <c r="C4308" t="s">
        <v>995</v>
      </c>
      <c r="D4308" t="s">
        <v>7087</v>
      </c>
      <c r="E4308">
        <v>20.06482265889427</v>
      </c>
    </row>
    <row r="4309" spans="1:5">
      <c r="A4309" t="s">
        <v>5918</v>
      </c>
      <c r="B4309" t="s">
        <v>972</v>
      </c>
      <c r="C4309" t="s">
        <v>995</v>
      </c>
      <c r="D4309" t="s">
        <v>7088</v>
      </c>
      <c r="E4309">
        <v>0.1772644312708855</v>
      </c>
    </row>
    <row r="4310" spans="1:5">
      <c r="A4310" t="s">
        <v>5919</v>
      </c>
      <c r="B4310" t="s">
        <v>972</v>
      </c>
      <c r="C4310" t="s">
        <v>995</v>
      </c>
      <c r="D4310" t="s">
        <v>6996</v>
      </c>
      <c r="E4310">
        <v>17.68932700725923</v>
      </c>
    </row>
    <row r="4311" spans="1:5">
      <c r="A4311" t="s">
        <v>5920</v>
      </c>
      <c r="B4311" t="s">
        <v>972</v>
      </c>
      <c r="C4311" t="s">
        <v>995</v>
      </c>
      <c r="D4311" t="s">
        <v>6997</v>
      </c>
      <c r="E4311">
        <v>75.86005261755936</v>
      </c>
    </row>
    <row r="4312" spans="1:5">
      <c r="A4312" t="s">
        <v>5921</v>
      </c>
      <c r="B4312" t="s">
        <v>972</v>
      </c>
      <c r="C4312" t="s">
        <v>995</v>
      </c>
      <c r="D4312" t="s">
        <v>7089</v>
      </c>
      <c r="E4312">
        <v>4.844787341038853</v>
      </c>
    </row>
    <row r="4313" spans="1:5">
      <c r="A4313" t="s">
        <v>5922</v>
      </c>
      <c r="B4313" t="s">
        <v>972</v>
      </c>
      <c r="C4313" t="s">
        <v>995</v>
      </c>
      <c r="D4313" t="s">
        <v>7090</v>
      </c>
      <c r="E4313">
        <v>19.03725430701517</v>
      </c>
    </row>
    <row r="4314" spans="1:5">
      <c r="A4314" t="s">
        <v>5923</v>
      </c>
      <c r="B4314" t="s">
        <v>972</v>
      </c>
      <c r="C4314" t="s">
        <v>995</v>
      </c>
      <c r="D4314" t="s">
        <v>7091</v>
      </c>
      <c r="E4314">
        <v>0.2277888484078072</v>
      </c>
    </row>
    <row r="4315" spans="1:5">
      <c r="A4315" t="s">
        <v>5924</v>
      </c>
      <c r="B4315" t="s">
        <v>972</v>
      </c>
      <c r="C4315" t="s">
        <v>995</v>
      </c>
      <c r="D4315" t="s">
        <v>7092</v>
      </c>
      <c r="E4315">
        <v>8.437604179528705</v>
      </c>
    </row>
    <row r="4316" spans="1:5">
      <c r="A4316" t="s">
        <v>5925</v>
      </c>
      <c r="B4316" t="s">
        <v>972</v>
      </c>
      <c r="C4316" t="s">
        <v>995</v>
      </c>
      <c r="D4316" t="s">
        <v>6998</v>
      </c>
      <c r="E4316">
        <v>31.40624614002732</v>
      </c>
    </row>
    <row r="4317" spans="1:5">
      <c r="A4317" t="s">
        <v>5926</v>
      </c>
      <c r="B4317" t="s">
        <v>972</v>
      </c>
      <c r="C4317" t="s">
        <v>995</v>
      </c>
      <c r="D4317" t="s">
        <v>7093</v>
      </c>
      <c r="E4317">
        <v>2.026307893889799</v>
      </c>
    </row>
    <row r="4318" spans="1:5">
      <c r="A4318" t="s">
        <v>5927</v>
      </c>
      <c r="B4318" t="s">
        <v>972</v>
      </c>
      <c r="C4318" t="s">
        <v>995</v>
      </c>
      <c r="D4318" t="s">
        <v>6999</v>
      </c>
      <c r="E4318">
        <v>176.3739522595661</v>
      </c>
    </row>
    <row r="4319" spans="1:5">
      <c r="A4319" t="s">
        <v>5928</v>
      </c>
      <c r="B4319" t="s">
        <v>972</v>
      </c>
      <c r="C4319" t="s">
        <v>995</v>
      </c>
      <c r="D4319" t="s">
        <v>7094</v>
      </c>
      <c r="E4319">
        <v>803.6063715614895</v>
      </c>
    </row>
    <row r="4320" spans="1:5">
      <c r="A4320" t="s">
        <v>5929</v>
      </c>
      <c r="B4320" t="s">
        <v>972</v>
      </c>
      <c r="C4320" t="s">
        <v>995</v>
      </c>
      <c r="D4320" t="s">
        <v>7095</v>
      </c>
      <c r="E4320">
        <v>308.9842039049611</v>
      </c>
    </row>
    <row r="4321" spans="1:5">
      <c r="A4321" t="s">
        <v>5930</v>
      </c>
      <c r="B4321" t="s">
        <v>972</v>
      </c>
      <c r="C4321" t="s">
        <v>995</v>
      </c>
      <c r="D4321" t="s">
        <v>7096</v>
      </c>
      <c r="E4321">
        <v>90.84875885900421</v>
      </c>
    </row>
    <row r="4322" spans="1:5">
      <c r="A4322" t="s">
        <v>5931</v>
      </c>
      <c r="B4322" t="s">
        <v>972</v>
      </c>
      <c r="C4322" t="s">
        <v>995</v>
      </c>
      <c r="D4322" t="s">
        <v>7097</v>
      </c>
      <c r="E4322">
        <v>70.69689933350682</v>
      </c>
    </row>
    <row r="4323" spans="1:5">
      <c r="A4323" t="s">
        <v>5932</v>
      </c>
      <c r="B4323" t="s">
        <v>972</v>
      </c>
      <c r="C4323" t="s">
        <v>995</v>
      </c>
      <c r="D4323" t="s">
        <v>7000</v>
      </c>
      <c r="E4323">
        <v>5.027389551995732</v>
      </c>
    </row>
    <row r="4324" spans="1:5">
      <c r="A4324" t="s">
        <v>5933</v>
      </c>
      <c r="B4324" t="s">
        <v>972</v>
      </c>
      <c r="C4324" t="s">
        <v>995</v>
      </c>
      <c r="D4324" t="s">
        <v>7098</v>
      </c>
      <c r="E4324">
        <v>1.112275364849914</v>
      </c>
    </row>
    <row r="4325" spans="1:5">
      <c r="A4325" t="s">
        <v>5934</v>
      </c>
      <c r="B4325" t="s">
        <v>972</v>
      </c>
      <c r="C4325" t="s">
        <v>995</v>
      </c>
      <c r="D4325" t="s">
        <v>7001</v>
      </c>
      <c r="E4325">
        <v>82.42946110398849</v>
      </c>
    </row>
    <row r="4326" spans="1:5">
      <c r="A4326" t="s">
        <v>5935</v>
      </c>
      <c r="B4326" t="s">
        <v>972</v>
      </c>
      <c r="C4326" t="s">
        <v>995</v>
      </c>
      <c r="D4326" t="s">
        <v>7099</v>
      </c>
      <c r="E4326">
        <v>0.05122396122083388</v>
      </c>
    </row>
    <row r="4327" spans="1:5">
      <c r="A4327" t="s">
        <v>5936</v>
      </c>
      <c r="B4327" t="s">
        <v>972</v>
      </c>
      <c r="C4327" t="s">
        <v>995</v>
      </c>
      <c r="D4327" t="s">
        <v>7100</v>
      </c>
      <c r="E4327">
        <v>84.88575562425258</v>
      </c>
    </row>
    <row r="4328" spans="1:5">
      <c r="A4328" t="s">
        <v>5937</v>
      </c>
      <c r="B4328" t="s">
        <v>972</v>
      </c>
      <c r="C4328" t="s">
        <v>995</v>
      </c>
      <c r="D4328" t="s">
        <v>7002</v>
      </c>
      <c r="E4328">
        <v>67.54205510851273</v>
      </c>
    </row>
    <row r="4329" spans="1:5">
      <c r="A4329" t="s">
        <v>5938</v>
      </c>
      <c r="B4329" t="s">
        <v>972</v>
      </c>
      <c r="C4329" t="s">
        <v>995</v>
      </c>
      <c r="D4329" t="s">
        <v>7101</v>
      </c>
      <c r="E4329">
        <v>3.011666160070305</v>
      </c>
    </row>
    <row r="4330" spans="1:5">
      <c r="A4330" t="s">
        <v>5939</v>
      </c>
      <c r="B4330" t="s">
        <v>972</v>
      </c>
      <c r="C4330" t="s">
        <v>995</v>
      </c>
      <c r="D4330" t="s">
        <v>7102</v>
      </c>
      <c r="E4330">
        <v>3.992031072974606</v>
      </c>
    </row>
    <row r="4331" spans="1:5">
      <c r="A4331" t="s">
        <v>5940</v>
      </c>
      <c r="B4331" t="s">
        <v>972</v>
      </c>
      <c r="C4331" t="s">
        <v>995</v>
      </c>
      <c r="D4331" t="s">
        <v>7103</v>
      </c>
      <c r="E4331">
        <v>0.2105735933524692</v>
      </c>
    </row>
    <row r="4332" spans="1:5">
      <c r="A4332" t="s">
        <v>5941</v>
      </c>
      <c r="B4332" t="s">
        <v>972</v>
      </c>
      <c r="C4332" t="s">
        <v>995</v>
      </c>
      <c r="D4332" t="s">
        <v>7104</v>
      </c>
      <c r="E4332">
        <v>82.39577330095547</v>
      </c>
    </row>
    <row r="4333" spans="1:5">
      <c r="A4333" t="s">
        <v>5942</v>
      </c>
      <c r="B4333" t="s">
        <v>972</v>
      </c>
      <c r="C4333" t="s">
        <v>995</v>
      </c>
      <c r="D4333" t="s">
        <v>7105</v>
      </c>
      <c r="E4333">
        <v>38.79783293870378</v>
      </c>
    </row>
    <row r="4334" spans="1:5">
      <c r="A4334" t="s">
        <v>5943</v>
      </c>
      <c r="B4334" t="s">
        <v>972</v>
      </c>
      <c r="C4334" t="s">
        <v>995</v>
      </c>
      <c r="D4334" t="s">
        <v>7106</v>
      </c>
      <c r="E4334">
        <v>20.90414610406586</v>
      </c>
    </row>
    <row r="4335" spans="1:5">
      <c r="A4335" t="s">
        <v>5944</v>
      </c>
      <c r="B4335" t="s">
        <v>972</v>
      </c>
      <c r="C4335" t="s">
        <v>995</v>
      </c>
      <c r="D4335" t="s">
        <v>7107</v>
      </c>
      <c r="E4335">
        <v>0.6946913470801789</v>
      </c>
    </row>
    <row r="4336" spans="1:5">
      <c r="A4336" t="s">
        <v>5945</v>
      </c>
      <c r="B4336" t="s">
        <v>972</v>
      </c>
      <c r="C4336" t="s">
        <v>995</v>
      </c>
      <c r="D4336" t="s">
        <v>7003</v>
      </c>
      <c r="E4336">
        <v>32.01709444062654</v>
      </c>
    </row>
    <row r="4337" spans="1:5">
      <c r="A4337" t="s">
        <v>5946</v>
      </c>
      <c r="B4337" t="s">
        <v>972</v>
      </c>
      <c r="C4337" t="s">
        <v>995</v>
      </c>
      <c r="D4337" t="s">
        <v>7004</v>
      </c>
      <c r="E4337">
        <v>239.2540954364121</v>
      </c>
    </row>
    <row r="4338" spans="1:5">
      <c r="A4338" t="s">
        <v>5947</v>
      </c>
      <c r="B4338" t="s">
        <v>972</v>
      </c>
      <c r="C4338" t="s">
        <v>995</v>
      </c>
      <c r="D4338" t="s">
        <v>7108</v>
      </c>
      <c r="E4338">
        <v>412.5744485379953</v>
      </c>
    </row>
    <row r="4339" spans="1:5">
      <c r="A4339" t="s">
        <v>5948</v>
      </c>
      <c r="B4339" t="s">
        <v>972</v>
      </c>
      <c r="C4339" t="s">
        <v>995</v>
      </c>
      <c r="D4339" t="s">
        <v>7109</v>
      </c>
      <c r="E4339">
        <v>12.6866393452568</v>
      </c>
    </row>
    <row r="4340" spans="1:5">
      <c r="A4340" t="s">
        <v>5949</v>
      </c>
      <c r="B4340" t="s">
        <v>972</v>
      </c>
      <c r="C4340" t="s">
        <v>995</v>
      </c>
      <c r="D4340" t="s">
        <v>7110</v>
      </c>
      <c r="E4340">
        <v>0.01268665558041991</v>
      </c>
    </row>
    <row r="4341" spans="1:5">
      <c r="A4341" t="s">
        <v>5950</v>
      </c>
      <c r="B4341" t="s">
        <v>972</v>
      </c>
      <c r="C4341" t="s">
        <v>995</v>
      </c>
      <c r="D4341" t="s">
        <v>7111</v>
      </c>
      <c r="E4341">
        <v>0.5434523025601984</v>
      </c>
    </row>
    <row r="4342" spans="1:5">
      <c r="A4342" t="s">
        <v>5951</v>
      </c>
      <c r="B4342" t="s">
        <v>972</v>
      </c>
      <c r="C4342" t="s">
        <v>995</v>
      </c>
      <c r="D4342" t="s">
        <v>7112</v>
      </c>
      <c r="E4342">
        <v>8.248577522320378</v>
      </c>
    </row>
    <row r="4343" spans="1:5">
      <c r="A4343" t="s">
        <v>5952</v>
      </c>
      <c r="B4343" t="s">
        <v>972</v>
      </c>
      <c r="C4343" t="s">
        <v>995</v>
      </c>
      <c r="D4343" t="s">
        <v>7113</v>
      </c>
      <c r="E4343">
        <v>0.06557265798358841</v>
      </c>
    </row>
    <row r="4344" spans="1:5">
      <c r="A4344" t="s">
        <v>5953</v>
      </c>
      <c r="B4344" t="s">
        <v>972</v>
      </c>
      <c r="C4344" t="s">
        <v>995</v>
      </c>
      <c r="D4344" t="s">
        <v>7114</v>
      </c>
      <c r="E4344">
        <v>14.4254887755102</v>
      </c>
    </row>
    <row r="4345" spans="1:5">
      <c r="A4345" t="s">
        <v>5954</v>
      </c>
      <c r="B4345" t="s">
        <v>972</v>
      </c>
      <c r="C4345" t="s">
        <v>995</v>
      </c>
      <c r="D4345" t="s">
        <v>7115</v>
      </c>
      <c r="E4345">
        <v>2.737409400656982</v>
      </c>
    </row>
    <row r="4346" spans="1:5">
      <c r="A4346" t="s">
        <v>5955</v>
      </c>
      <c r="B4346" t="s">
        <v>972</v>
      </c>
      <c r="C4346" t="s">
        <v>995</v>
      </c>
      <c r="D4346" t="s">
        <v>7116</v>
      </c>
      <c r="E4346">
        <v>19.03725430701517</v>
      </c>
    </row>
    <row r="4347" spans="1:5">
      <c r="A4347" t="s">
        <v>5956</v>
      </c>
      <c r="B4347" t="s">
        <v>972</v>
      </c>
      <c r="C4347" t="s">
        <v>995</v>
      </c>
      <c r="D4347" t="s">
        <v>7005</v>
      </c>
      <c r="E4347">
        <v>9.314411759993034</v>
      </c>
    </row>
    <row r="4348" spans="1:5">
      <c r="A4348" t="s">
        <v>5957</v>
      </c>
      <c r="B4348" t="s">
        <v>972</v>
      </c>
      <c r="C4348" t="s">
        <v>995</v>
      </c>
      <c r="D4348" t="s">
        <v>7117</v>
      </c>
      <c r="E4348">
        <v>33.32831415767765</v>
      </c>
    </row>
    <row r="4349" spans="1:5">
      <c r="A4349" t="s">
        <v>5958</v>
      </c>
      <c r="B4349" t="s">
        <v>972</v>
      </c>
      <c r="C4349" t="s">
        <v>995</v>
      </c>
      <c r="D4349" t="s">
        <v>7118</v>
      </c>
      <c r="E4349">
        <v>88.26930588765948</v>
      </c>
    </row>
    <row r="4350" spans="1:5">
      <c r="A4350" t="s">
        <v>5959</v>
      </c>
      <c r="B4350" t="s">
        <v>972</v>
      </c>
      <c r="C4350" t="s">
        <v>995</v>
      </c>
      <c r="D4350" t="s">
        <v>7119</v>
      </c>
      <c r="E4350">
        <v>105.0420480889259</v>
      </c>
    </row>
    <row r="4351" spans="1:5">
      <c r="A4351" t="s">
        <v>5960</v>
      </c>
      <c r="B4351" t="s">
        <v>972</v>
      </c>
      <c r="C4351" t="s">
        <v>995</v>
      </c>
      <c r="D4351" t="s">
        <v>7120</v>
      </c>
      <c r="E4351">
        <v>129.5961840343718</v>
      </c>
    </row>
    <row r="4352" spans="1:5">
      <c r="A4352" t="s">
        <v>5961</v>
      </c>
      <c r="B4352" t="s">
        <v>972</v>
      </c>
      <c r="C4352" t="s">
        <v>995</v>
      </c>
      <c r="D4352" t="s">
        <v>7006</v>
      </c>
      <c r="E4352">
        <v>6.596868302327834</v>
      </c>
    </row>
    <row r="4353" spans="1:5">
      <c r="A4353" t="s">
        <v>5962</v>
      </c>
      <c r="B4353" t="s">
        <v>972</v>
      </c>
      <c r="C4353" t="s">
        <v>995</v>
      </c>
      <c r="D4353" t="s">
        <v>7121</v>
      </c>
      <c r="E4353">
        <v>44.0586549128543</v>
      </c>
    </row>
    <row r="4354" spans="1:5">
      <c r="A4354" t="s">
        <v>5963</v>
      </c>
      <c r="B4354" t="s">
        <v>972</v>
      </c>
      <c r="C4354" t="s">
        <v>995</v>
      </c>
      <c r="D4354" t="s">
        <v>7122</v>
      </c>
      <c r="E4354">
        <v>214.234824265657</v>
      </c>
    </row>
    <row r="4355" spans="1:5">
      <c r="A4355" t="s">
        <v>5964</v>
      </c>
      <c r="B4355" t="s">
        <v>972</v>
      </c>
      <c r="C4355" t="s">
        <v>995</v>
      </c>
      <c r="D4355" t="s">
        <v>7123</v>
      </c>
      <c r="E4355">
        <v>9.676463932684511</v>
      </c>
    </row>
    <row r="4356" spans="1:5">
      <c r="A4356" t="s">
        <v>5965</v>
      </c>
      <c r="B4356" t="s">
        <v>972</v>
      </c>
      <c r="C4356" t="s">
        <v>995</v>
      </c>
      <c r="D4356" t="s">
        <v>7124</v>
      </c>
      <c r="E4356">
        <v>0.1186415504469365</v>
      </c>
    </row>
    <row r="4357" spans="1:5">
      <c r="A4357" t="s">
        <v>5966</v>
      </c>
      <c r="B4357" t="s">
        <v>972</v>
      </c>
      <c r="C4357" t="s">
        <v>995</v>
      </c>
      <c r="D4357" t="s">
        <v>7125</v>
      </c>
      <c r="E4357">
        <v>6.914573716606355</v>
      </c>
    </row>
    <row r="4358" spans="1:5">
      <c r="A4358" t="s">
        <v>5967</v>
      </c>
      <c r="B4358" t="s">
        <v>972</v>
      </c>
      <c r="C4358" t="s">
        <v>995</v>
      </c>
      <c r="D4358" t="s">
        <v>7126</v>
      </c>
      <c r="E4358">
        <v>0.08523496424503156</v>
      </c>
    </row>
    <row r="4359" spans="1:5">
      <c r="A4359" t="s">
        <v>5968</v>
      </c>
      <c r="B4359" t="s">
        <v>972</v>
      </c>
      <c r="C4359" t="s">
        <v>995</v>
      </c>
      <c r="D4359" t="s">
        <v>998</v>
      </c>
      <c r="E4359">
        <v>308.9836636420304</v>
      </c>
    </row>
    <row r="4360" spans="1:5">
      <c r="A4360" t="s">
        <v>5969</v>
      </c>
      <c r="B4360" t="s">
        <v>972</v>
      </c>
      <c r="C4360" t="s">
        <v>995</v>
      </c>
      <c r="D4360" t="s">
        <v>7127</v>
      </c>
      <c r="E4360">
        <v>7.723303112338984</v>
      </c>
    </row>
    <row r="4361" spans="1:5">
      <c r="A4361" t="s">
        <v>5970</v>
      </c>
      <c r="B4361" t="s">
        <v>972</v>
      </c>
      <c r="C4361" t="s">
        <v>995</v>
      </c>
      <c r="D4361" t="s">
        <v>7128</v>
      </c>
      <c r="E4361">
        <v>0.02586129640818592</v>
      </c>
    </row>
    <row r="4362" spans="1:5">
      <c r="A4362" t="s">
        <v>5971</v>
      </c>
      <c r="B4362" t="s">
        <v>972</v>
      </c>
      <c r="C4362" t="s">
        <v>995</v>
      </c>
      <c r="D4362" t="s">
        <v>7129</v>
      </c>
      <c r="E4362">
        <v>0.4630872879121438</v>
      </c>
    </row>
    <row r="4363" spans="1:5">
      <c r="A4363" t="s">
        <v>5972</v>
      </c>
      <c r="B4363" t="s">
        <v>972</v>
      </c>
      <c r="C4363" t="s">
        <v>995</v>
      </c>
      <c r="D4363" t="s">
        <v>7130</v>
      </c>
      <c r="E4363">
        <v>0.01188626704243552</v>
      </c>
    </row>
    <row r="4364" spans="1:5">
      <c r="A4364" t="s">
        <v>5973</v>
      </c>
      <c r="B4364" t="s">
        <v>972</v>
      </c>
      <c r="C4364" t="s">
        <v>995</v>
      </c>
      <c r="D4364" t="s">
        <v>7131</v>
      </c>
      <c r="E4364">
        <v>2.582053968774258</v>
      </c>
    </row>
    <row r="4365" spans="1:5">
      <c r="A4365" t="s">
        <v>5974</v>
      </c>
      <c r="B4365" t="s">
        <v>972</v>
      </c>
      <c r="C4365" t="s">
        <v>995</v>
      </c>
      <c r="D4365" t="s">
        <v>7132</v>
      </c>
      <c r="E4365">
        <v>113.2010999668812</v>
      </c>
    </row>
    <row r="4366" spans="1:5">
      <c r="A4366" t="s">
        <v>5975</v>
      </c>
      <c r="B4366" t="s">
        <v>972</v>
      </c>
      <c r="C4366" t="s">
        <v>995</v>
      </c>
      <c r="D4366" t="s">
        <v>7133</v>
      </c>
      <c r="E4366">
        <v>0.5387921388139771</v>
      </c>
    </row>
    <row r="4367" spans="1:5">
      <c r="A4367" t="s">
        <v>5976</v>
      </c>
      <c r="B4367" t="s">
        <v>972</v>
      </c>
      <c r="C4367" t="s">
        <v>995</v>
      </c>
      <c r="D4367" t="s">
        <v>7134</v>
      </c>
      <c r="E4367">
        <v>114.43855327824</v>
      </c>
    </row>
    <row r="4368" spans="1:5">
      <c r="A4368" t="s">
        <v>5977</v>
      </c>
      <c r="B4368" t="s">
        <v>972</v>
      </c>
      <c r="C4368" t="s">
        <v>995</v>
      </c>
      <c r="D4368" t="s">
        <v>7135</v>
      </c>
      <c r="E4368">
        <v>172.6168172034398</v>
      </c>
    </row>
    <row r="4369" spans="1:5">
      <c r="A4369" t="s">
        <v>5978</v>
      </c>
      <c r="B4369" t="s">
        <v>972</v>
      </c>
      <c r="C4369" t="s">
        <v>995</v>
      </c>
      <c r="D4369" t="s">
        <v>7136</v>
      </c>
      <c r="E4369">
        <v>420.3355970100438</v>
      </c>
    </row>
    <row r="4370" spans="1:5">
      <c r="A4370" t="s">
        <v>5979</v>
      </c>
      <c r="B4370" t="s">
        <v>972</v>
      </c>
      <c r="C4370" t="s">
        <v>995</v>
      </c>
      <c r="D4370" t="s">
        <v>7137</v>
      </c>
      <c r="E4370">
        <v>0.5387921388139771</v>
      </c>
    </row>
    <row r="4371" spans="1:5">
      <c r="A4371" t="s">
        <v>5980</v>
      </c>
      <c r="B4371" t="s">
        <v>972</v>
      </c>
      <c r="C4371" t="s">
        <v>995</v>
      </c>
      <c r="D4371" t="s">
        <v>7138</v>
      </c>
      <c r="E4371">
        <v>2.961690703248081</v>
      </c>
    </row>
    <row r="4372" spans="1:5">
      <c r="A4372" t="s">
        <v>5981</v>
      </c>
      <c r="B4372" t="s">
        <v>972</v>
      </c>
      <c r="C4372" t="s">
        <v>995</v>
      </c>
      <c r="D4372" t="s">
        <v>7139</v>
      </c>
      <c r="E4372">
        <v>1.300408151968639</v>
      </c>
    </row>
    <row r="4373" spans="1:5">
      <c r="A4373" t="s">
        <v>5982</v>
      </c>
      <c r="B4373" t="s">
        <v>972</v>
      </c>
      <c r="C4373" t="s">
        <v>995</v>
      </c>
      <c r="D4373" t="s">
        <v>7007</v>
      </c>
      <c r="E4373">
        <v>19.03723687448101</v>
      </c>
    </row>
    <row r="4374" spans="1:5">
      <c r="A4374" t="s">
        <v>5983</v>
      </c>
      <c r="B4374" t="s">
        <v>972</v>
      </c>
      <c r="C4374" t="s">
        <v>995</v>
      </c>
      <c r="D4374" t="s">
        <v>7140</v>
      </c>
      <c r="E4374">
        <v>16.8292039799692</v>
      </c>
    </row>
    <row r="4375" spans="1:5">
      <c r="A4375" t="s">
        <v>5984</v>
      </c>
      <c r="B4375" t="s">
        <v>972</v>
      </c>
      <c r="C4375" t="s">
        <v>995</v>
      </c>
      <c r="D4375" t="s">
        <v>7141</v>
      </c>
      <c r="E4375">
        <v>11.50912378452661</v>
      </c>
    </row>
    <row r="4376" spans="1:5">
      <c r="A4376" t="s">
        <v>5985</v>
      </c>
      <c r="B4376" t="s">
        <v>972</v>
      </c>
      <c r="C4376" t="s">
        <v>995</v>
      </c>
      <c r="D4376" t="s">
        <v>7142</v>
      </c>
      <c r="E4376">
        <v>11.50912378452661</v>
      </c>
    </row>
    <row r="4377" spans="1:5">
      <c r="A4377" t="s">
        <v>5821</v>
      </c>
      <c r="B4377" t="s">
        <v>972</v>
      </c>
      <c r="C4377" t="s">
        <v>995</v>
      </c>
      <c r="D4377" t="s">
        <v>996</v>
      </c>
      <c r="E4377">
        <v>353.424475</v>
      </c>
    </row>
    <row r="4378" spans="1:5">
      <c r="A4378" t="s">
        <v>5986</v>
      </c>
      <c r="B4378" t="s">
        <v>973</v>
      </c>
      <c r="C4378" t="s">
        <v>995</v>
      </c>
      <c r="D4378" t="s">
        <v>996</v>
      </c>
      <c r="E4378">
        <v>353.153077</v>
      </c>
    </row>
    <row r="4379" spans="1:5">
      <c r="A4379" t="s">
        <v>5987</v>
      </c>
      <c r="B4379" t="s">
        <v>973</v>
      </c>
      <c r="C4379" t="s">
        <v>995</v>
      </c>
      <c r="D4379" t="s">
        <v>7008</v>
      </c>
      <c r="E4379">
        <v>84.07585854714183</v>
      </c>
    </row>
    <row r="4380" spans="1:5">
      <c r="A4380" t="s">
        <v>5988</v>
      </c>
      <c r="B4380" t="s">
        <v>973</v>
      </c>
      <c r="C4380" t="s">
        <v>995</v>
      </c>
      <c r="D4380" t="s">
        <v>7009</v>
      </c>
      <c r="E4380">
        <v>4.811226133736861</v>
      </c>
    </row>
    <row r="4381" spans="1:5">
      <c r="A4381" t="s">
        <v>5989</v>
      </c>
      <c r="B4381" t="s">
        <v>973</v>
      </c>
      <c r="C4381" t="s">
        <v>995</v>
      </c>
      <c r="D4381" t="s">
        <v>7010</v>
      </c>
      <c r="E4381">
        <v>3.760111681637296</v>
      </c>
    </row>
    <row r="4382" spans="1:5">
      <c r="A4382" t="s">
        <v>5990</v>
      </c>
      <c r="B4382" t="s">
        <v>973</v>
      </c>
      <c r="C4382" t="s">
        <v>995</v>
      </c>
      <c r="D4382" t="s">
        <v>7011</v>
      </c>
      <c r="E4382">
        <v>0.8382610568192035</v>
      </c>
    </row>
    <row r="4383" spans="1:5">
      <c r="A4383" t="s">
        <v>5991</v>
      </c>
      <c r="B4383" t="s">
        <v>973</v>
      </c>
      <c r="C4383" t="s">
        <v>995</v>
      </c>
      <c r="D4383" t="s">
        <v>7012</v>
      </c>
      <c r="E4383">
        <v>172.4963950203853</v>
      </c>
    </row>
    <row r="4384" spans="1:5">
      <c r="A4384" t="s">
        <v>5992</v>
      </c>
      <c r="B4384" t="s">
        <v>973</v>
      </c>
      <c r="C4384" t="s">
        <v>995</v>
      </c>
      <c r="D4384" t="s">
        <v>7013</v>
      </c>
      <c r="E4384">
        <v>0.3331223359966554</v>
      </c>
    </row>
    <row r="4385" spans="1:5">
      <c r="A4385" t="s">
        <v>5993</v>
      </c>
      <c r="B4385" t="s">
        <v>973</v>
      </c>
      <c r="C4385" t="s">
        <v>995</v>
      </c>
      <c r="D4385" t="s">
        <v>7014</v>
      </c>
      <c r="E4385">
        <v>0.2074241146721813</v>
      </c>
    </row>
    <row r="4386" spans="1:5">
      <c r="A4386" t="s">
        <v>5994</v>
      </c>
      <c r="B4386" t="s">
        <v>973</v>
      </c>
      <c r="C4386" t="s">
        <v>995</v>
      </c>
      <c r="D4386" t="s">
        <v>6981</v>
      </c>
      <c r="E4386">
        <v>214.1775490029596</v>
      </c>
    </row>
    <row r="4387" spans="1:5">
      <c r="A4387" t="s">
        <v>5995</v>
      </c>
      <c r="B4387" t="s">
        <v>973</v>
      </c>
      <c r="C4387" t="s">
        <v>995</v>
      </c>
      <c r="D4387" t="s">
        <v>7015</v>
      </c>
      <c r="E4387">
        <v>172.4963950203853</v>
      </c>
    </row>
    <row r="4388" spans="1:5">
      <c r="A4388" t="s">
        <v>5996</v>
      </c>
      <c r="B4388" t="s">
        <v>973</v>
      </c>
      <c r="C4388" t="s">
        <v>995</v>
      </c>
      <c r="D4388" t="s">
        <v>7016</v>
      </c>
      <c r="E4388">
        <v>181.6120971167563</v>
      </c>
    </row>
    <row r="4389" spans="1:5">
      <c r="A4389" t="s">
        <v>5997</v>
      </c>
      <c r="B4389" t="s">
        <v>973</v>
      </c>
      <c r="C4389" t="s">
        <v>995</v>
      </c>
      <c r="D4389" t="s">
        <v>7017</v>
      </c>
      <c r="E4389">
        <v>180.564301089563</v>
      </c>
    </row>
    <row r="4390" spans="1:5">
      <c r="A4390" t="s">
        <v>5998</v>
      </c>
      <c r="B4390" t="s">
        <v>973</v>
      </c>
      <c r="C4390" t="s">
        <v>995</v>
      </c>
      <c r="D4390" t="s">
        <v>7018</v>
      </c>
      <c r="E4390">
        <v>154.3842637401453</v>
      </c>
    </row>
    <row r="4391" spans="1:5">
      <c r="A4391" t="s">
        <v>5999</v>
      </c>
      <c r="B4391" t="s">
        <v>973</v>
      </c>
      <c r="C4391" t="s">
        <v>995</v>
      </c>
      <c r="D4391" t="s">
        <v>7019</v>
      </c>
      <c r="E4391">
        <v>2.506074112953294</v>
      </c>
    </row>
    <row r="4392" spans="1:5">
      <c r="A4392" t="s">
        <v>6000</v>
      </c>
      <c r="B4392" t="s">
        <v>973</v>
      </c>
      <c r="C4392" t="s">
        <v>995</v>
      </c>
      <c r="D4392" t="s">
        <v>997</v>
      </c>
      <c r="E4392">
        <v>180.564301089563</v>
      </c>
    </row>
    <row r="4393" spans="1:5">
      <c r="A4393" t="s">
        <v>6001</v>
      </c>
      <c r="B4393" t="s">
        <v>973</v>
      </c>
      <c r="C4393" t="s">
        <v>995</v>
      </c>
      <c r="D4393" t="s">
        <v>7020</v>
      </c>
      <c r="E4393">
        <v>821.1926478145514</v>
      </c>
    </row>
    <row r="4394" spans="1:5">
      <c r="A4394" t="s">
        <v>6002</v>
      </c>
      <c r="B4394" t="s">
        <v>973</v>
      </c>
      <c r="C4394" t="s">
        <v>995</v>
      </c>
      <c r="D4394" t="s">
        <v>7021</v>
      </c>
      <c r="E4394">
        <v>0.1033283014932187</v>
      </c>
    </row>
    <row r="4395" spans="1:5">
      <c r="A4395" t="s">
        <v>6003</v>
      </c>
      <c r="B4395" t="s">
        <v>973</v>
      </c>
      <c r="C4395" t="s">
        <v>995</v>
      </c>
      <c r="D4395" t="s">
        <v>7022</v>
      </c>
      <c r="E4395">
        <v>308.7685274802906</v>
      </c>
    </row>
    <row r="4396" spans="1:5">
      <c r="A4396" t="s">
        <v>6004</v>
      </c>
      <c r="B4396" t="s">
        <v>973</v>
      </c>
      <c r="C4396" t="s">
        <v>995</v>
      </c>
      <c r="D4396" t="s">
        <v>7023</v>
      </c>
      <c r="E4396">
        <v>239.035902791785</v>
      </c>
    </row>
    <row r="4397" spans="1:5">
      <c r="A4397" t="s">
        <v>6005</v>
      </c>
      <c r="B4397" t="s">
        <v>973</v>
      </c>
      <c r="C4397" t="s">
        <v>995</v>
      </c>
      <c r="D4397" t="s">
        <v>7024</v>
      </c>
      <c r="E4397">
        <v>44.67756803322874</v>
      </c>
    </row>
    <row r="4398" spans="1:5">
      <c r="A4398" t="s">
        <v>6006</v>
      </c>
      <c r="B4398" t="s">
        <v>973</v>
      </c>
      <c r="C4398" t="s">
        <v>995</v>
      </c>
      <c r="D4398" t="s">
        <v>6982</v>
      </c>
      <c r="E4398">
        <v>59.47102103351196</v>
      </c>
    </row>
    <row r="4399" spans="1:5">
      <c r="A4399" t="s">
        <v>6007</v>
      </c>
      <c r="B4399" t="s">
        <v>973</v>
      </c>
      <c r="C4399" t="s">
        <v>995</v>
      </c>
      <c r="D4399" t="s">
        <v>7025</v>
      </c>
      <c r="E4399">
        <v>308.7685274802906</v>
      </c>
    </row>
    <row r="4400" spans="1:5">
      <c r="A4400" t="s">
        <v>6008</v>
      </c>
      <c r="B4400" t="s">
        <v>973</v>
      </c>
      <c r="C4400" t="s">
        <v>995</v>
      </c>
      <c r="D4400" t="s">
        <v>7026</v>
      </c>
      <c r="E4400">
        <v>3.241976105609561</v>
      </c>
    </row>
    <row r="4401" spans="1:5">
      <c r="A4401" t="s">
        <v>6009</v>
      </c>
      <c r="B4401" t="s">
        <v>973</v>
      </c>
      <c r="C4401" t="s">
        <v>995</v>
      </c>
      <c r="D4401" t="s">
        <v>7027</v>
      </c>
      <c r="E4401">
        <v>22.60287318640964</v>
      </c>
    </row>
    <row r="4402" spans="1:5">
      <c r="A4402" t="s">
        <v>6010</v>
      </c>
      <c r="B4402" t="s">
        <v>973</v>
      </c>
      <c r="C4402" t="s">
        <v>995</v>
      </c>
      <c r="D4402" t="s">
        <v>7028</v>
      </c>
      <c r="E4402">
        <v>106.4719798580828</v>
      </c>
    </row>
    <row r="4403" spans="1:5">
      <c r="A4403" t="s">
        <v>6011</v>
      </c>
      <c r="B4403" t="s">
        <v>973</v>
      </c>
      <c r="C4403" t="s">
        <v>995</v>
      </c>
      <c r="D4403" t="s">
        <v>7029</v>
      </c>
      <c r="E4403">
        <v>154.3842637401453</v>
      </c>
    </row>
    <row r="4404" spans="1:5">
      <c r="A4404" t="s">
        <v>6012</v>
      </c>
      <c r="B4404" t="s">
        <v>973</v>
      </c>
      <c r="C4404" t="s">
        <v>995</v>
      </c>
      <c r="D4404" t="s">
        <v>6983</v>
      </c>
      <c r="E4404">
        <v>217.4048416556729</v>
      </c>
    </row>
    <row r="4405" spans="1:5">
      <c r="A4405" t="s">
        <v>6013</v>
      </c>
      <c r="B4405" t="s">
        <v>973</v>
      </c>
      <c r="C4405" t="s">
        <v>995</v>
      </c>
      <c r="D4405" t="s">
        <v>7030</v>
      </c>
      <c r="E4405">
        <v>0.1335164722795047</v>
      </c>
    </row>
    <row r="4406" spans="1:5">
      <c r="A4406" t="s">
        <v>6014</v>
      </c>
      <c r="B4406" t="s">
        <v>973</v>
      </c>
      <c r="C4406" t="s">
        <v>995</v>
      </c>
      <c r="D4406" t="s">
        <v>6984</v>
      </c>
      <c r="E4406">
        <v>384.1835851745483</v>
      </c>
    </row>
    <row r="4407" spans="1:5">
      <c r="A4407" t="s">
        <v>6015</v>
      </c>
      <c r="B4407" t="s">
        <v>973</v>
      </c>
      <c r="C4407" t="s">
        <v>995</v>
      </c>
      <c r="D4407" t="s">
        <v>7031</v>
      </c>
      <c r="E4407">
        <v>13209.39132223677</v>
      </c>
    </row>
    <row r="4408" spans="1:5">
      <c r="A4408" t="s">
        <v>6016</v>
      </c>
      <c r="B4408" t="s">
        <v>973</v>
      </c>
      <c r="C4408" t="s">
        <v>995</v>
      </c>
      <c r="D4408" t="s">
        <v>7032</v>
      </c>
      <c r="E4408">
        <v>0.3341868396213544</v>
      </c>
    </row>
    <row r="4409" spans="1:5">
      <c r="A4409" t="s">
        <v>6017</v>
      </c>
      <c r="B4409" t="s">
        <v>973</v>
      </c>
      <c r="C4409" t="s">
        <v>995</v>
      </c>
      <c r="D4409" t="s">
        <v>7033</v>
      </c>
      <c r="E4409">
        <v>45.51477802926788</v>
      </c>
    </row>
    <row r="4410" spans="1:5">
      <c r="A4410" t="s">
        <v>6018</v>
      </c>
      <c r="B4410" t="s">
        <v>973</v>
      </c>
      <c r="C4410" t="s">
        <v>995</v>
      </c>
      <c r="D4410" t="s">
        <v>6985</v>
      </c>
      <c r="E4410">
        <v>45.53496013936684</v>
      </c>
    </row>
    <row r="4411" spans="1:5">
      <c r="A4411" t="s">
        <v>6019</v>
      </c>
      <c r="B4411" t="s">
        <v>973</v>
      </c>
      <c r="C4411" t="s">
        <v>995</v>
      </c>
      <c r="D4411" t="s">
        <v>7034</v>
      </c>
      <c r="E4411">
        <v>0.091980883604624</v>
      </c>
    </row>
    <row r="4412" spans="1:5">
      <c r="A4412" t="s">
        <v>6020</v>
      </c>
      <c r="B4412" t="s">
        <v>973</v>
      </c>
      <c r="C4412" t="s">
        <v>995</v>
      </c>
      <c r="D4412" t="s">
        <v>7035</v>
      </c>
      <c r="E4412">
        <v>0.6782936452483003</v>
      </c>
    </row>
    <row r="4413" spans="1:5">
      <c r="A4413" t="s">
        <v>6021</v>
      </c>
      <c r="B4413" t="s">
        <v>973</v>
      </c>
      <c r="C4413" t="s">
        <v>995</v>
      </c>
      <c r="D4413" t="s">
        <v>7036</v>
      </c>
      <c r="E4413">
        <v>12.86535812378629</v>
      </c>
    </row>
    <row r="4414" spans="1:5">
      <c r="A4414" t="s">
        <v>6022</v>
      </c>
      <c r="B4414" t="s">
        <v>973</v>
      </c>
      <c r="C4414" t="s">
        <v>995</v>
      </c>
      <c r="D4414" t="s">
        <v>7037</v>
      </c>
      <c r="E4414">
        <v>3.202766761891806</v>
      </c>
    </row>
    <row r="4415" spans="1:5">
      <c r="A4415" t="s">
        <v>6023</v>
      </c>
      <c r="B4415" t="s">
        <v>973</v>
      </c>
      <c r="C4415" t="s">
        <v>995</v>
      </c>
      <c r="D4415" t="s">
        <v>6986</v>
      </c>
      <c r="E4415">
        <v>14.60143361964546</v>
      </c>
    </row>
    <row r="4416" spans="1:5">
      <c r="A4416" t="s">
        <v>6024</v>
      </c>
      <c r="B4416" t="s">
        <v>973</v>
      </c>
      <c r="C4416" t="s">
        <v>995</v>
      </c>
      <c r="D4416" t="s">
        <v>7038</v>
      </c>
      <c r="E4416">
        <v>1.737378206126068</v>
      </c>
    </row>
    <row r="4417" spans="1:5">
      <c r="A4417" t="s">
        <v>6025</v>
      </c>
      <c r="B4417" t="s">
        <v>973</v>
      </c>
      <c r="C4417" t="s">
        <v>995</v>
      </c>
      <c r="D4417" t="s">
        <v>6987</v>
      </c>
      <c r="E4417">
        <v>47.33364102500867</v>
      </c>
    </row>
    <row r="4418" spans="1:5">
      <c r="A4418" t="s">
        <v>6026</v>
      </c>
      <c r="B4418" t="s">
        <v>973</v>
      </c>
      <c r="C4418" t="s">
        <v>995</v>
      </c>
      <c r="D4418" t="s">
        <v>7039</v>
      </c>
      <c r="E4418">
        <v>5.221861174581304</v>
      </c>
    </row>
    <row r="4419" spans="1:5">
      <c r="A4419" t="s">
        <v>6027</v>
      </c>
      <c r="B4419" t="s">
        <v>973</v>
      </c>
      <c r="C4419" t="s">
        <v>995</v>
      </c>
      <c r="D4419" t="s">
        <v>7040</v>
      </c>
      <c r="E4419">
        <v>2.321056023376429</v>
      </c>
    </row>
    <row r="4420" spans="1:5">
      <c r="A4420" t="s">
        <v>6028</v>
      </c>
      <c r="B4420" t="s">
        <v>973</v>
      </c>
      <c r="C4420" t="s">
        <v>995</v>
      </c>
      <c r="D4420" t="s">
        <v>7041</v>
      </c>
      <c r="E4420">
        <v>6.291489948125188</v>
      </c>
    </row>
    <row r="4421" spans="1:5">
      <c r="A4421" t="s">
        <v>6029</v>
      </c>
      <c r="B4421" t="s">
        <v>973</v>
      </c>
      <c r="C4421" t="s">
        <v>995</v>
      </c>
      <c r="D4421" t="s">
        <v>7042</v>
      </c>
      <c r="E4421">
        <v>20.58457329801627</v>
      </c>
    </row>
    <row r="4422" spans="1:5">
      <c r="A4422" t="s">
        <v>6030</v>
      </c>
      <c r="B4422" t="s">
        <v>973</v>
      </c>
      <c r="C4422" t="s">
        <v>995</v>
      </c>
      <c r="D4422" t="s">
        <v>7043</v>
      </c>
      <c r="E4422">
        <v>1.929067160684181</v>
      </c>
    </row>
    <row r="4423" spans="1:5">
      <c r="A4423" t="s">
        <v>6031</v>
      </c>
      <c r="B4423" t="s">
        <v>973</v>
      </c>
      <c r="C4423" t="s">
        <v>995</v>
      </c>
      <c r="D4423" t="s">
        <v>7044</v>
      </c>
      <c r="E4423">
        <v>137.617182845134</v>
      </c>
    </row>
    <row r="4424" spans="1:5">
      <c r="A4424" t="s">
        <v>6032</v>
      </c>
      <c r="B4424" t="s">
        <v>973</v>
      </c>
      <c r="C4424" t="s">
        <v>995</v>
      </c>
      <c r="D4424" t="s">
        <v>7045</v>
      </c>
      <c r="E4424">
        <v>412.2080655045025</v>
      </c>
    </row>
    <row r="4425" spans="1:5">
      <c r="A4425" t="s">
        <v>6033</v>
      </c>
      <c r="B4425" t="s">
        <v>973</v>
      </c>
      <c r="C4425" t="s">
        <v>995</v>
      </c>
      <c r="D4425" t="s">
        <v>7046</v>
      </c>
      <c r="E4425">
        <v>47.33364736920901</v>
      </c>
    </row>
    <row r="4426" spans="1:5">
      <c r="A4426" t="s">
        <v>6034</v>
      </c>
      <c r="B4426" t="s">
        <v>973</v>
      </c>
      <c r="C4426" t="s">
        <v>995</v>
      </c>
      <c r="D4426" t="s">
        <v>6988</v>
      </c>
      <c r="E4426">
        <v>412.212876944177</v>
      </c>
    </row>
    <row r="4427" spans="1:5">
      <c r="A4427" t="s">
        <v>6035</v>
      </c>
      <c r="B4427" t="s">
        <v>973</v>
      </c>
      <c r="C4427" t="s">
        <v>995</v>
      </c>
      <c r="D4427" t="s">
        <v>7047</v>
      </c>
      <c r="E4427">
        <v>117.1228643462734</v>
      </c>
    </row>
    <row r="4428" spans="1:5">
      <c r="A4428" t="s">
        <v>6036</v>
      </c>
      <c r="B4428" t="s">
        <v>973</v>
      </c>
      <c r="C4428" t="s">
        <v>995</v>
      </c>
      <c r="D4428" t="s">
        <v>7048</v>
      </c>
      <c r="E4428">
        <v>412.2080655045025</v>
      </c>
    </row>
    <row r="4429" spans="1:5">
      <c r="A4429" t="s">
        <v>6037</v>
      </c>
      <c r="B4429" t="s">
        <v>973</v>
      </c>
      <c r="C4429" t="s">
        <v>995</v>
      </c>
      <c r="D4429" t="s">
        <v>7049</v>
      </c>
      <c r="E4429">
        <v>27.17469347459075</v>
      </c>
    </row>
    <row r="4430" spans="1:5">
      <c r="A4430" t="s">
        <v>6038</v>
      </c>
      <c r="B4430" t="s">
        <v>973</v>
      </c>
      <c r="C4430" t="s">
        <v>995</v>
      </c>
      <c r="D4430" t="s">
        <v>7050</v>
      </c>
      <c r="E4430">
        <v>412.2080655045025</v>
      </c>
    </row>
    <row r="4431" spans="1:5">
      <c r="A4431" t="s">
        <v>6039</v>
      </c>
      <c r="B4431" t="s">
        <v>973</v>
      </c>
      <c r="C4431" t="s">
        <v>995</v>
      </c>
      <c r="D4431" t="s">
        <v>7051</v>
      </c>
      <c r="E4431">
        <v>4.156808554144281</v>
      </c>
    </row>
    <row r="4432" spans="1:5">
      <c r="A4432" t="s">
        <v>6040</v>
      </c>
      <c r="B4432" t="s">
        <v>973</v>
      </c>
      <c r="C4432" t="s">
        <v>995</v>
      </c>
      <c r="D4432" t="s">
        <v>7052</v>
      </c>
      <c r="E4432">
        <v>0.03514446597000042</v>
      </c>
    </row>
    <row r="4433" spans="1:5">
      <c r="A4433" t="s">
        <v>6041</v>
      </c>
      <c r="B4433" t="s">
        <v>973</v>
      </c>
      <c r="C4433" t="s">
        <v>995</v>
      </c>
      <c r="D4433" t="s">
        <v>7053</v>
      </c>
      <c r="E4433">
        <v>40.49138176854586</v>
      </c>
    </row>
    <row r="4434" spans="1:5">
      <c r="A4434" t="s">
        <v>6042</v>
      </c>
      <c r="B4434" t="s">
        <v>973</v>
      </c>
      <c r="C4434" t="s">
        <v>995</v>
      </c>
      <c r="D4434" t="s">
        <v>7054</v>
      </c>
      <c r="E4434">
        <v>1.475708380233972</v>
      </c>
    </row>
    <row r="4435" spans="1:5">
      <c r="A4435" t="s">
        <v>6043</v>
      </c>
      <c r="B4435" t="s">
        <v>973</v>
      </c>
      <c r="C4435" t="s">
        <v>995</v>
      </c>
      <c r="D4435" t="s">
        <v>6989</v>
      </c>
      <c r="E4435">
        <v>39.3690436376657</v>
      </c>
    </row>
    <row r="4436" spans="1:5">
      <c r="A4436" t="s">
        <v>6044</v>
      </c>
      <c r="B4436" t="s">
        <v>973</v>
      </c>
      <c r="C4436" t="s">
        <v>995</v>
      </c>
      <c r="D4436" t="s">
        <v>7055</v>
      </c>
      <c r="E4436">
        <v>11.56088519959335</v>
      </c>
    </row>
    <row r="4437" spans="1:5">
      <c r="A4437" t="s">
        <v>6045</v>
      </c>
      <c r="B4437" t="s">
        <v>973</v>
      </c>
      <c r="C4437" t="s">
        <v>995</v>
      </c>
      <c r="D4437" t="s">
        <v>7056</v>
      </c>
      <c r="E4437">
        <v>46.87146817970668</v>
      </c>
    </row>
    <row r="4438" spans="1:5">
      <c r="A4438" t="s">
        <v>6046</v>
      </c>
      <c r="B4438" t="s">
        <v>973</v>
      </c>
      <c r="C4438" t="s">
        <v>995</v>
      </c>
      <c r="D4438" t="s">
        <v>7057</v>
      </c>
      <c r="E4438">
        <v>2.363141171358087</v>
      </c>
    </row>
    <row r="4439" spans="1:5">
      <c r="A4439" t="s">
        <v>6047</v>
      </c>
      <c r="B4439" t="s">
        <v>973</v>
      </c>
      <c r="C4439" t="s">
        <v>995</v>
      </c>
      <c r="D4439" t="s">
        <v>6990</v>
      </c>
      <c r="E4439">
        <v>0.01719350952325012</v>
      </c>
    </row>
    <row r="4440" spans="1:5">
      <c r="A4440" t="s">
        <v>6048</v>
      </c>
      <c r="B4440" t="s">
        <v>973</v>
      </c>
      <c r="C4440" t="s">
        <v>995</v>
      </c>
      <c r="D4440" t="s">
        <v>6991</v>
      </c>
      <c r="E4440">
        <v>102.9844006893756</v>
      </c>
    </row>
    <row r="4441" spans="1:5">
      <c r="A4441" t="s">
        <v>6049</v>
      </c>
      <c r="B4441" t="s">
        <v>973</v>
      </c>
      <c r="C4441" t="s">
        <v>995</v>
      </c>
      <c r="D4441" t="s">
        <v>7058</v>
      </c>
      <c r="E4441">
        <v>412.2080655045025</v>
      </c>
    </row>
    <row r="4442" spans="1:5">
      <c r="A4442" t="s">
        <v>6050</v>
      </c>
      <c r="B4442" t="s">
        <v>973</v>
      </c>
      <c r="C4442" t="s">
        <v>995</v>
      </c>
      <c r="D4442" t="s">
        <v>6992</v>
      </c>
      <c r="E4442">
        <v>3.241807842121414</v>
      </c>
    </row>
    <row r="4443" spans="1:5">
      <c r="A4443" t="s">
        <v>6051</v>
      </c>
      <c r="B4443" t="s">
        <v>973</v>
      </c>
      <c r="C4443" t="s">
        <v>995</v>
      </c>
      <c r="D4443" t="s">
        <v>7059</v>
      </c>
      <c r="E4443">
        <v>0.2359125639087596</v>
      </c>
    </row>
    <row r="4444" spans="1:5">
      <c r="A4444" t="s">
        <v>6052</v>
      </c>
      <c r="B4444" t="s">
        <v>973</v>
      </c>
      <c r="C4444" t="s">
        <v>995</v>
      </c>
      <c r="D4444" t="s">
        <v>7060</v>
      </c>
      <c r="E4444">
        <v>0.0002243447283965243</v>
      </c>
    </row>
    <row r="4445" spans="1:5">
      <c r="A4445" t="s">
        <v>6053</v>
      </c>
      <c r="B4445" t="s">
        <v>973</v>
      </c>
      <c r="C4445" t="s">
        <v>995</v>
      </c>
      <c r="D4445" t="s">
        <v>6993</v>
      </c>
      <c r="E4445">
        <v>2.453259028795063</v>
      </c>
    </row>
    <row r="4446" spans="1:5">
      <c r="A4446" t="s">
        <v>6054</v>
      </c>
      <c r="B4446" t="s">
        <v>973</v>
      </c>
      <c r="C4446" t="s">
        <v>995</v>
      </c>
      <c r="D4446" t="s">
        <v>7061</v>
      </c>
      <c r="E4446">
        <v>412.2080655045025</v>
      </c>
    </row>
    <row r="4447" spans="1:5">
      <c r="A4447" t="s">
        <v>6055</v>
      </c>
      <c r="B4447" t="s">
        <v>973</v>
      </c>
      <c r="C4447" t="s">
        <v>995</v>
      </c>
      <c r="D4447" t="s">
        <v>7062</v>
      </c>
      <c r="E4447">
        <v>1.96241270847286</v>
      </c>
    </row>
    <row r="4448" spans="1:5">
      <c r="A4448" t="s">
        <v>6056</v>
      </c>
      <c r="B4448" t="s">
        <v>973</v>
      </c>
      <c r="C4448" t="s">
        <v>995</v>
      </c>
      <c r="D4448" t="s">
        <v>7063</v>
      </c>
      <c r="E4448">
        <v>435.498962901213</v>
      </c>
    </row>
    <row r="4449" spans="1:5">
      <c r="A4449" t="s">
        <v>6057</v>
      </c>
      <c r="B4449" t="s">
        <v>973</v>
      </c>
      <c r="C4449" t="s">
        <v>995</v>
      </c>
      <c r="D4449" t="s">
        <v>6994</v>
      </c>
      <c r="E4449">
        <v>1.91320210580526</v>
      </c>
    </row>
    <row r="4450" spans="1:5">
      <c r="A4450" t="s">
        <v>6058</v>
      </c>
      <c r="B4450" t="s">
        <v>973</v>
      </c>
      <c r="C4450" t="s">
        <v>995</v>
      </c>
      <c r="D4450" t="s">
        <v>7064</v>
      </c>
      <c r="E4450">
        <v>2.388275527053124</v>
      </c>
    </row>
    <row r="4451" spans="1:5">
      <c r="A4451" t="s">
        <v>6059</v>
      </c>
      <c r="B4451" t="s">
        <v>973</v>
      </c>
      <c r="C4451" t="s">
        <v>995</v>
      </c>
      <c r="D4451" t="s">
        <v>7065</v>
      </c>
      <c r="E4451">
        <v>3.529464621410626</v>
      </c>
    </row>
    <row r="4452" spans="1:5">
      <c r="A4452" t="s">
        <v>6060</v>
      </c>
      <c r="B4452" t="s">
        <v>973</v>
      </c>
      <c r="C4452" t="s">
        <v>995</v>
      </c>
      <c r="D4452" t="s">
        <v>7066</v>
      </c>
      <c r="E4452">
        <v>0.0762951270251012</v>
      </c>
    </row>
    <row r="4453" spans="1:5">
      <c r="A4453" t="s">
        <v>6061</v>
      </c>
      <c r="B4453" t="s">
        <v>973</v>
      </c>
      <c r="C4453" t="s">
        <v>995</v>
      </c>
      <c r="D4453" t="s">
        <v>7067</v>
      </c>
      <c r="E4453">
        <v>214.1849531453649</v>
      </c>
    </row>
    <row r="4454" spans="1:5">
      <c r="A4454" t="s">
        <v>6062</v>
      </c>
      <c r="B4454" t="s">
        <v>973</v>
      </c>
      <c r="C4454" t="s">
        <v>995</v>
      </c>
      <c r="D4454" t="s">
        <v>7068</v>
      </c>
      <c r="E4454">
        <v>0.7178378603069001</v>
      </c>
    </row>
    <row r="4455" spans="1:5">
      <c r="A4455" t="s">
        <v>6063</v>
      </c>
      <c r="B4455" t="s">
        <v>973</v>
      </c>
      <c r="C4455" t="s">
        <v>995</v>
      </c>
      <c r="D4455" t="s">
        <v>6995</v>
      </c>
      <c r="E4455">
        <v>0.2015817893574276</v>
      </c>
    </row>
    <row r="4456" spans="1:5">
      <c r="A4456" t="s">
        <v>6064</v>
      </c>
      <c r="B4456" t="s">
        <v>973</v>
      </c>
      <c r="C4456" t="s">
        <v>995</v>
      </c>
      <c r="D4456" t="s">
        <v>7069</v>
      </c>
      <c r="E4456">
        <v>1000.005881336879</v>
      </c>
    </row>
    <row r="4457" spans="1:5">
      <c r="A4457" t="s">
        <v>6065</v>
      </c>
      <c r="B4457" t="s">
        <v>973</v>
      </c>
      <c r="C4457" t="s">
        <v>995</v>
      </c>
      <c r="D4457" t="s">
        <v>7070</v>
      </c>
      <c r="E4457">
        <v>370.5224273492795</v>
      </c>
    </row>
    <row r="4458" spans="1:5">
      <c r="A4458" t="s">
        <v>6066</v>
      </c>
      <c r="B4458" t="s">
        <v>973</v>
      </c>
      <c r="C4458" t="s">
        <v>995</v>
      </c>
      <c r="D4458" t="s">
        <v>7071</v>
      </c>
      <c r="E4458">
        <v>0.6531602521401876</v>
      </c>
    </row>
    <row r="4459" spans="1:5">
      <c r="A4459" t="s">
        <v>6067</v>
      </c>
      <c r="B4459" t="s">
        <v>973</v>
      </c>
      <c r="C4459" t="s">
        <v>995</v>
      </c>
      <c r="D4459" t="s">
        <v>7072</v>
      </c>
      <c r="E4459">
        <v>0.01395876962269656</v>
      </c>
    </row>
    <row r="4460" spans="1:5">
      <c r="A4460" t="s">
        <v>6068</v>
      </c>
      <c r="B4460" t="s">
        <v>973</v>
      </c>
      <c r="C4460" t="s">
        <v>995</v>
      </c>
      <c r="D4460" t="s">
        <v>7073</v>
      </c>
      <c r="E4460">
        <v>0.003449928398760823</v>
      </c>
    </row>
    <row r="4461" spans="1:5">
      <c r="A4461" t="s">
        <v>6069</v>
      </c>
      <c r="B4461" t="s">
        <v>973</v>
      </c>
      <c r="C4461" t="s">
        <v>995</v>
      </c>
      <c r="D4461" t="s">
        <v>7074</v>
      </c>
      <c r="E4461">
        <v>0.9222996152637759</v>
      </c>
    </row>
    <row r="4462" spans="1:5">
      <c r="A4462" t="s">
        <v>6070</v>
      </c>
      <c r="B4462" t="s">
        <v>973</v>
      </c>
      <c r="C4462" t="s">
        <v>995</v>
      </c>
      <c r="D4462" t="s">
        <v>7075</v>
      </c>
      <c r="E4462">
        <v>1.700202736637694</v>
      </c>
    </row>
    <row r="4463" spans="1:5">
      <c r="A4463" t="s">
        <v>6071</v>
      </c>
      <c r="B4463" t="s">
        <v>973</v>
      </c>
      <c r="C4463" t="s">
        <v>995</v>
      </c>
      <c r="D4463" t="s">
        <v>7076</v>
      </c>
      <c r="E4463">
        <v>19.02635052508822</v>
      </c>
    </row>
    <row r="4464" spans="1:5">
      <c r="A4464" t="s">
        <v>6072</v>
      </c>
      <c r="B4464" t="s">
        <v>973</v>
      </c>
      <c r="C4464" t="s">
        <v>995</v>
      </c>
      <c r="D4464" t="s">
        <v>7077</v>
      </c>
      <c r="E4464">
        <v>48.17836179444861</v>
      </c>
    </row>
    <row r="4465" spans="1:5">
      <c r="A4465" t="s">
        <v>6073</v>
      </c>
      <c r="B4465" t="s">
        <v>973</v>
      </c>
      <c r="C4465" t="s">
        <v>995</v>
      </c>
      <c r="D4465" t="s">
        <v>7078</v>
      </c>
      <c r="E4465">
        <v>32.98356738713395</v>
      </c>
    </row>
    <row r="4466" spans="1:5">
      <c r="A4466" t="s">
        <v>6074</v>
      </c>
      <c r="B4466" t="s">
        <v>973</v>
      </c>
      <c r="C4466" t="s">
        <v>995</v>
      </c>
      <c r="D4466" t="s">
        <v>7079</v>
      </c>
      <c r="E4466">
        <v>17.55837703043223</v>
      </c>
    </row>
    <row r="4467" spans="1:5">
      <c r="A4467" t="s">
        <v>6075</v>
      </c>
      <c r="B4467" t="s">
        <v>973</v>
      </c>
      <c r="C4467" t="s">
        <v>995</v>
      </c>
      <c r="D4467" t="s">
        <v>7080</v>
      </c>
      <c r="E4467">
        <v>0.072575415783087</v>
      </c>
    </row>
    <row r="4468" spans="1:5">
      <c r="A4468" t="s">
        <v>6076</v>
      </c>
      <c r="B4468" t="s">
        <v>973</v>
      </c>
      <c r="C4468" t="s">
        <v>995</v>
      </c>
      <c r="D4468" t="s">
        <v>7081</v>
      </c>
      <c r="E4468">
        <v>5.726524970933863</v>
      </c>
    </row>
    <row r="4469" spans="1:5">
      <c r="A4469" t="s">
        <v>6077</v>
      </c>
      <c r="B4469" t="s">
        <v>973</v>
      </c>
      <c r="C4469" t="s">
        <v>995</v>
      </c>
      <c r="D4469" t="s">
        <v>7082</v>
      </c>
      <c r="E4469">
        <v>0.1468806097303491</v>
      </c>
    </row>
    <row r="4470" spans="1:5">
      <c r="A4470" t="s">
        <v>6078</v>
      </c>
      <c r="B4470" t="s">
        <v>973</v>
      </c>
      <c r="C4470" t="s">
        <v>995</v>
      </c>
      <c r="D4470" t="s">
        <v>7083</v>
      </c>
      <c r="E4470">
        <v>0.08666604662761179</v>
      </c>
    </row>
    <row r="4471" spans="1:5">
      <c r="A4471" t="s">
        <v>6079</v>
      </c>
      <c r="B4471" t="s">
        <v>973</v>
      </c>
      <c r="C4471" t="s">
        <v>995</v>
      </c>
      <c r="D4471" t="s">
        <v>7084</v>
      </c>
      <c r="E4471">
        <v>38.22057598658336</v>
      </c>
    </row>
    <row r="4472" spans="1:5">
      <c r="A4472" t="s">
        <v>6080</v>
      </c>
      <c r="B4472" t="s">
        <v>973</v>
      </c>
      <c r="C4472" t="s">
        <v>995</v>
      </c>
      <c r="D4472" t="s">
        <v>7085</v>
      </c>
      <c r="E4472">
        <v>7.736928177745498</v>
      </c>
    </row>
    <row r="4473" spans="1:5">
      <c r="A4473" t="s">
        <v>6081</v>
      </c>
      <c r="B4473" t="s">
        <v>973</v>
      </c>
      <c r="C4473" t="s">
        <v>995</v>
      </c>
      <c r="D4473" t="s">
        <v>7086</v>
      </c>
      <c r="E4473">
        <v>6.566733628233477</v>
      </c>
    </row>
    <row r="4474" spans="1:5">
      <c r="A4474" t="s">
        <v>6082</v>
      </c>
      <c r="B4474" t="s">
        <v>973</v>
      </c>
      <c r="C4474" t="s">
        <v>995</v>
      </c>
      <c r="D4474" t="s">
        <v>7087</v>
      </c>
      <c r="E4474">
        <v>19.9719900864237</v>
      </c>
    </row>
    <row r="4475" spans="1:5">
      <c r="A4475" t="s">
        <v>6083</v>
      </c>
      <c r="B4475" t="s">
        <v>973</v>
      </c>
      <c r="C4475" t="s">
        <v>995</v>
      </c>
      <c r="D4475" t="s">
        <v>7088</v>
      </c>
      <c r="E4475">
        <v>0.1774714896872729</v>
      </c>
    </row>
    <row r="4476" spans="1:5">
      <c r="A4476" t="s">
        <v>6084</v>
      </c>
      <c r="B4476" t="s">
        <v>973</v>
      </c>
      <c r="C4476" t="s">
        <v>995</v>
      </c>
      <c r="D4476" t="s">
        <v>6996</v>
      </c>
      <c r="E4476">
        <v>17.66733643373251</v>
      </c>
    </row>
    <row r="4477" spans="1:5">
      <c r="A4477" t="s">
        <v>6085</v>
      </c>
      <c r="B4477" t="s">
        <v>973</v>
      </c>
      <c r="C4477" t="s">
        <v>995</v>
      </c>
      <c r="D4477" t="s">
        <v>6997</v>
      </c>
      <c r="E4477">
        <v>75.82691238251385</v>
      </c>
    </row>
    <row r="4478" spans="1:5">
      <c r="A4478" t="s">
        <v>6086</v>
      </c>
      <c r="B4478" t="s">
        <v>973</v>
      </c>
      <c r="C4478" t="s">
        <v>995</v>
      </c>
      <c r="D4478" t="s">
        <v>7089</v>
      </c>
      <c r="E4478">
        <v>4.851364391933032</v>
      </c>
    </row>
    <row r="4479" spans="1:5">
      <c r="A4479" t="s">
        <v>6087</v>
      </c>
      <c r="B4479" t="s">
        <v>973</v>
      </c>
      <c r="C4479" t="s">
        <v>995</v>
      </c>
      <c r="D4479" t="s">
        <v>7090</v>
      </c>
      <c r="E4479">
        <v>19.02635052508822</v>
      </c>
    </row>
    <row r="4480" spans="1:5">
      <c r="A4480" t="s">
        <v>6088</v>
      </c>
      <c r="B4480" t="s">
        <v>973</v>
      </c>
      <c r="C4480" t="s">
        <v>995</v>
      </c>
      <c r="D4480" t="s">
        <v>7091</v>
      </c>
      <c r="E4480">
        <v>0.2259599909109273</v>
      </c>
    </row>
    <row r="4481" spans="1:5">
      <c r="A4481" t="s">
        <v>6089</v>
      </c>
      <c r="B4481" t="s">
        <v>973</v>
      </c>
      <c r="C4481" t="s">
        <v>995</v>
      </c>
      <c r="D4481" t="s">
        <v>7092</v>
      </c>
      <c r="E4481">
        <v>8.404915953595749</v>
      </c>
    </row>
    <row r="4482" spans="1:5">
      <c r="A4482" t="s">
        <v>6090</v>
      </c>
      <c r="B4482" t="s">
        <v>973</v>
      </c>
      <c r="C4482" t="s">
        <v>995</v>
      </c>
      <c r="D4482" t="s">
        <v>6998</v>
      </c>
      <c r="E4482">
        <v>31.39739059418299</v>
      </c>
    </row>
    <row r="4483" spans="1:5">
      <c r="A4483" t="s">
        <v>6091</v>
      </c>
      <c r="B4483" t="s">
        <v>973</v>
      </c>
      <c r="C4483" t="s">
        <v>995</v>
      </c>
      <c r="D4483" t="s">
        <v>7093</v>
      </c>
      <c r="E4483">
        <v>2.026235066005976</v>
      </c>
    </row>
    <row r="4484" spans="1:5">
      <c r="A4484" t="s">
        <v>6092</v>
      </c>
      <c r="B4484" t="s">
        <v>973</v>
      </c>
      <c r="C4484" t="s">
        <v>995</v>
      </c>
      <c r="D4484" t="s">
        <v>6999</v>
      </c>
      <c r="E4484">
        <v>176.0825389370122</v>
      </c>
    </row>
    <row r="4485" spans="1:5">
      <c r="A4485" t="s">
        <v>6093</v>
      </c>
      <c r="B4485" t="s">
        <v>973</v>
      </c>
      <c r="C4485" t="s">
        <v>995</v>
      </c>
      <c r="D4485" t="s">
        <v>7094</v>
      </c>
      <c r="E4485">
        <v>803.0458788403859</v>
      </c>
    </row>
    <row r="4486" spans="1:5">
      <c r="A4486" t="s">
        <v>6094</v>
      </c>
      <c r="B4486" t="s">
        <v>973</v>
      </c>
      <c r="C4486" t="s">
        <v>995</v>
      </c>
      <c r="D4486" t="s">
        <v>7095</v>
      </c>
      <c r="E4486">
        <v>308.7685274802906</v>
      </c>
    </row>
    <row r="4487" spans="1:5">
      <c r="A4487" t="s">
        <v>6095</v>
      </c>
      <c r="B4487" t="s">
        <v>973</v>
      </c>
      <c r="C4487" t="s">
        <v>995</v>
      </c>
      <c r="D4487" t="s">
        <v>7096</v>
      </c>
      <c r="E4487">
        <v>90.71754913963574</v>
      </c>
    </row>
    <row r="4488" spans="1:5">
      <c r="A4488" t="s">
        <v>6096</v>
      </c>
      <c r="B4488" t="s">
        <v>973</v>
      </c>
      <c r="C4488" t="s">
        <v>995</v>
      </c>
      <c r="D4488" t="s">
        <v>7097</v>
      </c>
      <c r="E4488">
        <v>70.388352767445</v>
      </c>
    </row>
    <row r="4489" spans="1:5">
      <c r="A4489" t="s">
        <v>6097</v>
      </c>
      <c r="B4489" t="s">
        <v>973</v>
      </c>
      <c r="C4489" t="s">
        <v>995</v>
      </c>
      <c r="D4489" t="s">
        <v>7000</v>
      </c>
      <c r="E4489">
        <v>5.026420995548337</v>
      </c>
    </row>
    <row r="4490" spans="1:5">
      <c r="A4490" t="s">
        <v>6098</v>
      </c>
      <c r="B4490" t="s">
        <v>973</v>
      </c>
      <c r="C4490" t="s">
        <v>995</v>
      </c>
      <c r="D4490" t="s">
        <v>7098</v>
      </c>
      <c r="E4490">
        <v>1.111558879365154</v>
      </c>
    </row>
    <row r="4491" spans="1:5">
      <c r="A4491" t="s">
        <v>6099</v>
      </c>
      <c r="B4491" t="s">
        <v>973</v>
      </c>
      <c r="C4491" t="s">
        <v>995</v>
      </c>
      <c r="D4491" t="s">
        <v>7001</v>
      </c>
      <c r="E4491">
        <v>82.30222282815147</v>
      </c>
    </row>
    <row r="4492" spans="1:5">
      <c r="A4492" t="s">
        <v>6100</v>
      </c>
      <c r="B4492" t="s">
        <v>973</v>
      </c>
      <c r="C4492" t="s">
        <v>995</v>
      </c>
      <c r="D4492" t="s">
        <v>7099</v>
      </c>
      <c r="E4492">
        <v>0.05106547764822996</v>
      </c>
    </row>
    <row r="4493" spans="1:5">
      <c r="A4493" t="s">
        <v>6101</v>
      </c>
      <c r="B4493" t="s">
        <v>973</v>
      </c>
      <c r="C4493" t="s">
        <v>995</v>
      </c>
      <c r="D4493" t="s">
        <v>7100</v>
      </c>
      <c r="E4493">
        <v>84.82654054368258</v>
      </c>
    </row>
    <row r="4494" spans="1:5">
      <c r="A4494" t="s">
        <v>6102</v>
      </c>
      <c r="B4494" t="s">
        <v>973</v>
      </c>
      <c r="C4494" t="s">
        <v>995</v>
      </c>
      <c r="D4494" t="s">
        <v>7002</v>
      </c>
      <c r="E4494">
        <v>67.45444205071178</v>
      </c>
    </row>
    <row r="4495" spans="1:5">
      <c r="A4495" t="s">
        <v>6103</v>
      </c>
      <c r="B4495" t="s">
        <v>973</v>
      </c>
      <c r="C4495" t="s">
        <v>995</v>
      </c>
      <c r="D4495" t="s">
        <v>7101</v>
      </c>
      <c r="E4495">
        <v>3.009424149256457</v>
      </c>
    </row>
    <row r="4496" spans="1:5">
      <c r="A4496" t="s">
        <v>6104</v>
      </c>
      <c r="B4496" t="s">
        <v>973</v>
      </c>
      <c r="C4496" t="s">
        <v>995</v>
      </c>
      <c r="D4496" t="s">
        <v>7102</v>
      </c>
      <c r="E4496">
        <v>3.993169969271573</v>
      </c>
    </row>
    <row r="4497" spans="1:5">
      <c r="A4497" t="s">
        <v>6105</v>
      </c>
      <c r="B4497" t="s">
        <v>973</v>
      </c>
      <c r="C4497" t="s">
        <v>995</v>
      </c>
      <c r="D4497" t="s">
        <v>7103</v>
      </c>
      <c r="E4497">
        <v>0.2106301757441481</v>
      </c>
    </row>
    <row r="4498" spans="1:5">
      <c r="A4498" t="s">
        <v>6106</v>
      </c>
      <c r="B4498" t="s">
        <v>973</v>
      </c>
      <c r="C4498" t="s">
        <v>995</v>
      </c>
      <c r="D4498" t="s">
        <v>7104</v>
      </c>
      <c r="E4498">
        <v>82.3382979913967</v>
      </c>
    </row>
    <row r="4499" spans="1:5">
      <c r="A4499" t="s">
        <v>6107</v>
      </c>
      <c r="B4499" t="s">
        <v>973</v>
      </c>
      <c r="C4499" t="s">
        <v>995</v>
      </c>
      <c r="D4499" t="s">
        <v>7105</v>
      </c>
      <c r="E4499">
        <v>38.29438075657716</v>
      </c>
    </row>
    <row r="4500" spans="1:5">
      <c r="A4500" t="s">
        <v>6108</v>
      </c>
      <c r="B4500" t="s">
        <v>973</v>
      </c>
      <c r="C4500" t="s">
        <v>995</v>
      </c>
      <c r="D4500" t="s">
        <v>7106</v>
      </c>
      <c r="E4500">
        <v>21.70597568324979</v>
      </c>
    </row>
    <row r="4501" spans="1:5">
      <c r="A4501" t="s">
        <v>6109</v>
      </c>
      <c r="B4501" t="s">
        <v>973</v>
      </c>
      <c r="C4501" t="s">
        <v>995</v>
      </c>
      <c r="D4501" t="s">
        <v>7107</v>
      </c>
      <c r="E4501">
        <v>0.6906716761958188</v>
      </c>
    </row>
    <row r="4502" spans="1:5">
      <c r="A4502" t="s">
        <v>6110</v>
      </c>
      <c r="B4502" t="s">
        <v>973</v>
      </c>
      <c r="C4502" t="s">
        <v>995</v>
      </c>
      <c r="D4502" t="s">
        <v>7003</v>
      </c>
      <c r="E4502">
        <v>32.00621983781058</v>
      </c>
    </row>
    <row r="4503" spans="1:5">
      <c r="A4503" t="s">
        <v>6111</v>
      </c>
      <c r="B4503" t="s">
        <v>973</v>
      </c>
      <c r="C4503" t="s">
        <v>995</v>
      </c>
      <c r="D4503" t="s">
        <v>7004</v>
      </c>
      <c r="E4503">
        <v>239.0414039253485</v>
      </c>
    </row>
    <row r="4504" spans="1:5">
      <c r="A4504" t="s">
        <v>6112</v>
      </c>
      <c r="B4504" t="s">
        <v>973</v>
      </c>
      <c r="C4504" t="s">
        <v>995</v>
      </c>
      <c r="D4504" t="s">
        <v>7108</v>
      </c>
      <c r="E4504">
        <v>412.2080655045025</v>
      </c>
    </row>
    <row r="4505" spans="1:5">
      <c r="A4505" t="s">
        <v>6113</v>
      </c>
      <c r="B4505" t="s">
        <v>973</v>
      </c>
      <c r="C4505" t="s">
        <v>995</v>
      </c>
      <c r="D4505" t="s">
        <v>7109</v>
      </c>
      <c r="E4505">
        <v>12.67780232184666</v>
      </c>
    </row>
    <row r="4506" spans="1:5">
      <c r="A4506" t="s">
        <v>6114</v>
      </c>
      <c r="B4506" t="s">
        <v>973</v>
      </c>
      <c r="C4506" t="s">
        <v>995</v>
      </c>
      <c r="D4506" t="s">
        <v>7110</v>
      </c>
      <c r="E4506">
        <v>0.01267731321705643</v>
      </c>
    </row>
    <row r="4507" spans="1:5">
      <c r="A4507" t="s">
        <v>6115</v>
      </c>
      <c r="B4507" t="s">
        <v>973</v>
      </c>
      <c r="C4507" t="s">
        <v>995</v>
      </c>
      <c r="D4507" t="s">
        <v>7111</v>
      </c>
      <c r="E4507">
        <v>0.5400891888312175</v>
      </c>
    </row>
    <row r="4508" spans="1:5">
      <c r="A4508" t="s">
        <v>6116</v>
      </c>
      <c r="B4508" t="s">
        <v>973</v>
      </c>
      <c r="C4508" t="s">
        <v>995</v>
      </c>
      <c r="D4508" t="s">
        <v>7112</v>
      </c>
      <c r="E4508">
        <v>8.195702931645741</v>
      </c>
    </row>
    <row r="4509" spans="1:5">
      <c r="A4509" t="s">
        <v>6117</v>
      </c>
      <c r="B4509" t="s">
        <v>973</v>
      </c>
      <c r="C4509" t="s">
        <v>995</v>
      </c>
      <c r="D4509" t="s">
        <v>7113</v>
      </c>
      <c r="E4509">
        <v>0.06552230411878766</v>
      </c>
    </row>
    <row r="4510" spans="1:5">
      <c r="A4510" t="s">
        <v>6118</v>
      </c>
      <c r="B4510" t="s">
        <v>973</v>
      </c>
      <c r="C4510" t="s">
        <v>995</v>
      </c>
      <c r="D4510" t="s">
        <v>7114</v>
      </c>
      <c r="E4510">
        <v>14.41441130612245</v>
      </c>
    </row>
    <row r="4511" spans="1:5">
      <c r="A4511" t="s">
        <v>6119</v>
      </c>
      <c r="B4511" t="s">
        <v>973</v>
      </c>
      <c r="C4511" t="s">
        <v>995</v>
      </c>
      <c r="D4511" t="s">
        <v>7115</v>
      </c>
      <c r="E4511">
        <v>2.748627684769623</v>
      </c>
    </row>
    <row r="4512" spans="1:5">
      <c r="A4512" t="s">
        <v>6120</v>
      </c>
      <c r="B4512" t="s">
        <v>973</v>
      </c>
      <c r="C4512" t="s">
        <v>995</v>
      </c>
      <c r="D4512" t="s">
        <v>7116</v>
      </c>
      <c r="E4512">
        <v>19.02635052508822</v>
      </c>
    </row>
    <row r="4513" spans="1:5">
      <c r="A4513" t="s">
        <v>6121</v>
      </c>
      <c r="B4513" t="s">
        <v>973</v>
      </c>
      <c r="C4513" t="s">
        <v>995</v>
      </c>
      <c r="D4513" t="s">
        <v>7005</v>
      </c>
      <c r="E4513">
        <v>9.309021144460567</v>
      </c>
    </row>
    <row r="4514" spans="1:5">
      <c r="A4514" t="s">
        <v>6122</v>
      </c>
      <c r="B4514" t="s">
        <v>973</v>
      </c>
      <c r="C4514" t="s">
        <v>995</v>
      </c>
      <c r="D4514" t="s">
        <v>7117</v>
      </c>
      <c r="E4514">
        <v>33.30277127754127</v>
      </c>
    </row>
    <row r="4515" spans="1:5">
      <c r="A4515" t="s">
        <v>6123</v>
      </c>
      <c r="B4515" t="s">
        <v>973</v>
      </c>
      <c r="C4515" t="s">
        <v>995</v>
      </c>
      <c r="D4515" t="s">
        <v>7118</v>
      </c>
      <c r="E4515">
        <v>88.2021398604263</v>
      </c>
    </row>
    <row r="4516" spans="1:5">
      <c r="A4516" t="s">
        <v>6124</v>
      </c>
      <c r="B4516" t="s">
        <v>973</v>
      </c>
      <c r="C4516" t="s">
        <v>995</v>
      </c>
      <c r="D4516" t="s">
        <v>7119</v>
      </c>
      <c r="E4516">
        <v>104.9693096369993</v>
      </c>
    </row>
    <row r="4517" spans="1:5">
      <c r="A4517" t="s">
        <v>6125</v>
      </c>
      <c r="B4517" t="s">
        <v>973</v>
      </c>
      <c r="C4517" t="s">
        <v>995</v>
      </c>
      <c r="D4517" t="s">
        <v>7120</v>
      </c>
      <c r="E4517">
        <v>129.2471877132981</v>
      </c>
    </row>
    <row r="4518" spans="1:5">
      <c r="A4518" t="s">
        <v>6126</v>
      </c>
      <c r="B4518" t="s">
        <v>973</v>
      </c>
      <c r="C4518" t="s">
        <v>995</v>
      </c>
      <c r="D4518" t="s">
        <v>7006</v>
      </c>
      <c r="E4518">
        <v>6.594090976675234</v>
      </c>
    </row>
    <row r="4519" spans="1:5">
      <c r="A4519" t="s">
        <v>6127</v>
      </c>
      <c r="B4519" t="s">
        <v>973</v>
      </c>
      <c r="C4519" t="s">
        <v>995</v>
      </c>
      <c r="D4519" t="s">
        <v>7121</v>
      </c>
      <c r="E4519">
        <v>45.39114279544794</v>
      </c>
    </row>
    <row r="4520" spans="1:5">
      <c r="A4520" t="s">
        <v>6128</v>
      </c>
      <c r="B4520" t="s">
        <v>973</v>
      </c>
      <c r="C4520" t="s">
        <v>995</v>
      </c>
      <c r="D4520" t="s">
        <v>7122</v>
      </c>
      <c r="E4520">
        <v>214.1849531453649</v>
      </c>
    </row>
    <row r="4521" spans="1:5">
      <c r="A4521" t="s">
        <v>6129</v>
      </c>
      <c r="B4521" t="s">
        <v>973</v>
      </c>
      <c r="C4521" t="s">
        <v>995</v>
      </c>
      <c r="D4521" t="s">
        <v>7123</v>
      </c>
      <c r="E4521">
        <v>9.666996616375364</v>
      </c>
    </row>
    <row r="4522" spans="1:5">
      <c r="A4522" t="s">
        <v>6130</v>
      </c>
      <c r="B4522" t="s">
        <v>973</v>
      </c>
      <c r="C4522" t="s">
        <v>995</v>
      </c>
      <c r="D4522" t="s">
        <v>7124</v>
      </c>
      <c r="E4522">
        <v>0.1178365741965007</v>
      </c>
    </row>
    <row r="4523" spans="1:5">
      <c r="A4523" t="s">
        <v>6131</v>
      </c>
      <c r="B4523" t="s">
        <v>973</v>
      </c>
      <c r="C4523" t="s">
        <v>995</v>
      </c>
      <c r="D4523" t="s">
        <v>7125</v>
      </c>
      <c r="E4523">
        <v>6.924023275181325</v>
      </c>
    </row>
    <row r="4524" spans="1:5">
      <c r="A4524" t="s">
        <v>6132</v>
      </c>
      <c r="B4524" t="s">
        <v>973</v>
      </c>
      <c r="C4524" t="s">
        <v>995</v>
      </c>
      <c r="D4524" t="s">
        <v>7126</v>
      </c>
      <c r="E4524">
        <v>0.08462170445120087</v>
      </c>
    </row>
    <row r="4525" spans="1:5">
      <c r="A4525" t="s">
        <v>6133</v>
      </c>
      <c r="B4525" t="s">
        <v>973</v>
      </c>
      <c r="C4525" t="s">
        <v>995</v>
      </c>
      <c r="D4525" t="s">
        <v>998</v>
      </c>
      <c r="E4525">
        <v>308.7685274802906</v>
      </c>
    </row>
    <row r="4526" spans="1:5">
      <c r="A4526" t="s">
        <v>6134</v>
      </c>
      <c r="B4526" t="s">
        <v>973</v>
      </c>
      <c r="C4526" t="s">
        <v>995</v>
      </c>
      <c r="D4526" t="s">
        <v>7127</v>
      </c>
      <c r="E4526">
        <v>7.703066338997097</v>
      </c>
    </row>
    <row r="4527" spans="1:5">
      <c r="A4527" t="s">
        <v>6135</v>
      </c>
      <c r="B4527" t="s">
        <v>973</v>
      </c>
      <c r="C4527" t="s">
        <v>995</v>
      </c>
      <c r="D4527" t="s">
        <v>7128</v>
      </c>
      <c r="E4527">
        <v>0.02601321504846221</v>
      </c>
    </row>
    <row r="4528" spans="1:5">
      <c r="A4528" t="s">
        <v>6136</v>
      </c>
      <c r="B4528" t="s">
        <v>973</v>
      </c>
      <c r="C4528" t="s">
        <v>995</v>
      </c>
      <c r="D4528" t="s">
        <v>7129</v>
      </c>
      <c r="E4528">
        <v>0.4627316787999997</v>
      </c>
    </row>
    <row r="4529" spans="1:5">
      <c r="A4529" t="s">
        <v>6137</v>
      </c>
      <c r="B4529" t="s">
        <v>973</v>
      </c>
      <c r="C4529" t="s">
        <v>995</v>
      </c>
      <c r="D4529" t="s">
        <v>7130</v>
      </c>
      <c r="E4529">
        <v>0.01178128119982865</v>
      </c>
    </row>
    <row r="4530" spans="1:5">
      <c r="A4530" t="s">
        <v>6138</v>
      </c>
      <c r="B4530" t="s">
        <v>973</v>
      </c>
      <c r="C4530" t="s">
        <v>995</v>
      </c>
      <c r="D4530" t="s">
        <v>7131</v>
      </c>
      <c r="E4530">
        <v>2.58125183724837</v>
      </c>
    </row>
    <row r="4531" spans="1:5">
      <c r="A4531" t="s">
        <v>6139</v>
      </c>
      <c r="B4531" t="s">
        <v>973</v>
      </c>
      <c r="C4531" t="s">
        <v>995</v>
      </c>
      <c r="D4531" t="s">
        <v>7132</v>
      </c>
      <c r="E4531">
        <v>112.6599730562695</v>
      </c>
    </row>
    <row r="4532" spans="1:5">
      <c r="A4532" t="s">
        <v>6140</v>
      </c>
      <c r="B4532" t="s">
        <v>973</v>
      </c>
      <c r="C4532" t="s">
        <v>995</v>
      </c>
      <c r="D4532" t="s">
        <v>7133</v>
      </c>
      <c r="E4532">
        <v>0.5383783952301752</v>
      </c>
    </row>
    <row r="4533" spans="1:5">
      <c r="A4533" t="s">
        <v>6141</v>
      </c>
      <c r="B4533" t="s">
        <v>973</v>
      </c>
      <c r="C4533" t="s">
        <v>995</v>
      </c>
      <c r="D4533" t="s">
        <v>7134</v>
      </c>
      <c r="E4533">
        <v>114.3587472102732</v>
      </c>
    </row>
    <row r="4534" spans="1:5">
      <c r="A4534" t="s">
        <v>6142</v>
      </c>
      <c r="B4534" t="s">
        <v>973</v>
      </c>
      <c r="C4534" t="s">
        <v>995</v>
      </c>
      <c r="D4534" t="s">
        <v>7135</v>
      </c>
      <c r="E4534">
        <v>172.4963950203853</v>
      </c>
    </row>
    <row r="4535" spans="1:5">
      <c r="A4535" t="s">
        <v>6143</v>
      </c>
      <c r="B4535" t="s">
        <v>973</v>
      </c>
      <c r="C4535" t="s">
        <v>995</v>
      </c>
      <c r="D4535" t="s">
        <v>7136</v>
      </c>
      <c r="E4535">
        <v>420.0118182672329</v>
      </c>
    </row>
    <row r="4536" spans="1:5">
      <c r="A4536" t="s">
        <v>6144</v>
      </c>
      <c r="B4536" t="s">
        <v>973</v>
      </c>
      <c r="C4536" t="s">
        <v>995</v>
      </c>
      <c r="D4536" t="s">
        <v>7137</v>
      </c>
      <c r="E4536">
        <v>0.5383783952301752</v>
      </c>
    </row>
    <row r="4537" spans="1:5">
      <c r="A4537" t="s">
        <v>6145</v>
      </c>
      <c r="B4537" t="s">
        <v>973</v>
      </c>
      <c r="C4537" t="s">
        <v>995</v>
      </c>
      <c r="D4537" t="s">
        <v>7138</v>
      </c>
      <c r="E4537">
        <v>2.959416392920591</v>
      </c>
    </row>
    <row r="4538" spans="1:5">
      <c r="A4538" t="s">
        <v>6146</v>
      </c>
      <c r="B4538" t="s">
        <v>973</v>
      </c>
      <c r="C4538" t="s">
        <v>995</v>
      </c>
      <c r="D4538" t="s">
        <v>7139</v>
      </c>
      <c r="E4538">
        <v>1.299971053763809</v>
      </c>
    </row>
    <row r="4539" spans="1:5">
      <c r="A4539" t="s">
        <v>6147</v>
      </c>
      <c r="B4539" t="s">
        <v>973</v>
      </c>
      <c r="C4539" t="s">
        <v>995</v>
      </c>
      <c r="D4539" t="s">
        <v>7007</v>
      </c>
      <c r="E4539">
        <v>19.02642842973504</v>
      </c>
    </row>
    <row r="4540" spans="1:5">
      <c r="A4540" t="s">
        <v>6148</v>
      </c>
      <c r="B4540" t="s">
        <v>973</v>
      </c>
      <c r="C4540" t="s">
        <v>995</v>
      </c>
      <c r="D4540" t="s">
        <v>7140</v>
      </c>
      <c r="E4540">
        <v>16.75757834295353</v>
      </c>
    </row>
    <row r="4541" spans="1:5">
      <c r="A4541" t="s">
        <v>6149</v>
      </c>
      <c r="B4541" t="s">
        <v>973</v>
      </c>
      <c r="C4541" t="s">
        <v>995</v>
      </c>
      <c r="D4541" t="s">
        <v>7141</v>
      </c>
      <c r="E4541">
        <v>11.50028581942282</v>
      </c>
    </row>
    <row r="4542" spans="1:5">
      <c r="A4542" t="s">
        <v>6150</v>
      </c>
      <c r="B4542" t="s">
        <v>973</v>
      </c>
      <c r="C4542" t="s">
        <v>995</v>
      </c>
      <c r="D4542" t="s">
        <v>7142</v>
      </c>
      <c r="E4542">
        <v>11.50028581942282</v>
      </c>
    </row>
    <row r="4543" spans="1:5">
      <c r="A4543" t="s">
        <v>5986</v>
      </c>
      <c r="B4543" t="s">
        <v>973</v>
      </c>
      <c r="C4543" t="s">
        <v>995</v>
      </c>
      <c r="D4543" t="s">
        <v>996</v>
      </c>
      <c r="E4543">
        <v>353.153077</v>
      </c>
    </row>
    <row r="4544" spans="1:5">
      <c r="A4544" t="s">
        <v>6151</v>
      </c>
      <c r="B4544" t="s">
        <v>974</v>
      </c>
      <c r="C4544" t="s">
        <v>995</v>
      </c>
      <c r="D4544" t="s">
        <v>996</v>
      </c>
      <c r="E4544">
        <v>359.105926</v>
      </c>
    </row>
    <row r="4545" spans="1:5">
      <c r="A4545" t="s">
        <v>6152</v>
      </c>
      <c r="B4545" t="s">
        <v>974</v>
      </c>
      <c r="C4545" t="s">
        <v>995</v>
      </c>
      <c r="D4545" t="s">
        <v>7008</v>
      </c>
      <c r="E4545">
        <v>85.67247031811611</v>
      </c>
    </row>
    <row r="4546" spans="1:5">
      <c r="A4546" t="s">
        <v>6153</v>
      </c>
      <c r="B4546" t="s">
        <v>974</v>
      </c>
      <c r="C4546" t="s">
        <v>995</v>
      </c>
      <c r="D4546" t="s">
        <v>7009</v>
      </c>
      <c r="E4546">
        <v>4.838868877885902</v>
      </c>
    </row>
    <row r="4547" spans="1:5">
      <c r="A4547" t="s">
        <v>6154</v>
      </c>
      <c r="B4547" t="s">
        <v>974</v>
      </c>
      <c r="C4547" t="s">
        <v>995</v>
      </c>
      <c r="D4547" t="s">
        <v>7010</v>
      </c>
      <c r="E4547">
        <v>3.827586009160133</v>
      </c>
    </row>
    <row r="4548" spans="1:5">
      <c r="A4548" t="s">
        <v>6155</v>
      </c>
      <c r="B4548" t="s">
        <v>974</v>
      </c>
      <c r="C4548" t="s">
        <v>995</v>
      </c>
      <c r="D4548" t="s">
        <v>7011</v>
      </c>
      <c r="E4548">
        <v>0.8570077135149008</v>
      </c>
    </row>
    <row r="4549" spans="1:5">
      <c r="A4549" t="s">
        <v>6156</v>
      </c>
      <c r="B4549" t="s">
        <v>974</v>
      </c>
      <c r="C4549" t="s">
        <v>995</v>
      </c>
      <c r="D4549" t="s">
        <v>7012</v>
      </c>
      <c r="E4549">
        <v>175.7721910564708</v>
      </c>
    </row>
    <row r="4550" spans="1:5">
      <c r="A4550" t="s">
        <v>6157</v>
      </c>
      <c r="B4550" t="s">
        <v>974</v>
      </c>
      <c r="C4550" t="s">
        <v>995</v>
      </c>
      <c r="D4550" t="s">
        <v>7013</v>
      </c>
      <c r="E4550">
        <v>0.3288157267239956</v>
      </c>
    </row>
    <row r="4551" spans="1:5">
      <c r="A4551" t="s">
        <v>6158</v>
      </c>
      <c r="B4551" t="s">
        <v>974</v>
      </c>
      <c r="C4551" t="s">
        <v>995</v>
      </c>
      <c r="D4551" t="s">
        <v>7014</v>
      </c>
      <c r="E4551">
        <v>0.2110347191093907</v>
      </c>
    </row>
    <row r="4552" spans="1:5">
      <c r="A4552" t="s">
        <v>6159</v>
      </c>
      <c r="B4552" t="s">
        <v>974</v>
      </c>
      <c r="C4552" t="s">
        <v>995</v>
      </c>
      <c r="D4552" t="s">
        <v>6981</v>
      </c>
      <c r="E4552">
        <v>217.9822533444943</v>
      </c>
    </row>
    <row r="4553" spans="1:5">
      <c r="A4553" t="s">
        <v>6160</v>
      </c>
      <c r="B4553" t="s">
        <v>974</v>
      </c>
      <c r="C4553" t="s">
        <v>995</v>
      </c>
      <c r="D4553" t="s">
        <v>7015</v>
      </c>
      <c r="E4553">
        <v>175.7721910564708</v>
      </c>
    </row>
    <row r="4554" spans="1:5">
      <c r="A4554" t="s">
        <v>6161</v>
      </c>
      <c r="B4554" t="s">
        <v>974</v>
      </c>
      <c r="C4554" t="s">
        <v>995</v>
      </c>
      <c r="D4554" t="s">
        <v>7016</v>
      </c>
      <c r="E4554">
        <v>185.141076099924</v>
      </c>
    </row>
    <row r="4555" spans="1:5">
      <c r="A4555" t="s">
        <v>6162</v>
      </c>
      <c r="B4555" t="s">
        <v>974</v>
      </c>
      <c r="C4555" t="s">
        <v>995</v>
      </c>
      <c r="D4555" t="s">
        <v>7017</v>
      </c>
      <c r="E4555">
        <v>183.60794445325</v>
      </c>
    </row>
    <row r="4556" spans="1:5">
      <c r="A4556" t="s">
        <v>6163</v>
      </c>
      <c r="B4556" t="s">
        <v>974</v>
      </c>
      <c r="C4556" t="s">
        <v>995</v>
      </c>
      <c r="D4556" t="s">
        <v>7018</v>
      </c>
      <c r="E4556">
        <v>157.3160967502124</v>
      </c>
    </row>
    <row r="4557" spans="1:5">
      <c r="A4557" t="s">
        <v>6164</v>
      </c>
      <c r="B4557" t="s">
        <v>974</v>
      </c>
      <c r="C4557" t="s">
        <v>995</v>
      </c>
      <c r="D4557" t="s">
        <v>7019</v>
      </c>
      <c r="E4557">
        <v>2.550899105351013</v>
      </c>
    </row>
    <row r="4558" spans="1:5">
      <c r="A4558" t="s">
        <v>6165</v>
      </c>
      <c r="B4558" t="s">
        <v>974</v>
      </c>
      <c r="C4558" t="s">
        <v>995</v>
      </c>
      <c r="D4558" t="s">
        <v>997</v>
      </c>
      <c r="E4558">
        <v>183.60794445325</v>
      </c>
    </row>
    <row r="4559" spans="1:5">
      <c r="A4559" t="s">
        <v>6166</v>
      </c>
      <c r="B4559" t="s">
        <v>974</v>
      </c>
      <c r="C4559" t="s">
        <v>995</v>
      </c>
      <c r="D4559" t="s">
        <v>7020</v>
      </c>
      <c r="E4559">
        <v>836.7880684519095</v>
      </c>
    </row>
    <row r="4560" spans="1:5">
      <c r="A4560" t="s">
        <v>6167</v>
      </c>
      <c r="B4560" t="s">
        <v>974</v>
      </c>
      <c r="C4560" t="s">
        <v>995</v>
      </c>
      <c r="D4560" t="s">
        <v>7021</v>
      </c>
      <c r="E4560">
        <v>0.1051200451134183</v>
      </c>
    </row>
    <row r="4561" spans="1:5">
      <c r="A4561" t="s">
        <v>6168</v>
      </c>
      <c r="B4561" t="s">
        <v>974</v>
      </c>
      <c r="C4561" t="s">
        <v>995</v>
      </c>
      <c r="D4561" t="s">
        <v>7022</v>
      </c>
      <c r="E4561">
        <v>314.6320556673139</v>
      </c>
    </row>
    <row r="4562" spans="1:5">
      <c r="A4562" t="s">
        <v>6169</v>
      </c>
      <c r="B4562" t="s">
        <v>974</v>
      </c>
      <c r="C4562" t="s">
        <v>995</v>
      </c>
      <c r="D4562" t="s">
        <v>7023</v>
      </c>
      <c r="E4562">
        <v>243.1690176228607</v>
      </c>
    </row>
    <row r="4563" spans="1:5">
      <c r="A4563" t="s">
        <v>6170</v>
      </c>
      <c r="B4563" t="s">
        <v>974</v>
      </c>
      <c r="C4563" t="s">
        <v>995</v>
      </c>
      <c r="D4563" t="s">
        <v>7024</v>
      </c>
      <c r="E4563">
        <v>31.74781020197409</v>
      </c>
    </row>
    <row r="4564" spans="1:5">
      <c r="A4564" t="s">
        <v>6171</v>
      </c>
      <c r="B4564" t="s">
        <v>974</v>
      </c>
      <c r="C4564" t="s">
        <v>995</v>
      </c>
      <c r="D4564" t="s">
        <v>6982</v>
      </c>
      <c r="E4564">
        <v>61.05025895355021</v>
      </c>
    </row>
    <row r="4565" spans="1:5">
      <c r="A4565" t="s">
        <v>6172</v>
      </c>
      <c r="B4565" t="s">
        <v>974</v>
      </c>
      <c r="C4565" t="s">
        <v>995</v>
      </c>
      <c r="D4565" t="s">
        <v>7025</v>
      </c>
      <c r="E4565">
        <v>314.6320556673139</v>
      </c>
    </row>
    <row r="4566" spans="1:5">
      <c r="A4566" t="s">
        <v>6173</v>
      </c>
      <c r="B4566" t="s">
        <v>974</v>
      </c>
      <c r="C4566" t="s">
        <v>995</v>
      </c>
      <c r="D4566" t="s">
        <v>7026</v>
      </c>
      <c r="E4566">
        <v>3.294389019677104</v>
      </c>
    </row>
    <row r="4567" spans="1:5">
      <c r="A4567" t="s">
        <v>6174</v>
      </c>
      <c r="B4567" t="s">
        <v>974</v>
      </c>
      <c r="C4567" t="s">
        <v>995</v>
      </c>
      <c r="D4567" t="s">
        <v>7027</v>
      </c>
      <c r="E4567">
        <v>22.28623078720917</v>
      </c>
    </row>
    <row r="4568" spans="1:5">
      <c r="A4568" t="s">
        <v>6175</v>
      </c>
      <c r="B4568" t="s">
        <v>974</v>
      </c>
      <c r="C4568" t="s">
        <v>995</v>
      </c>
      <c r="D4568" t="s">
        <v>7028</v>
      </c>
      <c r="E4568">
        <v>109.8550451267044</v>
      </c>
    </row>
    <row r="4569" spans="1:5">
      <c r="A4569" t="s">
        <v>6176</v>
      </c>
      <c r="B4569" t="s">
        <v>974</v>
      </c>
      <c r="C4569" t="s">
        <v>995</v>
      </c>
      <c r="D4569" t="s">
        <v>7029</v>
      </c>
      <c r="E4569">
        <v>157.3160967502124</v>
      </c>
    </row>
    <row r="4570" spans="1:5">
      <c r="A4570" t="s">
        <v>6177</v>
      </c>
      <c r="B4570" t="s">
        <v>974</v>
      </c>
      <c r="C4570" t="s">
        <v>995</v>
      </c>
      <c r="D4570" t="s">
        <v>6983</v>
      </c>
      <c r="E4570">
        <v>221.9688865455449</v>
      </c>
    </row>
    <row r="4571" spans="1:5">
      <c r="A4571" t="s">
        <v>6178</v>
      </c>
      <c r="B4571" t="s">
        <v>974</v>
      </c>
      <c r="C4571" t="s">
        <v>995</v>
      </c>
      <c r="D4571" t="s">
        <v>7030</v>
      </c>
      <c r="E4571">
        <v>0.137002844510576</v>
      </c>
    </row>
    <row r="4572" spans="1:5">
      <c r="A4572" t="s">
        <v>6179</v>
      </c>
      <c r="B4572" t="s">
        <v>974</v>
      </c>
      <c r="C4572" t="s">
        <v>995</v>
      </c>
      <c r="D4572" t="s">
        <v>6984</v>
      </c>
      <c r="E4572">
        <v>389.0575191085736</v>
      </c>
    </row>
    <row r="4573" spans="1:5">
      <c r="A4573" t="s">
        <v>6180</v>
      </c>
      <c r="B4573" t="s">
        <v>974</v>
      </c>
      <c r="C4573" t="s">
        <v>995</v>
      </c>
      <c r="D4573" t="s">
        <v>7031</v>
      </c>
      <c r="E4573">
        <v>13397.47522757797</v>
      </c>
    </row>
    <row r="4574" spans="1:5">
      <c r="A4574" t="s">
        <v>6181</v>
      </c>
      <c r="B4574" t="s">
        <v>974</v>
      </c>
      <c r="C4574" t="s">
        <v>995</v>
      </c>
      <c r="D4574" t="s">
        <v>7032</v>
      </c>
      <c r="E4574">
        <v>0.3389495113509907</v>
      </c>
    </row>
    <row r="4575" spans="1:5">
      <c r="A4575" t="s">
        <v>6182</v>
      </c>
      <c r="B4575" t="s">
        <v>974</v>
      </c>
      <c r="C4575" t="s">
        <v>995</v>
      </c>
      <c r="D4575" t="s">
        <v>7033</v>
      </c>
      <c r="E4575">
        <v>46.23746738741504</v>
      </c>
    </row>
    <row r="4576" spans="1:5">
      <c r="A4576" t="s">
        <v>6183</v>
      </c>
      <c r="B4576" t="s">
        <v>974</v>
      </c>
      <c r="C4576" t="s">
        <v>995</v>
      </c>
      <c r="D4576" t="s">
        <v>6985</v>
      </c>
      <c r="E4576">
        <v>46.22032198467895</v>
      </c>
    </row>
    <row r="4577" spans="1:5">
      <c r="A4577" t="s">
        <v>6184</v>
      </c>
      <c r="B4577" t="s">
        <v>974</v>
      </c>
      <c r="C4577" t="s">
        <v>995</v>
      </c>
      <c r="D4577" t="s">
        <v>7034</v>
      </c>
      <c r="E4577">
        <v>0.09426205370971009</v>
      </c>
    </row>
    <row r="4578" spans="1:5">
      <c r="A4578" t="s">
        <v>6185</v>
      </c>
      <c r="B4578" t="s">
        <v>974</v>
      </c>
      <c r="C4578" t="s">
        <v>995</v>
      </c>
      <c r="D4578" t="s">
        <v>7035</v>
      </c>
      <c r="E4578">
        <v>0.6911777210323796</v>
      </c>
    </row>
    <row r="4579" spans="1:5">
      <c r="A4579" t="s">
        <v>6186</v>
      </c>
      <c r="B4579" t="s">
        <v>974</v>
      </c>
      <c r="C4579" t="s">
        <v>995</v>
      </c>
      <c r="D4579" t="s">
        <v>7036</v>
      </c>
      <c r="E4579">
        <v>13.10967377200963</v>
      </c>
    </row>
    <row r="4580" spans="1:5">
      <c r="A4580" t="s">
        <v>6187</v>
      </c>
      <c r="B4580" t="s">
        <v>974</v>
      </c>
      <c r="C4580" t="s">
        <v>995</v>
      </c>
      <c r="D4580" t="s">
        <v>7037</v>
      </c>
      <c r="E4580">
        <v>3.256753511993833</v>
      </c>
    </row>
    <row r="4581" spans="1:5">
      <c r="A4581" t="s">
        <v>6188</v>
      </c>
      <c r="B4581" t="s">
        <v>974</v>
      </c>
      <c r="C4581" t="s">
        <v>995</v>
      </c>
      <c r="D4581" t="s">
        <v>6986</v>
      </c>
      <c r="E4581">
        <v>14.80098571042199</v>
      </c>
    </row>
    <row r="4582" spans="1:5">
      <c r="A4582" t="s">
        <v>6189</v>
      </c>
      <c r="B4582" t="s">
        <v>974</v>
      </c>
      <c r="C4582" t="s">
        <v>995</v>
      </c>
      <c r="D4582" t="s">
        <v>7038</v>
      </c>
      <c r="E4582">
        <v>1.770371360594854</v>
      </c>
    </row>
    <row r="4583" spans="1:5">
      <c r="A4583" t="s">
        <v>6190</v>
      </c>
      <c r="B4583" t="s">
        <v>974</v>
      </c>
      <c r="C4583" t="s">
        <v>995</v>
      </c>
      <c r="D4583" t="s">
        <v>6987</v>
      </c>
      <c r="E4583">
        <v>48.11331859454621</v>
      </c>
    </row>
    <row r="4584" spans="1:5">
      <c r="A4584" t="s">
        <v>6191</v>
      </c>
      <c r="B4584" t="s">
        <v>974</v>
      </c>
      <c r="C4584" t="s">
        <v>995</v>
      </c>
      <c r="D4584" t="s">
        <v>7039</v>
      </c>
      <c r="E4584">
        <v>5.329348542339632</v>
      </c>
    </row>
    <row r="4585" spans="1:5">
      <c r="A4585" t="s">
        <v>6192</v>
      </c>
      <c r="B4585" t="s">
        <v>974</v>
      </c>
      <c r="C4585" t="s">
        <v>995</v>
      </c>
      <c r="D4585" t="s">
        <v>7040</v>
      </c>
      <c r="E4585">
        <v>2.36464742783251</v>
      </c>
    </row>
    <row r="4586" spans="1:5">
      <c r="A4586" t="s">
        <v>6193</v>
      </c>
      <c r="B4586" t="s">
        <v>974</v>
      </c>
      <c r="C4586" t="s">
        <v>995</v>
      </c>
      <c r="D4586" t="s">
        <v>7041</v>
      </c>
      <c r="E4586">
        <v>6.343360564760686</v>
      </c>
    </row>
    <row r="4587" spans="1:5">
      <c r="A4587" t="s">
        <v>6194</v>
      </c>
      <c r="B4587" t="s">
        <v>974</v>
      </c>
      <c r="C4587" t="s">
        <v>995</v>
      </c>
      <c r="D4587" t="s">
        <v>7042</v>
      </c>
      <c r="E4587">
        <v>20.97547772891953</v>
      </c>
    </row>
    <row r="4588" spans="1:5">
      <c r="A4588" t="s">
        <v>6195</v>
      </c>
      <c r="B4588" t="s">
        <v>974</v>
      </c>
      <c r="C4588" t="s">
        <v>995</v>
      </c>
      <c r="D4588" t="s">
        <v>7043</v>
      </c>
      <c r="E4588">
        <v>1.935292652863258</v>
      </c>
    </row>
    <row r="4589" spans="1:5">
      <c r="A4589" t="s">
        <v>6196</v>
      </c>
      <c r="B4589" t="s">
        <v>974</v>
      </c>
      <c r="C4589" t="s">
        <v>995</v>
      </c>
      <c r="D4589" t="s">
        <v>7044</v>
      </c>
      <c r="E4589">
        <v>140.8130421075416</v>
      </c>
    </row>
    <row r="4590" spans="1:5">
      <c r="A4590" t="s">
        <v>6197</v>
      </c>
      <c r="B4590" t="s">
        <v>974</v>
      </c>
      <c r="C4590" t="s">
        <v>995</v>
      </c>
      <c r="D4590" t="s">
        <v>7045</v>
      </c>
      <c r="E4590">
        <v>420.7948755505924</v>
      </c>
    </row>
    <row r="4591" spans="1:5">
      <c r="A4591" t="s">
        <v>6198</v>
      </c>
      <c r="B4591" t="s">
        <v>974</v>
      </c>
      <c r="C4591" t="s">
        <v>995</v>
      </c>
      <c r="D4591" t="s">
        <v>7046</v>
      </c>
      <c r="E4591">
        <v>48.11333148707667</v>
      </c>
    </row>
    <row r="4592" spans="1:5">
      <c r="A4592" t="s">
        <v>6199</v>
      </c>
      <c r="B4592" t="s">
        <v>974</v>
      </c>
      <c r="C4592" t="s">
        <v>995</v>
      </c>
      <c r="D4592" t="s">
        <v>6988</v>
      </c>
      <c r="E4592">
        <v>420.7904378679365</v>
      </c>
    </row>
    <row r="4593" spans="1:5">
      <c r="A4593" t="s">
        <v>6200</v>
      </c>
      <c r="B4593" t="s">
        <v>974</v>
      </c>
      <c r="C4593" t="s">
        <v>995</v>
      </c>
      <c r="D4593" t="s">
        <v>7047</v>
      </c>
      <c r="E4593">
        <v>119.4377392415513</v>
      </c>
    </row>
    <row r="4594" spans="1:5">
      <c r="A4594" t="s">
        <v>6201</v>
      </c>
      <c r="B4594" t="s">
        <v>974</v>
      </c>
      <c r="C4594" t="s">
        <v>995</v>
      </c>
      <c r="D4594" t="s">
        <v>7048</v>
      </c>
      <c r="E4594">
        <v>420.7948755505924</v>
      </c>
    </row>
    <row r="4595" spans="1:5">
      <c r="A4595" t="s">
        <v>6202</v>
      </c>
      <c r="B4595" t="s">
        <v>974</v>
      </c>
      <c r="C4595" t="s">
        <v>995</v>
      </c>
      <c r="D4595" t="s">
        <v>7049</v>
      </c>
      <c r="E4595">
        <v>27.55131230235942</v>
      </c>
    </row>
    <row r="4596" spans="1:5">
      <c r="A4596" t="s">
        <v>6203</v>
      </c>
      <c r="B4596" t="s">
        <v>974</v>
      </c>
      <c r="C4596" t="s">
        <v>995</v>
      </c>
      <c r="D4596" t="s">
        <v>7050</v>
      </c>
      <c r="E4596">
        <v>420.7948755505924</v>
      </c>
    </row>
    <row r="4597" spans="1:5">
      <c r="A4597" t="s">
        <v>6204</v>
      </c>
      <c r="B4597" t="s">
        <v>974</v>
      </c>
      <c r="C4597" t="s">
        <v>995</v>
      </c>
      <c r="D4597" t="s">
        <v>7051</v>
      </c>
      <c r="E4597">
        <v>4.236410777600363</v>
      </c>
    </row>
    <row r="4598" spans="1:5">
      <c r="A4598" t="s">
        <v>6205</v>
      </c>
      <c r="B4598" t="s">
        <v>974</v>
      </c>
      <c r="C4598" t="s">
        <v>995</v>
      </c>
      <c r="D4598" t="s">
        <v>7052</v>
      </c>
      <c r="E4598">
        <v>0.03583938403747574</v>
      </c>
    </row>
    <row r="4599" spans="1:5">
      <c r="A4599" t="s">
        <v>6206</v>
      </c>
      <c r="B4599" t="s">
        <v>974</v>
      </c>
      <c r="C4599" t="s">
        <v>995</v>
      </c>
      <c r="D4599" t="s">
        <v>7053</v>
      </c>
      <c r="E4599">
        <v>41.2464333220657</v>
      </c>
    </row>
    <row r="4600" spans="1:5">
      <c r="A4600" t="s">
        <v>6207</v>
      </c>
      <c r="B4600" t="s">
        <v>974</v>
      </c>
      <c r="C4600" t="s">
        <v>995</v>
      </c>
      <c r="D4600" t="s">
        <v>7054</v>
      </c>
      <c r="E4600">
        <v>1.503964058842446</v>
      </c>
    </row>
    <row r="4601" spans="1:5">
      <c r="A4601" t="s">
        <v>6208</v>
      </c>
      <c r="B4601" t="s">
        <v>974</v>
      </c>
      <c r="C4601" t="s">
        <v>995</v>
      </c>
      <c r="D4601" t="s">
        <v>6989</v>
      </c>
      <c r="E4601">
        <v>40.13019423766293</v>
      </c>
    </row>
    <row r="4602" spans="1:5">
      <c r="A4602" t="s">
        <v>6209</v>
      </c>
      <c r="B4602" t="s">
        <v>974</v>
      </c>
      <c r="C4602" t="s">
        <v>995</v>
      </c>
      <c r="D4602" t="s">
        <v>7055</v>
      </c>
      <c r="E4602">
        <v>11.75286050281907</v>
      </c>
    </row>
    <row r="4603" spans="1:5">
      <c r="A4603" t="s">
        <v>6210</v>
      </c>
      <c r="B4603" t="s">
        <v>974</v>
      </c>
      <c r="C4603" t="s">
        <v>995</v>
      </c>
      <c r="D4603" t="s">
        <v>7056</v>
      </c>
      <c r="E4603">
        <v>47.66154701705488</v>
      </c>
    </row>
    <row r="4604" spans="1:5">
      <c r="A4604" t="s">
        <v>6211</v>
      </c>
      <c r="B4604" t="s">
        <v>974</v>
      </c>
      <c r="C4604" t="s">
        <v>995</v>
      </c>
      <c r="D4604" t="s">
        <v>7057</v>
      </c>
      <c r="E4604">
        <v>2.404706641043939</v>
      </c>
    </row>
    <row r="4605" spans="1:5">
      <c r="A4605" t="s">
        <v>6212</v>
      </c>
      <c r="B4605" t="s">
        <v>974</v>
      </c>
      <c r="C4605" t="s">
        <v>995</v>
      </c>
      <c r="D4605" t="s">
        <v>6990</v>
      </c>
      <c r="E4605">
        <v>0.01747681176007897</v>
      </c>
    </row>
    <row r="4606" spans="1:5">
      <c r="A4606" t="s">
        <v>6213</v>
      </c>
      <c r="B4606" t="s">
        <v>974</v>
      </c>
      <c r="C4606" t="s">
        <v>995</v>
      </c>
      <c r="D4606" t="s">
        <v>6991</v>
      </c>
      <c r="E4606">
        <v>103.3315088280657</v>
      </c>
    </row>
    <row r="4607" spans="1:5">
      <c r="A4607" t="s">
        <v>6214</v>
      </c>
      <c r="B4607" t="s">
        <v>974</v>
      </c>
      <c r="C4607" t="s">
        <v>995</v>
      </c>
      <c r="D4607" t="s">
        <v>7058</v>
      </c>
      <c r="E4607">
        <v>420.7948755505924</v>
      </c>
    </row>
    <row r="4608" spans="1:5">
      <c r="A4608" t="s">
        <v>6215</v>
      </c>
      <c r="B4608" t="s">
        <v>974</v>
      </c>
      <c r="C4608" t="s">
        <v>995</v>
      </c>
      <c r="D4608" t="s">
        <v>6992</v>
      </c>
      <c r="E4608">
        <v>3.294342024705708</v>
      </c>
    </row>
    <row r="4609" spans="1:5">
      <c r="A4609" t="s">
        <v>6216</v>
      </c>
      <c r="B4609" t="s">
        <v>974</v>
      </c>
      <c r="C4609" t="s">
        <v>995</v>
      </c>
      <c r="D4609" t="s">
        <v>7059</v>
      </c>
      <c r="E4609">
        <v>0.2402661825433607</v>
      </c>
    </row>
    <row r="4610" spans="1:5">
      <c r="A4610" t="s">
        <v>6217</v>
      </c>
      <c r="B4610" t="s">
        <v>974</v>
      </c>
      <c r="C4610" t="s">
        <v>995</v>
      </c>
      <c r="D4610" t="s">
        <v>7060</v>
      </c>
      <c r="E4610">
        <v>0.0002290388234170553</v>
      </c>
    </row>
    <row r="4611" spans="1:5">
      <c r="A4611" t="s">
        <v>6218</v>
      </c>
      <c r="B4611" t="s">
        <v>974</v>
      </c>
      <c r="C4611" t="s">
        <v>995</v>
      </c>
      <c r="D4611" t="s">
        <v>6993</v>
      </c>
      <c r="E4611">
        <v>2.505672862084215</v>
      </c>
    </row>
    <row r="4612" spans="1:5">
      <c r="A4612" t="s">
        <v>6219</v>
      </c>
      <c r="B4612" t="s">
        <v>974</v>
      </c>
      <c r="C4612" t="s">
        <v>995</v>
      </c>
      <c r="D4612" t="s">
        <v>7061</v>
      </c>
      <c r="E4612">
        <v>420.7948755505924</v>
      </c>
    </row>
    <row r="4613" spans="1:5">
      <c r="A4613" t="s">
        <v>6220</v>
      </c>
      <c r="B4613" t="s">
        <v>974</v>
      </c>
      <c r="C4613" t="s">
        <v>995</v>
      </c>
      <c r="D4613" t="s">
        <v>7062</v>
      </c>
      <c r="E4613">
        <v>1.988828231151903</v>
      </c>
    </row>
    <row r="4614" spans="1:5">
      <c r="A4614" t="s">
        <v>6221</v>
      </c>
      <c r="B4614" t="s">
        <v>974</v>
      </c>
      <c r="C4614" t="s">
        <v>995</v>
      </c>
      <c r="D4614" t="s">
        <v>7063</v>
      </c>
      <c r="E4614">
        <v>443.769078295342</v>
      </c>
    </row>
    <row r="4615" spans="1:5">
      <c r="A4615" t="s">
        <v>6222</v>
      </c>
      <c r="B4615" t="s">
        <v>974</v>
      </c>
      <c r="C4615" t="s">
        <v>995</v>
      </c>
      <c r="D4615" t="s">
        <v>6994</v>
      </c>
      <c r="E4615">
        <v>1.935718830154504</v>
      </c>
    </row>
    <row r="4616" spans="1:5">
      <c r="A4616" t="s">
        <v>6223</v>
      </c>
      <c r="B4616" t="s">
        <v>974</v>
      </c>
      <c r="C4616" t="s">
        <v>995</v>
      </c>
      <c r="D4616" t="s">
        <v>7064</v>
      </c>
      <c r="E4616">
        <v>2.434313107288733</v>
      </c>
    </row>
    <row r="4617" spans="1:5">
      <c r="A4617" t="s">
        <v>6224</v>
      </c>
      <c r="B4617" t="s">
        <v>974</v>
      </c>
      <c r="C4617" t="s">
        <v>995</v>
      </c>
      <c r="D4617" t="s">
        <v>7065</v>
      </c>
      <c r="E4617">
        <v>3.598206449434641</v>
      </c>
    </row>
    <row r="4618" spans="1:5">
      <c r="A4618" t="s">
        <v>6225</v>
      </c>
      <c r="B4618" t="s">
        <v>974</v>
      </c>
      <c r="C4618" t="s">
        <v>995</v>
      </c>
      <c r="D4618" t="s">
        <v>7066</v>
      </c>
      <c r="E4618">
        <v>0.07770310582766062</v>
      </c>
    </row>
    <row r="4619" spans="1:5">
      <c r="A4619" t="s">
        <v>6226</v>
      </c>
      <c r="B4619" t="s">
        <v>974</v>
      </c>
      <c r="C4619" t="s">
        <v>995</v>
      </c>
      <c r="D4619" t="s">
        <v>7067</v>
      </c>
      <c r="E4619">
        <v>217.9789454387854</v>
      </c>
    </row>
    <row r="4620" spans="1:5">
      <c r="A4620" t="s">
        <v>6227</v>
      </c>
      <c r="B4620" t="s">
        <v>974</v>
      </c>
      <c r="C4620" t="s">
        <v>995</v>
      </c>
      <c r="D4620" t="s">
        <v>7068</v>
      </c>
      <c r="E4620">
        <v>0.7299379400377362</v>
      </c>
    </row>
    <row r="4621" spans="1:5">
      <c r="A4621" t="s">
        <v>6228</v>
      </c>
      <c r="B4621" t="s">
        <v>974</v>
      </c>
      <c r="C4621" t="s">
        <v>995</v>
      </c>
      <c r="D4621" t="s">
        <v>6995</v>
      </c>
      <c r="E4621">
        <v>0.2086923953093467</v>
      </c>
    </row>
    <row r="4622" spans="1:5">
      <c r="A4622" t="s">
        <v>6229</v>
      </c>
      <c r="B4622" t="s">
        <v>974</v>
      </c>
      <c r="C4622" t="s">
        <v>995</v>
      </c>
      <c r="D4622" t="s">
        <v>7069</v>
      </c>
      <c r="E4622">
        <v>1018.503287178585</v>
      </c>
    </row>
    <row r="4623" spans="1:5">
      <c r="A4623" t="s">
        <v>6230</v>
      </c>
      <c r="B4623" t="s">
        <v>974</v>
      </c>
      <c r="C4623" t="s">
        <v>995</v>
      </c>
      <c r="D4623" t="s">
        <v>7070</v>
      </c>
      <c r="E4623">
        <v>377.558731440419</v>
      </c>
    </row>
    <row r="4624" spans="1:5">
      <c r="A4624" t="s">
        <v>6231</v>
      </c>
      <c r="B4624" t="s">
        <v>974</v>
      </c>
      <c r="C4624" t="s">
        <v>995</v>
      </c>
      <c r="D4624" t="s">
        <v>7071</v>
      </c>
      <c r="E4624">
        <v>0.6708119107561704</v>
      </c>
    </row>
    <row r="4625" spans="1:5">
      <c r="A4625" t="s">
        <v>6232</v>
      </c>
      <c r="B4625" t="s">
        <v>974</v>
      </c>
      <c r="C4625" t="s">
        <v>995</v>
      </c>
      <c r="D4625" t="s">
        <v>7072</v>
      </c>
      <c r="E4625">
        <v>0.01406954938932035</v>
      </c>
    </row>
    <row r="4626" spans="1:5">
      <c r="A4626" t="s">
        <v>6233</v>
      </c>
      <c r="B4626" t="s">
        <v>974</v>
      </c>
      <c r="C4626" t="s">
        <v>995</v>
      </c>
      <c r="D4626" t="s">
        <v>7073</v>
      </c>
      <c r="E4626">
        <v>0.003515443230340845</v>
      </c>
    </row>
    <row r="4627" spans="1:5">
      <c r="A4627" t="s">
        <v>6234</v>
      </c>
      <c r="B4627" t="s">
        <v>974</v>
      </c>
      <c r="C4627" t="s">
        <v>995</v>
      </c>
      <c r="D4627" t="s">
        <v>7074</v>
      </c>
      <c r="E4627">
        <v>0.9383400215848612</v>
      </c>
    </row>
    <row r="4628" spans="1:5">
      <c r="A4628" t="s">
        <v>6235</v>
      </c>
      <c r="B4628" t="s">
        <v>974</v>
      </c>
      <c r="C4628" t="s">
        <v>995</v>
      </c>
      <c r="D4628" t="s">
        <v>7075</v>
      </c>
      <c r="E4628">
        <v>1.734689389450615</v>
      </c>
    </row>
    <row r="4629" spans="1:5">
      <c r="A4629" t="s">
        <v>6236</v>
      </c>
      <c r="B4629" t="s">
        <v>974</v>
      </c>
      <c r="C4629" t="s">
        <v>995</v>
      </c>
      <c r="D4629" t="s">
        <v>7076</v>
      </c>
      <c r="E4629">
        <v>19.17440394404199</v>
      </c>
    </row>
    <row r="4630" spans="1:5">
      <c r="A4630" t="s">
        <v>6237</v>
      </c>
      <c r="B4630" t="s">
        <v>974</v>
      </c>
      <c r="C4630" t="s">
        <v>995</v>
      </c>
      <c r="D4630" t="s">
        <v>7077</v>
      </c>
      <c r="E4630">
        <v>49.04190630705927</v>
      </c>
    </row>
    <row r="4631" spans="1:5">
      <c r="A4631" t="s">
        <v>6238</v>
      </c>
      <c r="B4631" t="s">
        <v>974</v>
      </c>
      <c r="C4631" t="s">
        <v>995</v>
      </c>
      <c r="D4631" t="s">
        <v>7078</v>
      </c>
      <c r="E4631">
        <v>33.61548840598378</v>
      </c>
    </row>
    <row r="4632" spans="1:5">
      <c r="A4632" t="s">
        <v>6239</v>
      </c>
      <c r="B4632" t="s">
        <v>974</v>
      </c>
      <c r="C4632" t="s">
        <v>995</v>
      </c>
      <c r="D4632" t="s">
        <v>7079</v>
      </c>
      <c r="E4632">
        <v>17.91007157825774</v>
      </c>
    </row>
    <row r="4633" spans="1:5">
      <c r="A4633" t="s">
        <v>6240</v>
      </c>
      <c r="B4633" t="s">
        <v>974</v>
      </c>
      <c r="C4633" t="s">
        <v>995</v>
      </c>
      <c r="D4633" t="s">
        <v>7080</v>
      </c>
      <c r="E4633">
        <v>0.07480525526738892</v>
      </c>
    </row>
    <row r="4634" spans="1:5">
      <c r="A4634" t="s">
        <v>6241</v>
      </c>
      <c r="B4634" t="s">
        <v>974</v>
      </c>
      <c r="C4634" t="s">
        <v>995</v>
      </c>
      <c r="D4634" t="s">
        <v>7081</v>
      </c>
      <c r="E4634">
        <v>5.824705785032814</v>
      </c>
    </row>
    <row r="4635" spans="1:5">
      <c r="A4635" t="s">
        <v>6242</v>
      </c>
      <c r="B4635" t="s">
        <v>974</v>
      </c>
      <c r="C4635" t="s">
        <v>995</v>
      </c>
      <c r="D4635" t="s">
        <v>7082</v>
      </c>
      <c r="E4635">
        <v>0.1496884664683102</v>
      </c>
    </row>
    <row r="4636" spans="1:5">
      <c r="A4636" t="s">
        <v>6243</v>
      </c>
      <c r="B4636" t="s">
        <v>974</v>
      </c>
      <c r="C4636" t="s">
        <v>995</v>
      </c>
      <c r="D4636" t="s">
        <v>7083</v>
      </c>
      <c r="E4636">
        <v>0.08787322933825634</v>
      </c>
    </row>
    <row r="4637" spans="1:5">
      <c r="A4637" t="s">
        <v>6244</v>
      </c>
      <c r="B4637" t="s">
        <v>974</v>
      </c>
      <c r="C4637" t="s">
        <v>995</v>
      </c>
      <c r="D4637" t="s">
        <v>7084</v>
      </c>
      <c r="E4637">
        <v>38.95485617802868</v>
      </c>
    </row>
    <row r="4638" spans="1:5">
      <c r="A4638" t="s">
        <v>6245</v>
      </c>
      <c r="B4638" t="s">
        <v>974</v>
      </c>
      <c r="C4638" t="s">
        <v>995</v>
      </c>
      <c r="D4638" t="s">
        <v>7085</v>
      </c>
      <c r="E4638">
        <v>7.842901650129322</v>
      </c>
    </row>
    <row r="4639" spans="1:5">
      <c r="A4639" t="s">
        <v>6246</v>
      </c>
      <c r="B4639" t="s">
        <v>974</v>
      </c>
      <c r="C4639" t="s">
        <v>995</v>
      </c>
      <c r="D4639" t="s">
        <v>7086</v>
      </c>
      <c r="E4639">
        <v>6.680642876715114</v>
      </c>
    </row>
    <row r="4640" spans="1:5">
      <c r="A4640" t="s">
        <v>6247</v>
      </c>
      <c r="B4640" t="s">
        <v>974</v>
      </c>
      <c r="C4640" t="s">
        <v>995</v>
      </c>
      <c r="D4640" t="s">
        <v>7087</v>
      </c>
      <c r="E4640">
        <v>20.3598910528515</v>
      </c>
    </row>
    <row r="4641" spans="1:5">
      <c r="A4641" t="s">
        <v>6248</v>
      </c>
      <c r="B4641" t="s">
        <v>974</v>
      </c>
      <c r="C4641" t="s">
        <v>995</v>
      </c>
      <c r="D4641" t="s">
        <v>7088</v>
      </c>
      <c r="E4641">
        <v>0.1802769493696677</v>
      </c>
    </row>
    <row r="4642" spans="1:5">
      <c r="A4642" t="s">
        <v>6249</v>
      </c>
      <c r="B4642" t="s">
        <v>974</v>
      </c>
      <c r="C4642" t="s">
        <v>995</v>
      </c>
      <c r="D4642" t="s">
        <v>6996</v>
      </c>
      <c r="E4642">
        <v>17.89804046854114</v>
      </c>
    </row>
    <row r="4643" spans="1:5">
      <c r="A4643" t="s">
        <v>6250</v>
      </c>
      <c r="B4643" t="s">
        <v>974</v>
      </c>
      <c r="C4643" t="s">
        <v>995</v>
      </c>
      <c r="D4643" t="s">
        <v>6997</v>
      </c>
      <c r="E4643">
        <v>77.18478691676044</v>
      </c>
    </row>
    <row r="4644" spans="1:5">
      <c r="A4644" t="s">
        <v>6251</v>
      </c>
      <c r="B4644" t="s">
        <v>974</v>
      </c>
      <c r="C4644" t="s">
        <v>995</v>
      </c>
      <c r="D4644" t="s">
        <v>7089</v>
      </c>
      <c r="E4644">
        <v>4.933126210474545</v>
      </c>
    </row>
    <row r="4645" spans="1:5">
      <c r="A4645" t="s">
        <v>6252</v>
      </c>
      <c r="B4645" t="s">
        <v>974</v>
      </c>
      <c r="C4645" t="s">
        <v>995</v>
      </c>
      <c r="D4645" t="s">
        <v>7090</v>
      </c>
      <c r="E4645">
        <v>19.17440394404199</v>
      </c>
    </row>
    <row r="4646" spans="1:5">
      <c r="A4646" t="s">
        <v>6253</v>
      </c>
      <c r="B4646" t="s">
        <v>974</v>
      </c>
      <c r="C4646" t="s">
        <v>995</v>
      </c>
      <c r="D4646" t="s">
        <v>7091</v>
      </c>
      <c r="E4646">
        <v>0.2305666790888542</v>
      </c>
    </row>
    <row r="4647" spans="1:5">
      <c r="A4647" t="s">
        <v>6254</v>
      </c>
      <c r="B4647" t="s">
        <v>974</v>
      </c>
      <c r="C4647" t="s">
        <v>995</v>
      </c>
      <c r="D4647" t="s">
        <v>7092</v>
      </c>
      <c r="E4647">
        <v>8.553800492553577</v>
      </c>
    </row>
    <row r="4648" spans="1:5">
      <c r="A4648" t="s">
        <v>6255</v>
      </c>
      <c r="B4648" t="s">
        <v>974</v>
      </c>
      <c r="C4648" t="s">
        <v>995</v>
      </c>
      <c r="D4648" t="s">
        <v>6998</v>
      </c>
      <c r="E4648">
        <v>32.20179584595618</v>
      </c>
    </row>
    <row r="4649" spans="1:5">
      <c r="A4649" t="s">
        <v>6256</v>
      </c>
      <c r="B4649" t="s">
        <v>974</v>
      </c>
      <c r="C4649" t="s">
        <v>995</v>
      </c>
      <c r="D4649" t="s">
        <v>7093</v>
      </c>
      <c r="E4649">
        <v>2.058993142020421</v>
      </c>
    </row>
    <row r="4650" spans="1:5">
      <c r="A4650" t="s">
        <v>6257</v>
      </c>
      <c r="B4650" t="s">
        <v>974</v>
      </c>
      <c r="C4650" t="s">
        <v>995</v>
      </c>
      <c r="D4650" t="s">
        <v>6999</v>
      </c>
      <c r="E4650">
        <v>179.489513456993</v>
      </c>
    </row>
    <row r="4651" spans="1:5">
      <c r="A4651" t="s">
        <v>6258</v>
      </c>
      <c r="B4651" t="s">
        <v>974</v>
      </c>
      <c r="C4651" t="s">
        <v>995</v>
      </c>
      <c r="D4651" t="s">
        <v>7094</v>
      </c>
      <c r="E4651">
        <v>818.2959990520593</v>
      </c>
    </row>
    <row r="4652" spans="1:5">
      <c r="A4652" t="s">
        <v>6259</v>
      </c>
      <c r="B4652" t="s">
        <v>974</v>
      </c>
      <c r="C4652" t="s">
        <v>995</v>
      </c>
      <c r="D4652" t="s">
        <v>7095</v>
      </c>
      <c r="E4652">
        <v>314.6320556673139</v>
      </c>
    </row>
    <row r="4653" spans="1:5">
      <c r="A4653" t="s">
        <v>6260</v>
      </c>
      <c r="B4653" t="s">
        <v>974</v>
      </c>
      <c r="C4653" t="s">
        <v>995</v>
      </c>
      <c r="D4653" t="s">
        <v>7096</v>
      </c>
      <c r="E4653">
        <v>92.33826824505674</v>
      </c>
    </row>
    <row r="4654" spans="1:5">
      <c r="A4654" t="s">
        <v>6261</v>
      </c>
      <c r="B4654" t="s">
        <v>974</v>
      </c>
      <c r="C4654" t="s">
        <v>995</v>
      </c>
      <c r="D4654" t="s">
        <v>7097</v>
      </c>
      <c r="E4654">
        <v>71.61180659986333</v>
      </c>
    </row>
    <row r="4655" spans="1:5">
      <c r="A4655" t="s">
        <v>6262</v>
      </c>
      <c r="B4655" t="s">
        <v>974</v>
      </c>
      <c r="C4655" t="s">
        <v>995</v>
      </c>
      <c r="D4655" t="s">
        <v>7000</v>
      </c>
      <c r="E4655">
        <v>5.112475902462744</v>
      </c>
    </row>
    <row r="4656" spans="1:5">
      <c r="A4656" t="s">
        <v>6263</v>
      </c>
      <c r="B4656" t="s">
        <v>974</v>
      </c>
      <c r="C4656" t="s">
        <v>995</v>
      </c>
      <c r="D4656" t="s">
        <v>7098</v>
      </c>
      <c r="E4656">
        <v>1.129911912061014</v>
      </c>
    </row>
    <row r="4657" spans="1:5">
      <c r="A4657" t="s">
        <v>6264</v>
      </c>
      <c r="B4657" t="s">
        <v>974</v>
      </c>
      <c r="C4657" t="s">
        <v>995</v>
      </c>
      <c r="D4657" t="s">
        <v>7001</v>
      </c>
      <c r="E4657">
        <v>83.3492344925053</v>
      </c>
    </row>
    <row r="4658" spans="1:5">
      <c r="A4658" t="s">
        <v>6265</v>
      </c>
      <c r="B4658" t="s">
        <v>974</v>
      </c>
      <c r="C4658" t="s">
        <v>995</v>
      </c>
      <c r="D4658" t="s">
        <v>7099</v>
      </c>
      <c r="E4658">
        <v>0.05180006605987598</v>
      </c>
    </row>
    <row r="4659" spans="1:5">
      <c r="A4659" t="s">
        <v>6266</v>
      </c>
      <c r="B4659" t="s">
        <v>974</v>
      </c>
      <c r="C4659" t="s">
        <v>995</v>
      </c>
      <c r="D4659" t="s">
        <v>7100</v>
      </c>
      <c r="E4659">
        <v>86.43740456177851</v>
      </c>
    </row>
    <row r="4660" spans="1:5">
      <c r="A4660" t="s">
        <v>6267</v>
      </c>
      <c r="B4660" t="s">
        <v>974</v>
      </c>
      <c r="C4660" t="s">
        <v>995</v>
      </c>
      <c r="D4660" t="s">
        <v>7002</v>
      </c>
      <c r="E4660">
        <v>68.59419856613557</v>
      </c>
    </row>
    <row r="4661" spans="1:5">
      <c r="A4661" t="s">
        <v>6268</v>
      </c>
      <c r="B4661" t="s">
        <v>974</v>
      </c>
      <c r="C4661" t="s">
        <v>995</v>
      </c>
      <c r="D4661" t="s">
        <v>7101</v>
      </c>
      <c r="E4661">
        <v>3.060324216015782</v>
      </c>
    </row>
    <row r="4662" spans="1:5">
      <c r="A4662" t="s">
        <v>6269</v>
      </c>
      <c r="B4662" t="s">
        <v>974</v>
      </c>
      <c r="C4662" t="s">
        <v>995</v>
      </c>
      <c r="D4662" t="s">
        <v>7102</v>
      </c>
      <c r="E4662">
        <v>4.112737564511136</v>
      </c>
    </row>
    <row r="4663" spans="1:5">
      <c r="A4663" t="s">
        <v>6270</v>
      </c>
      <c r="B4663" t="s">
        <v>974</v>
      </c>
      <c r="C4663" t="s">
        <v>995</v>
      </c>
      <c r="D4663" t="s">
        <v>7103</v>
      </c>
      <c r="E4663">
        <v>0.2142877881637753</v>
      </c>
    </row>
    <row r="4664" spans="1:5">
      <c r="A4664" t="s">
        <v>6271</v>
      </c>
      <c r="B4664" t="s">
        <v>974</v>
      </c>
      <c r="C4664" t="s">
        <v>995</v>
      </c>
      <c r="D4664" t="s">
        <v>7104</v>
      </c>
      <c r="E4664">
        <v>83.90192071714749</v>
      </c>
    </row>
    <row r="4665" spans="1:5">
      <c r="A4665" t="s">
        <v>6272</v>
      </c>
      <c r="B4665" t="s">
        <v>974</v>
      </c>
      <c r="C4665" t="s">
        <v>995</v>
      </c>
      <c r="D4665" t="s">
        <v>7105</v>
      </c>
      <c r="E4665">
        <v>39.40837342236048</v>
      </c>
    </row>
    <row r="4666" spans="1:5">
      <c r="A4666" t="s">
        <v>6273</v>
      </c>
      <c r="B4666" t="s">
        <v>974</v>
      </c>
      <c r="C4666" t="s">
        <v>995</v>
      </c>
      <c r="D4666" t="s">
        <v>7106</v>
      </c>
      <c r="E4666">
        <v>21.3770590854901</v>
      </c>
    </row>
    <row r="4667" spans="1:5">
      <c r="A4667" t="s">
        <v>6274</v>
      </c>
      <c r="B4667" t="s">
        <v>974</v>
      </c>
      <c r="C4667" t="s">
        <v>995</v>
      </c>
      <c r="D4667" t="s">
        <v>7107</v>
      </c>
      <c r="E4667">
        <v>0.703417590126482</v>
      </c>
    </row>
    <row r="4668" spans="1:5">
      <c r="A4668" t="s">
        <v>6275</v>
      </c>
      <c r="B4668" t="s">
        <v>974</v>
      </c>
      <c r="C4668" t="s">
        <v>995</v>
      </c>
      <c r="D4668" t="s">
        <v>7003</v>
      </c>
      <c r="E4668">
        <v>32.43639225474008</v>
      </c>
    </row>
    <row r="4669" spans="1:5">
      <c r="A4669" t="s">
        <v>6276</v>
      </c>
      <c r="B4669" t="s">
        <v>974</v>
      </c>
      <c r="C4669" t="s">
        <v>995</v>
      </c>
      <c r="D4669" t="s">
        <v>7004</v>
      </c>
      <c r="E4669">
        <v>243.1599615392428</v>
      </c>
    </row>
    <row r="4670" spans="1:5">
      <c r="A4670" t="s">
        <v>6277</v>
      </c>
      <c r="B4670" t="s">
        <v>974</v>
      </c>
      <c r="C4670" t="s">
        <v>995</v>
      </c>
      <c r="D4670" t="s">
        <v>7108</v>
      </c>
      <c r="E4670">
        <v>420.7948755505924</v>
      </c>
    </row>
    <row r="4671" spans="1:5">
      <c r="A4671" t="s">
        <v>6278</v>
      </c>
      <c r="B4671" t="s">
        <v>974</v>
      </c>
      <c r="C4671" t="s">
        <v>995</v>
      </c>
      <c r="D4671" t="s">
        <v>7109</v>
      </c>
      <c r="E4671">
        <v>12.9328121782944</v>
      </c>
    </row>
    <row r="4672" spans="1:5">
      <c r="A4672" t="s">
        <v>6279</v>
      </c>
      <c r="B4672" t="s">
        <v>974</v>
      </c>
      <c r="C4672" t="s">
        <v>995</v>
      </c>
      <c r="D4672" t="s">
        <v>7110</v>
      </c>
      <c r="E4672">
        <v>0.01293296873233209</v>
      </c>
    </row>
    <row r="4673" spans="1:5">
      <c r="A4673" t="s">
        <v>6280</v>
      </c>
      <c r="B4673" t="s">
        <v>974</v>
      </c>
      <c r="C4673" t="s">
        <v>995</v>
      </c>
      <c r="D4673" t="s">
        <v>7111</v>
      </c>
      <c r="E4673">
        <v>0.5500561964041041</v>
      </c>
    </row>
    <row r="4674" spans="1:5">
      <c r="A4674" t="s">
        <v>6281</v>
      </c>
      <c r="B4674" t="s">
        <v>974</v>
      </c>
      <c r="C4674" t="s">
        <v>995</v>
      </c>
      <c r="D4674" t="s">
        <v>7112</v>
      </c>
      <c r="E4674">
        <v>8.35819592191009</v>
      </c>
    </row>
    <row r="4675" spans="1:5">
      <c r="A4675" t="s">
        <v>6282</v>
      </c>
      <c r="B4675" t="s">
        <v>974</v>
      </c>
      <c r="C4675" t="s">
        <v>995</v>
      </c>
      <c r="D4675" t="s">
        <v>7113</v>
      </c>
      <c r="E4675">
        <v>0.06682506462772193</v>
      </c>
    </row>
    <row r="4676" spans="1:5">
      <c r="A4676" t="s">
        <v>6283</v>
      </c>
      <c r="B4676" t="s">
        <v>974</v>
      </c>
      <c r="C4676" t="s">
        <v>995</v>
      </c>
      <c r="D4676" t="s">
        <v>7114</v>
      </c>
      <c r="E4676">
        <v>14.65738473469388</v>
      </c>
    </row>
    <row r="4677" spans="1:5">
      <c r="A4677" t="s">
        <v>6284</v>
      </c>
      <c r="B4677" t="s">
        <v>974</v>
      </c>
      <c r="C4677" t="s">
        <v>995</v>
      </c>
      <c r="D4677" t="s">
        <v>7115</v>
      </c>
      <c r="E4677">
        <v>2.586860874016927</v>
      </c>
    </row>
    <row r="4678" spans="1:5">
      <c r="A4678" t="s">
        <v>6285</v>
      </c>
      <c r="B4678" t="s">
        <v>974</v>
      </c>
      <c r="C4678" t="s">
        <v>995</v>
      </c>
      <c r="D4678" t="s">
        <v>7116</v>
      </c>
      <c r="E4678">
        <v>19.17440394404199</v>
      </c>
    </row>
    <row r="4679" spans="1:5">
      <c r="A4679" t="s">
        <v>6286</v>
      </c>
      <c r="B4679" t="s">
        <v>974</v>
      </c>
      <c r="C4679" t="s">
        <v>995</v>
      </c>
      <c r="D4679" t="s">
        <v>7005</v>
      </c>
      <c r="E4679">
        <v>9.403153542034335</v>
      </c>
    </row>
    <row r="4680" spans="1:5">
      <c r="A4680" t="s">
        <v>6287</v>
      </c>
      <c r="B4680" t="s">
        <v>974</v>
      </c>
      <c r="C4680" t="s">
        <v>995</v>
      </c>
      <c r="D4680" t="s">
        <v>7117</v>
      </c>
      <c r="E4680">
        <v>34.00398894012707</v>
      </c>
    </row>
    <row r="4681" spans="1:5">
      <c r="A4681" t="s">
        <v>6288</v>
      </c>
      <c r="B4681" t="s">
        <v>974</v>
      </c>
      <c r="C4681" t="s">
        <v>995</v>
      </c>
      <c r="D4681" t="s">
        <v>7118</v>
      </c>
      <c r="E4681">
        <v>89.92674909774233</v>
      </c>
    </row>
    <row r="4682" spans="1:5">
      <c r="A4682" t="s">
        <v>6289</v>
      </c>
      <c r="B4682" t="s">
        <v>974</v>
      </c>
      <c r="C4682" t="s">
        <v>995</v>
      </c>
      <c r="D4682" t="s">
        <v>7119</v>
      </c>
      <c r="E4682">
        <v>106.6330310480806</v>
      </c>
    </row>
    <row r="4683" spans="1:5">
      <c r="A4683" t="s">
        <v>6290</v>
      </c>
      <c r="B4683" t="s">
        <v>974</v>
      </c>
      <c r="C4683" t="s">
        <v>995</v>
      </c>
      <c r="D4683" t="s">
        <v>7120</v>
      </c>
      <c r="E4683">
        <v>131.6598012340107</v>
      </c>
    </row>
    <row r="4684" spans="1:5">
      <c r="A4684" t="s">
        <v>6291</v>
      </c>
      <c r="B4684" t="s">
        <v>974</v>
      </c>
      <c r="C4684" t="s">
        <v>995</v>
      </c>
      <c r="D4684" t="s">
        <v>7006</v>
      </c>
      <c r="E4684">
        <v>6.70947480103167</v>
      </c>
    </row>
    <row r="4685" spans="1:5">
      <c r="A4685" t="s">
        <v>6292</v>
      </c>
      <c r="B4685" t="s">
        <v>974</v>
      </c>
      <c r="C4685" t="s">
        <v>995</v>
      </c>
      <c r="D4685" t="s">
        <v>7121</v>
      </c>
      <c r="E4685">
        <v>43.80339492054895</v>
      </c>
    </row>
    <row r="4686" spans="1:5">
      <c r="A4686" t="s">
        <v>6293</v>
      </c>
      <c r="B4686" t="s">
        <v>974</v>
      </c>
      <c r="C4686" t="s">
        <v>995</v>
      </c>
      <c r="D4686" t="s">
        <v>7122</v>
      </c>
      <c r="E4686">
        <v>217.9789454387854</v>
      </c>
    </row>
    <row r="4687" spans="1:5">
      <c r="A4687" t="s">
        <v>6294</v>
      </c>
      <c r="B4687" t="s">
        <v>974</v>
      </c>
      <c r="C4687" t="s">
        <v>995</v>
      </c>
      <c r="D4687" t="s">
        <v>7123</v>
      </c>
      <c r="E4687">
        <v>9.805112903834427</v>
      </c>
    </row>
    <row r="4688" spans="1:5">
      <c r="A4688" t="s">
        <v>6295</v>
      </c>
      <c r="B4688" t="s">
        <v>974</v>
      </c>
      <c r="C4688" t="s">
        <v>995</v>
      </c>
      <c r="D4688" t="s">
        <v>7124</v>
      </c>
      <c r="E4688">
        <v>0.1205225607813344</v>
      </c>
    </row>
    <row r="4689" spans="1:5">
      <c r="A4689" t="s">
        <v>6296</v>
      </c>
      <c r="B4689" t="s">
        <v>974</v>
      </c>
      <c r="C4689" t="s">
        <v>995</v>
      </c>
      <c r="D4689" t="s">
        <v>7125</v>
      </c>
      <c r="E4689">
        <v>7.070340119290873</v>
      </c>
    </row>
    <row r="4690" spans="1:5">
      <c r="A4690" t="s">
        <v>6297</v>
      </c>
      <c r="B4690" t="s">
        <v>974</v>
      </c>
      <c r="C4690" t="s">
        <v>995</v>
      </c>
      <c r="D4690" t="s">
        <v>7126</v>
      </c>
      <c r="E4690">
        <v>0.08631931216653478</v>
      </c>
    </row>
    <row r="4691" spans="1:5">
      <c r="A4691" t="s">
        <v>6298</v>
      </c>
      <c r="B4691" t="s">
        <v>974</v>
      </c>
      <c r="C4691" t="s">
        <v>995</v>
      </c>
      <c r="D4691" t="s">
        <v>998</v>
      </c>
      <c r="E4691">
        <v>314.626818098585</v>
      </c>
    </row>
    <row r="4692" spans="1:5">
      <c r="A4692" t="s">
        <v>6299</v>
      </c>
      <c r="B4692" t="s">
        <v>974</v>
      </c>
      <c r="C4692" t="s">
        <v>995</v>
      </c>
      <c r="D4692" t="s">
        <v>7127</v>
      </c>
      <c r="E4692">
        <v>7.809110435004419</v>
      </c>
    </row>
    <row r="4693" spans="1:5">
      <c r="A4693" t="s">
        <v>6300</v>
      </c>
      <c r="B4693" t="s">
        <v>974</v>
      </c>
      <c r="C4693" t="s">
        <v>995</v>
      </c>
      <c r="D4693" t="s">
        <v>7128</v>
      </c>
      <c r="E4693">
        <v>0.02631929587980391</v>
      </c>
    </row>
    <row r="4694" spans="1:5">
      <c r="A4694" t="s">
        <v>6301</v>
      </c>
      <c r="B4694" t="s">
        <v>974</v>
      </c>
      <c r="C4694" t="s">
        <v>995</v>
      </c>
      <c r="D4694" t="s">
        <v>7129</v>
      </c>
      <c r="E4694">
        <v>0.4498431617195544</v>
      </c>
    </row>
    <row r="4695" spans="1:5">
      <c r="A4695" t="s">
        <v>6302</v>
      </c>
      <c r="B4695" t="s">
        <v>974</v>
      </c>
      <c r="C4695" t="s">
        <v>995</v>
      </c>
      <c r="D4695" t="s">
        <v>7130</v>
      </c>
      <c r="E4695">
        <v>0.01200004545760082</v>
      </c>
    </row>
    <row r="4696" spans="1:5">
      <c r="A4696" t="s">
        <v>6303</v>
      </c>
      <c r="B4696" t="s">
        <v>974</v>
      </c>
      <c r="C4696" t="s">
        <v>995</v>
      </c>
      <c r="D4696" t="s">
        <v>7131</v>
      </c>
      <c r="E4696">
        <v>2.629845246963074</v>
      </c>
    </row>
    <row r="4697" spans="1:5">
      <c r="A4697" t="s">
        <v>6304</v>
      </c>
      <c r="B4697" t="s">
        <v>974</v>
      </c>
      <c r="C4697" t="s">
        <v>995</v>
      </c>
      <c r="D4697" t="s">
        <v>7132</v>
      </c>
      <c r="E4697">
        <v>115.0021075365649</v>
      </c>
    </row>
    <row r="4698" spans="1:5">
      <c r="A4698" t="s">
        <v>6305</v>
      </c>
      <c r="B4698" t="s">
        <v>974</v>
      </c>
      <c r="C4698" t="s">
        <v>995</v>
      </c>
      <c r="D4698" t="s">
        <v>7133</v>
      </c>
      <c r="E4698">
        <v>0.5474534550283022</v>
      </c>
    </row>
    <row r="4699" spans="1:5">
      <c r="A4699" t="s">
        <v>6306</v>
      </c>
      <c r="B4699" t="s">
        <v>974</v>
      </c>
      <c r="C4699" t="s">
        <v>995</v>
      </c>
      <c r="D4699" t="s">
        <v>7134</v>
      </c>
      <c r="E4699">
        <v>116.53044392791</v>
      </c>
    </row>
    <row r="4700" spans="1:5">
      <c r="A4700" t="s">
        <v>6307</v>
      </c>
      <c r="B4700" t="s">
        <v>974</v>
      </c>
      <c r="C4700" t="s">
        <v>995</v>
      </c>
      <c r="D4700" t="s">
        <v>7135</v>
      </c>
      <c r="E4700">
        <v>175.7721910564708</v>
      </c>
    </row>
    <row r="4701" spans="1:5">
      <c r="A4701" t="s">
        <v>6308</v>
      </c>
      <c r="B4701" t="s">
        <v>974</v>
      </c>
      <c r="C4701" t="s">
        <v>995</v>
      </c>
      <c r="D4701" t="s">
        <v>7136</v>
      </c>
      <c r="E4701">
        <v>427.073879826652</v>
      </c>
    </row>
    <row r="4702" spans="1:5">
      <c r="A4702" t="s">
        <v>6309</v>
      </c>
      <c r="B4702" t="s">
        <v>974</v>
      </c>
      <c r="C4702" t="s">
        <v>995</v>
      </c>
      <c r="D4702" t="s">
        <v>7137</v>
      </c>
      <c r="E4702">
        <v>0.5474534550283022</v>
      </c>
    </row>
    <row r="4703" spans="1:5">
      <c r="A4703" t="s">
        <v>6310</v>
      </c>
      <c r="B4703" t="s">
        <v>974</v>
      </c>
      <c r="C4703" t="s">
        <v>995</v>
      </c>
      <c r="D4703" t="s">
        <v>7138</v>
      </c>
      <c r="E4703">
        <v>3.009301159789495</v>
      </c>
    </row>
    <row r="4704" spans="1:5">
      <c r="A4704" t="s">
        <v>6311</v>
      </c>
      <c r="B4704" t="s">
        <v>974</v>
      </c>
      <c r="C4704" t="s">
        <v>995</v>
      </c>
      <c r="D4704" t="s">
        <v>7139</v>
      </c>
      <c r="E4704">
        <v>1.325080658572153</v>
      </c>
    </row>
    <row r="4705" spans="1:5">
      <c r="A4705" t="s">
        <v>6312</v>
      </c>
      <c r="B4705" t="s">
        <v>974</v>
      </c>
      <c r="C4705" t="s">
        <v>995</v>
      </c>
      <c r="D4705" t="s">
        <v>7007</v>
      </c>
      <c r="E4705">
        <v>19.17386440911087</v>
      </c>
    </row>
    <row r="4706" spans="1:5">
      <c r="A4706" t="s">
        <v>6313</v>
      </c>
      <c r="B4706" t="s">
        <v>974</v>
      </c>
      <c r="C4706" t="s">
        <v>995</v>
      </c>
      <c r="D4706" t="s">
        <v>7140</v>
      </c>
      <c r="E4706">
        <v>17.13100379060734</v>
      </c>
    </row>
    <row r="4707" spans="1:5">
      <c r="A4707" t="s">
        <v>6314</v>
      </c>
      <c r="B4707" t="s">
        <v>974</v>
      </c>
      <c r="C4707" t="s">
        <v>995</v>
      </c>
      <c r="D4707" t="s">
        <v>7141</v>
      </c>
      <c r="E4707">
        <v>11.74846484024838</v>
      </c>
    </row>
    <row r="4708" spans="1:5">
      <c r="A4708" t="s">
        <v>6315</v>
      </c>
      <c r="B4708" t="s">
        <v>974</v>
      </c>
      <c r="C4708" t="s">
        <v>995</v>
      </c>
      <c r="D4708" t="s">
        <v>7142</v>
      </c>
      <c r="E4708">
        <v>11.74846484024838</v>
      </c>
    </row>
    <row r="4709" spans="1:5">
      <c r="A4709" t="s">
        <v>6151</v>
      </c>
      <c r="B4709" t="s">
        <v>974</v>
      </c>
      <c r="C4709" t="s">
        <v>995</v>
      </c>
      <c r="D4709" t="s">
        <v>996</v>
      </c>
      <c r="E4709">
        <v>359.105926</v>
      </c>
    </row>
    <row r="4710" spans="1:5">
      <c r="A4710" t="s">
        <v>6316</v>
      </c>
      <c r="B4710" t="s">
        <v>975</v>
      </c>
      <c r="C4710" t="s">
        <v>995</v>
      </c>
      <c r="D4710" t="s">
        <v>996</v>
      </c>
      <c r="E4710">
        <v>356.661537</v>
      </c>
    </row>
    <row r="4711" spans="1:5">
      <c r="A4711" t="s">
        <v>6317</v>
      </c>
      <c r="B4711" t="s">
        <v>975</v>
      </c>
      <c r="C4711" t="s">
        <v>995</v>
      </c>
      <c r="D4711" t="s">
        <v>7008</v>
      </c>
      <c r="E4711">
        <v>85.15102435768146</v>
      </c>
    </row>
    <row r="4712" spans="1:5">
      <c r="A4712" t="s">
        <v>6318</v>
      </c>
      <c r="B4712" t="s">
        <v>975</v>
      </c>
      <c r="C4712" t="s">
        <v>995</v>
      </c>
      <c r="D4712" t="s">
        <v>7009</v>
      </c>
      <c r="E4712">
        <v>4.813531937119073</v>
      </c>
    </row>
    <row r="4713" spans="1:5">
      <c r="A4713" t="s">
        <v>6319</v>
      </c>
      <c r="B4713" t="s">
        <v>975</v>
      </c>
      <c r="C4713" t="s">
        <v>995</v>
      </c>
      <c r="D4713" t="s">
        <v>7010</v>
      </c>
      <c r="E4713">
        <v>3.803023600791426</v>
      </c>
    </row>
    <row r="4714" spans="1:5">
      <c r="A4714" t="s">
        <v>6320</v>
      </c>
      <c r="B4714" t="s">
        <v>975</v>
      </c>
      <c r="C4714" t="s">
        <v>995</v>
      </c>
      <c r="D4714" t="s">
        <v>7011</v>
      </c>
      <c r="E4714">
        <v>0.8504110577396053</v>
      </c>
    </row>
    <row r="4715" spans="1:5">
      <c r="A4715" t="s">
        <v>6321</v>
      </c>
      <c r="B4715" t="s">
        <v>975</v>
      </c>
      <c r="C4715" t="s">
        <v>995</v>
      </c>
      <c r="D4715" t="s">
        <v>7012</v>
      </c>
      <c r="E4715">
        <v>174.7022893023351</v>
      </c>
    </row>
    <row r="4716" spans="1:5">
      <c r="A4716" t="s">
        <v>6322</v>
      </c>
      <c r="B4716" t="s">
        <v>975</v>
      </c>
      <c r="C4716" t="s">
        <v>995</v>
      </c>
      <c r="D4716" t="s">
        <v>7013</v>
      </c>
      <c r="E4716">
        <v>0.335792440448631</v>
      </c>
    </row>
    <row r="4717" spans="1:5">
      <c r="A4717" t="s">
        <v>6323</v>
      </c>
      <c r="B4717" t="s">
        <v>975</v>
      </c>
      <c r="C4717" t="s">
        <v>995</v>
      </c>
      <c r="D4717" t="s">
        <v>7014</v>
      </c>
      <c r="E4717">
        <v>0.209750248198882</v>
      </c>
    </row>
    <row r="4718" spans="1:5">
      <c r="A4718" t="s">
        <v>6324</v>
      </c>
      <c r="B4718" t="s">
        <v>975</v>
      </c>
      <c r="C4718" t="s">
        <v>995</v>
      </c>
      <c r="D4718" t="s">
        <v>6981</v>
      </c>
      <c r="E4718">
        <v>217.0423299484385</v>
      </c>
    </row>
    <row r="4719" spans="1:5">
      <c r="A4719" t="s">
        <v>6325</v>
      </c>
      <c r="B4719" t="s">
        <v>975</v>
      </c>
      <c r="C4719" t="s">
        <v>995</v>
      </c>
      <c r="D4719" t="s">
        <v>7015</v>
      </c>
      <c r="E4719">
        <v>174.7022893023351</v>
      </c>
    </row>
    <row r="4720" spans="1:5">
      <c r="A4720" t="s">
        <v>6326</v>
      </c>
      <c r="B4720" t="s">
        <v>975</v>
      </c>
      <c r="C4720" t="s">
        <v>995</v>
      </c>
      <c r="D4720" t="s">
        <v>7016</v>
      </c>
      <c r="E4720">
        <v>183.6914356670722</v>
      </c>
    </row>
    <row r="4721" spans="1:5">
      <c r="A4721" t="s">
        <v>6327</v>
      </c>
      <c r="B4721" t="s">
        <v>975</v>
      </c>
      <c r="C4721" t="s">
        <v>995</v>
      </c>
      <c r="D4721" t="s">
        <v>7017</v>
      </c>
      <c r="E4721">
        <v>182.3581482030647</v>
      </c>
    </row>
    <row r="4722" spans="1:5">
      <c r="A4722" t="s">
        <v>6328</v>
      </c>
      <c r="B4722" t="s">
        <v>975</v>
      </c>
      <c r="C4722" t="s">
        <v>995</v>
      </c>
      <c r="D4722" t="s">
        <v>7018</v>
      </c>
      <c r="E4722">
        <v>156.3585600309331</v>
      </c>
    </row>
    <row r="4723" spans="1:5">
      <c r="A4723" t="s">
        <v>6329</v>
      </c>
      <c r="B4723" t="s">
        <v>975</v>
      </c>
      <c r="C4723" t="s">
        <v>995</v>
      </c>
      <c r="D4723" t="s">
        <v>7019</v>
      </c>
      <c r="E4723">
        <v>2.536140194005996</v>
      </c>
    </row>
    <row r="4724" spans="1:5">
      <c r="A4724" t="s">
        <v>6330</v>
      </c>
      <c r="B4724" t="s">
        <v>975</v>
      </c>
      <c r="C4724" t="s">
        <v>995</v>
      </c>
      <c r="D4724" t="s">
        <v>997</v>
      </c>
      <c r="E4724">
        <v>182.3581482030647</v>
      </c>
    </row>
    <row r="4725" spans="1:5">
      <c r="A4725" t="s">
        <v>6331</v>
      </c>
      <c r="B4725" t="s">
        <v>975</v>
      </c>
      <c r="C4725" t="s">
        <v>995</v>
      </c>
      <c r="D4725" t="s">
        <v>7020</v>
      </c>
      <c r="E4725">
        <v>831.6948794063945</v>
      </c>
    </row>
    <row r="4726" spans="1:5">
      <c r="A4726" t="s">
        <v>6332</v>
      </c>
      <c r="B4726" t="s">
        <v>975</v>
      </c>
      <c r="C4726" t="s">
        <v>995</v>
      </c>
      <c r="D4726" t="s">
        <v>7021</v>
      </c>
      <c r="E4726">
        <v>0.1045062381456485</v>
      </c>
    </row>
    <row r="4727" spans="1:5">
      <c r="A4727" t="s">
        <v>6333</v>
      </c>
      <c r="B4727" t="s">
        <v>975</v>
      </c>
      <c r="C4727" t="s">
        <v>995</v>
      </c>
      <c r="D4727" t="s">
        <v>7022</v>
      </c>
      <c r="E4727">
        <v>312.7172571554829</v>
      </c>
    </row>
    <row r="4728" spans="1:5">
      <c r="A4728" t="s">
        <v>6334</v>
      </c>
      <c r="B4728" t="s">
        <v>975</v>
      </c>
      <c r="C4728" t="s">
        <v>995</v>
      </c>
      <c r="D4728" t="s">
        <v>7023</v>
      </c>
      <c r="E4728">
        <v>241.9381129234119</v>
      </c>
    </row>
    <row r="4729" spans="1:5">
      <c r="A4729" t="s">
        <v>6335</v>
      </c>
      <c r="B4729" t="s">
        <v>975</v>
      </c>
      <c r="C4729" t="s">
        <v>995</v>
      </c>
      <c r="D4729" t="s">
        <v>7024</v>
      </c>
      <c r="E4729">
        <v>31.1804336234933</v>
      </c>
    </row>
    <row r="4730" spans="1:5">
      <c r="A4730" t="s">
        <v>6336</v>
      </c>
      <c r="B4730" t="s">
        <v>975</v>
      </c>
      <c r="C4730" t="s">
        <v>995</v>
      </c>
      <c r="D4730" t="s">
        <v>6982</v>
      </c>
      <c r="E4730">
        <v>61.03124616588497</v>
      </c>
    </row>
    <row r="4731" spans="1:5">
      <c r="A4731" t="s">
        <v>6337</v>
      </c>
      <c r="B4731" t="s">
        <v>975</v>
      </c>
      <c r="C4731" t="s">
        <v>995</v>
      </c>
      <c r="D4731" t="s">
        <v>7025</v>
      </c>
      <c r="E4731">
        <v>312.7172571554829</v>
      </c>
    </row>
    <row r="4732" spans="1:5">
      <c r="A4732" t="s">
        <v>6338</v>
      </c>
      <c r="B4732" t="s">
        <v>975</v>
      </c>
      <c r="C4732" t="s">
        <v>995</v>
      </c>
      <c r="D4732" t="s">
        <v>7026</v>
      </c>
      <c r="E4732">
        <v>3.277814297851476</v>
      </c>
    </row>
    <row r="4733" spans="1:5">
      <c r="A4733" t="s">
        <v>6339</v>
      </c>
      <c r="B4733" t="s">
        <v>975</v>
      </c>
      <c r="C4733" t="s">
        <v>995</v>
      </c>
      <c r="D4733" t="s">
        <v>7027</v>
      </c>
      <c r="E4733">
        <v>22.43386278430298</v>
      </c>
    </row>
    <row r="4734" spans="1:5">
      <c r="A4734" t="s">
        <v>6340</v>
      </c>
      <c r="B4734" t="s">
        <v>975</v>
      </c>
      <c r="C4734" t="s">
        <v>995</v>
      </c>
      <c r="D4734" t="s">
        <v>7028</v>
      </c>
      <c r="E4734">
        <v>109.0618680181563</v>
      </c>
    </row>
    <row r="4735" spans="1:5">
      <c r="A4735" t="s">
        <v>6341</v>
      </c>
      <c r="B4735" t="s">
        <v>975</v>
      </c>
      <c r="C4735" t="s">
        <v>995</v>
      </c>
      <c r="D4735" t="s">
        <v>7029</v>
      </c>
      <c r="E4735">
        <v>156.3585600309331</v>
      </c>
    </row>
    <row r="4736" spans="1:5">
      <c r="A4736" t="s">
        <v>6342</v>
      </c>
      <c r="B4736" t="s">
        <v>975</v>
      </c>
      <c r="C4736" t="s">
        <v>995</v>
      </c>
      <c r="D4736" t="s">
        <v>6983</v>
      </c>
      <c r="E4736">
        <v>220.7749789848084</v>
      </c>
    </row>
    <row r="4737" spans="1:5">
      <c r="A4737" t="s">
        <v>6343</v>
      </c>
      <c r="B4737" t="s">
        <v>975</v>
      </c>
      <c r="C4737" t="s">
        <v>995</v>
      </c>
      <c r="D4737" t="s">
        <v>7030</v>
      </c>
      <c r="E4737">
        <v>0.1360644724635717</v>
      </c>
    </row>
    <row r="4738" spans="1:5">
      <c r="A4738" t="s">
        <v>6344</v>
      </c>
      <c r="B4738" t="s">
        <v>975</v>
      </c>
      <c r="C4738" t="s">
        <v>995</v>
      </c>
      <c r="D4738" t="s">
        <v>6984</v>
      </c>
      <c r="E4738">
        <v>386.4293490449821</v>
      </c>
    </row>
    <row r="4739" spans="1:5">
      <c r="A4739" t="s">
        <v>6345</v>
      </c>
      <c r="B4739" t="s">
        <v>975</v>
      </c>
      <c r="C4739" t="s">
        <v>995</v>
      </c>
      <c r="D4739" t="s">
        <v>7031</v>
      </c>
      <c r="E4739">
        <v>13325.66923220624</v>
      </c>
    </row>
    <row r="4740" spans="1:5">
      <c r="A4740" t="s">
        <v>6346</v>
      </c>
      <c r="B4740" t="s">
        <v>975</v>
      </c>
      <c r="C4740" t="s">
        <v>995</v>
      </c>
      <c r="D4740" t="s">
        <v>7032</v>
      </c>
      <c r="E4740">
        <v>0.337133812388655</v>
      </c>
    </row>
    <row r="4741" spans="1:5">
      <c r="A4741" t="s">
        <v>6347</v>
      </c>
      <c r="B4741" t="s">
        <v>975</v>
      </c>
      <c r="C4741" t="s">
        <v>995</v>
      </c>
      <c r="D4741" t="s">
        <v>7033</v>
      </c>
      <c r="E4741">
        <v>46.08289782215122</v>
      </c>
    </row>
    <row r="4742" spans="1:5">
      <c r="A4742" t="s">
        <v>6348</v>
      </c>
      <c r="B4742" t="s">
        <v>975</v>
      </c>
      <c r="C4742" t="s">
        <v>995</v>
      </c>
      <c r="D4742" t="s">
        <v>6985</v>
      </c>
      <c r="E4742">
        <v>46.15089372491075</v>
      </c>
    </row>
    <row r="4743" spans="1:5">
      <c r="A4743" t="s">
        <v>6349</v>
      </c>
      <c r="B4743" t="s">
        <v>975</v>
      </c>
      <c r="C4743" t="s">
        <v>995</v>
      </c>
      <c r="D4743" t="s">
        <v>7034</v>
      </c>
      <c r="E4743">
        <v>0.09534342250448399</v>
      </c>
    </row>
    <row r="4744" spans="1:5">
      <c r="A4744" t="s">
        <v>6350</v>
      </c>
      <c r="B4744" t="s">
        <v>975</v>
      </c>
      <c r="C4744" t="s">
        <v>995</v>
      </c>
      <c r="D4744" t="s">
        <v>7035</v>
      </c>
      <c r="E4744">
        <v>0.6864617132094691</v>
      </c>
    </row>
    <row r="4745" spans="1:5">
      <c r="A4745" t="s">
        <v>6351</v>
      </c>
      <c r="B4745" t="s">
        <v>975</v>
      </c>
      <c r="C4745" t="s">
        <v>995</v>
      </c>
      <c r="D4745" t="s">
        <v>7036</v>
      </c>
      <c r="E4745">
        <v>13.02988095461642</v>
      </c>
    </row>
    <row r="4746" spans="1:5">
      <c r="A4746" t="s">
        <v>6352</v>
      </c>
      <c r="B4746" t="s">
        <v>975</v>
      </c>
      <c r="C4746" t="s">
        <v>995</v>
      </c>
      <c r="D4746" t="s">
        <v>7037</v>
      </c>
      <c r="E4746">
        <v>3.234585199292613</v>
      </c>
    </row>
    <row r="4747" spans="1:5">
      <c r="A4747" t="s">
        <v>6353</v>
      </c>
      <c r="B4747" t="s">
        <v>975</v>
      </c>
      <c r="C4747" t="s">
        <v>995</v>
      </c>
      <c r="D4747" t="s">
        <v>6986</v>
      </c>
      <c r="E4747">
        <v>14.70450030970597</v>
      </c>
    </row>
    <row r="4748" spans="1:5">
      <c r="A4748" t="s">
        <v>6354</v>
      </c>
      <c r="B4748" t="s">
        <v>975</v>
      </c>
      <c r="C4748" t="s">
        <v>995</v>
      </c>
      <c r="D4748" t="s">
        <v>7038</v>
      </c>
      <c r="E4748">
        <v>1.7595959332739</v>
      </c>
    </row>
    <row r="4749" spans="1:5">
      <c r="A4749" t="s">
        <v>6355</v>
      </c>
      <c r="B4749" t="s">
        <v>975</v>
      </c>
      <c r="C4749" t="s">
        <v>995</v>
      </c>
      <c r="D4749" t="s">
        <v>6987</v>
      </c>
      <c r="E4749">
        <v>47.80376348805937</v>
      </c>
    </row>
    <row r="4750" spans="1:5">
      <c r="A4750" t="s">
        <v>6356</v>
      </c>
      <c r="B4750" t="s">
        <v>975</v>
      </c>
      <c r="C4750" t="s">
        <v>995</v>
      </c>
      <c r="D4750" t="s">
        <v>7039</v>
      </c>
      <c r="E4750">
        <v>5.320234364964983</v>
      </c>
    </row>
    <row r="4751" spans="1:5">
      <c r="A4751" t="s">
        <v>6357</v>
      </c>
      <c r="B4751" t="s">
        <v>975</v>
      </c>
      <c r="C4751" t="s">
        <v>995</v>
      </c>
      <c r="D4751" t="s">
        <v>7040</v>
      </c>
      <c r="E4751">
        <v>2.344593328042934</v>
      </c>
    </row>
    <row r="4752" spans="1:5">
      <c r="A4752" t="s">
        <v>6358</v>
      </c>
      <c r="B4752" t="s">
        <v>975</v>
      </c>
      <c r="C4752" t="s">
        <v>995</v>
      </c>
      <c r="D4752" t="s">
        <v>7041</v>
      </c>
      <c r="E4752">
        <v>6.277322577344268</v>
      </c>
    </row>
    <row r="4753" spans="1:5">
      <c r="A4753" t="s">
        <v>6359</v>
      </c>
      <c r="B4753" t="s">
        <v>975</v>
      </c>
      <c r="C4753" t="s">
        <v>995</v>
      </c>
      <c r="D4753" t="s">
        <v>7042</v>
      </c>
      <c r="E4753">
        <v>20.84780983203866</v>
      </c>
    </row>
    <row r="4754" spans="1:5">
      <c r="A4754" t="s">
        <v>6360</v>
      </c>
      <c r="B4754" t="s">
        <v>975</v>
      </c>
      <c r="C4754" t="s">
        <v>995</v>
      </c>
      <c r="D4754" t="s">
        <v>7043</v>
      </c>
      <c r="E4754">
        <v>1.934326461192649</v>
      </c>
    </row>
    <row r="4755" spans="1:5">
      <c r="A4755" t="s">
        <v>6361</v>
      </c>
      <c r="B4755" t="s">
        <v>975</v>
      </c>
      <c r="C4755" t="s">
        <v>995</v>
      </c>
      <c r="D4755" t="s">
        <v>7044</v>
      </c>
      <c r="E4755">
        <v>140.3312430235024</v>
      </c>
    </row>
    <row r="4756" spans="1:5">
      <c r="A4756" t="s">
        <v>6362</v>
      </c>
      <c r="B4756" t="s">
        <v>975</v>
      </c>
      <c r="C4756" t="s">
        <v>995</v>
      </c>
      <c r="D4756" t="s">
        <v>7045</v>
      </c>
      <c r="E4756">
        <v>418.6487666312571</v>
      </c>
    </row>
    <row r="4757" spans="1:5">
      <c r="A4757" t="s">
        <v>6363</v>
      </c>
      <c r="B4757" t="s">
        <v>975</v>
      </c>
      <c r="C4757" t="s">
        <v>995</v>
      </c>
      <c r="D4757" t="s">
        <v>7046</v>
      </c>
      <c r="E4757">
        <v>47.80376348805937</v>
      </c>
    </row>
    <row r="4758" spans="1:5">
      <c r="A4758" t="s">
        <v>6364</v>
      </c>
      <c r="B4758" t="s">
        <v>975</v>
      </c>
      <c r="C4758" t="s">
        <v>995</v>
      </c>
      <c r="D4758" t="s">
        <v>6988</v>
      </c>
      <c r="E4758">
        <v>418.6433611989493</v>
      </c>
    </row>
    <row r="4759" spans="1:5">
      <c r="A4759" t="s">
        <v>6365</v>
      </c>
      <c r="B4759" t="s">
        <v>975</v>
      </c>
      <c r="C4759" t="s">
        <v>995</v>
      </c>
      <c r="D4759" t="s">
        <v>7047</v>
      </c>
      <c r="E4759">
        <v>118.6973423837476</v>
      </c>
    </row>
    <row r="4760" spans="1:5">
      <c r="A4760" t="s">
        <v>6366</v>
      </c>
      <c r="B4760" t="s">
        <v>975</v>
      </c>
      <c r="C4760" t="s">
        <v>995</v>
      </c>
      <c r="D4760" t="s">
        <v>7048</v>
      </c>
      <c r="E4760">
        <v>418.6487666312571</v>
      </c>
    </row>
    <row r="4761" spans="1:5">
      <c r="A4761" t="s">
        <v>6367</v>
      </c>
      <c r="B4761" t="s">
        <v>975</v>
      </c>
      <c r="C4761" t="s">
        <v>995</v>
      </c>
      <c r="D4761" t="s">
        <v>7049</v>
      </c>
      <c r="E4761">
        <v>27.25186302272945</v>
      </c>
    </row>
    <row r="4762" spans="1:5">
      <c r="A4762" t="s">
        <v>6368</v>
      </c>
      <c r="B4762" t="s">
        <v>975</v>
      </c>
      <c r="C4762" t="s">
        <v>995</v>
      </c>
      <c r="D4762" t="s">
        <v>7050</v>
      </c>
      <c r="E4762">
        <v>418.6487666312571</v>
      </c>
    </row>
    <row r="4763" spans="1:5">
      <c r="A4763" t="s">
        <v>6369</v>
      </c>
      <c r="B4763" t="s">
        <v>975</v>
      </c>
      <c r="C4763" t="s">
        <v>995</v>
      </c>
      <c r="D4763" t="s">
        <v>7051</v>
      </c>
      <c r="E4763">
        <v>4.206301698230678</v>
      </c>
    </row>
    <row r="4764" spans="1:5">
      <c r="A4764" t="s">
        <v>6370</v>
      </c>
      <c r="B4764" t="s">
        <v>975</v>
      </c>
      <c r="C4764" t="s">
        <v>995</v>
      </c>
      <c r="D4764" t="s">
        <v>7052</v>
      </c>
      <c r="E4764">
        <v>0.03554843319008859</v>
      </c>
    </row>
    <row r="4765" spans="1:5">
      <c r="A4765" t="s">
        <v>6371</v>
      </c>
      <c r="B4765" t="s">
        <v>975</v>
      </c>
      <c r="C4765" t="s">
        <v>995</v>
      </c>
      <c r="D4765" t="s">
        <v>7053</v>
      </c>
      <c r="E4765">
        <v>40.93945896693796</v>
      </c>
    </row>
    <row r="4766" spans="1:5">
      <c r="A4766" t="s">
        <v>6372</v>
      </c>
      <c r="B4766" t="s">
        <v>975</v>
      </c>
      <c r="C4766" t="s">
        <v>995</v>
      </c>
      <c r="D4766" t="s">
        <v>7054</v>
      </c>
      <c r="E4766">
        <v>1.493662975980369</v>
      </c>
    </row>
    <row r="4767" spans="1:5">
      <c r="A4767" t="s">
        <v>6373</v>
      </c>
      <c r="B4767" t="s">
        <v>975</v>
      </c>
      <c r="C4767" t="s">
        <v>995</v>
      </c>
      <c r="D4767" t="s">
        <v>6989</v>
      </c>
      <c r="E4767">
        <v>39.87342617416538</v>
      </c>
    </row>
    <row r="4768" spans="1:5">
      <c r="A4768" t="s">
        <v>6374</v>
      </c>
      <c r="B4768" t="s">
        <v>975</v>
      </c>
      <c r="C4768" t="s">
        <v>995</v>
      </c>
      <c r="D4768" t="s">
        <v>7055</v>
      </c>
      <c r="E4768">
        <v>11.67057195798049</v>
      </c>
    </row>
    <row r="4769" spans="1:5">
      <c r="A4769" t="s">
        <v>6375</v>
      </c>
      <c r="B4769" t="s">
        <v>975</v>
      </c>
      <c r="C4769" t="s">
        <v>995</v>
      </c>
      <c r="D4769" t="s">
        <v>7056</v>
      </c>
      <c r="E4769">
        <v>47.33712084411706</v>
      </c>
    </row>
    <row r="4770" spans="1:5">
      <c r="A4770" t="s">
        <v>6376</v>
      </c>
      <c r="B4770" t="s">
        <v>975</v>
      </c>
      <c r="C4770" t="s">
        <v>995</v>
      </c>
      <c r="D4770" t="s">
        <v>7057</v>
      </c>
      <c r="E4770">
        <v>2.388236120257034</v>
      </c>
    </row>
    <row r="4771" spans="1:5">
      <c r="A4771" t="s">
        <v>6377</v>
      </c>
      <c r="B4771" t="s">
        <v>975</v>
      </c>
      <c r="C4771" t="s">
        <v>995</v>
      </c>
      <c r="D4771" t="s">
        <v>6990</v>
      </c>
      <c r="E4771">
        <v>0.01725946651967801</v>
      </c>
    </row>
    <row r="4772" spans="1:5">
      <c r="A4772" t="s">
        <v>6378</v>
      </c>
      <c r="B4772" t="s">
        <v>975</v>
      </c>
      <c r="C4772" t="s">
        <v>995</v>
      </c>
      <c r="D4772" t="s">
        <v>6991</v>
      </c>
      <c r="E4772">
        <v>103.8930863594086</v>
      </c>
    </row>
    <row r="4773" spans="1:5">
      <c r="A4773" t="s">
        <v>6379</v>
      </c>
      <c r="B4773" t="s">
        <v>975</v>
      </c>
      <c r="C4773" t="s">
        <v>995</v>
      </c>
      <c r="D4773" t="s">
        <v>7058</v>
      </c>
      <c r="E4773">
        <v>418.6487666312571</v>
      </c>
    </row>
    <row r="4774" spans="1:5">
      <c r="A4774" t="s">
        <v>6380</v>
      </c>
      <c r="B4774" t="s">
        <v>975</v>
      </c>
      <c r="C4774" t="s">
        <v>995</v>
      </c>
      <c r="D4774" t="s">
        <v>6992</v>
      </c>
      <c r="E4774">
        <v>3.278042924714535</v>
      </c>
    </row>
    <row r="4775" spans="1:5">
      <c r="A4775" t="s">
        <v>6381</v>
      </c>
      <c r="B4775" t="s">
        <v>975</v>
      </c>
      <c r="C4775" t="s">
        <v>995</v>
      </c>
      <c r="D4775" t="s">
        <v>7059</v>
      </c>
      <c r="E4775">
        <v>0.2386205301027169</v>
      </c>
    </row>
    <row r="4776" spans="1:5">
      <c r="A4776" t="s">
        <v>6382</v>
      </c>
      <c r="B4776" t="s">
        <v>975</v>
      </c>
      <c r="C4776" t="s">
        <v>995</v>
      </c>
      <c r="D4776" t="s">
        <v>7060</v>
      </c>
      <c r="E4776">
        <v>0.0002270791421170171</v>
      </c>
    </row>
    <row r="4777" spans="1:5">
      <c r="A4777" t="s">
        <v>6383</v>
      </c>
      <c r="B4777" t="s">
        <v>975</v>
      </c>
      <c r="C4777" t="s">
        <v>995</v>
      </c>
      <c r="D4777" t="s">
        <v>6993</v>
      </c>
      <c r="E4777">
        <v>2.487800316751292</v>
      </c>
    </row>
    <row r="4778" spans="1:5">
      <c r="A4778" t="s">
        <v>6384</v>
      </c>
      <c r="B4778" t="s">
        <v>975</v>
      </c>
      <c r="C4778" t="s">
        <v>995</v>
      </c>
      <c r="D4778" t="s">
        <v>7061</v>
      </c>
      <c r="E4778">
        <v>418.6487666312571</v>
      </c>
    </row>
    <row r="4779" spans="1:5">
      <c r="A4779" t="s">
        <v>6385</v>
      </c>
      <c r="B4779" t="s">
        <v>975</v>
      </c>
      <c r="C4779" t="s">
        <v>995</v>
      </c>
      <c r="D4779" t="s">
        <v>7062</v>
      </c>
      <c r="E4779">
        <v>1.967482220002797</v>
      </c>
    </row>
    <row r="4780" spans="1:5">
      <c r="A4780" t="s">
        <v>6386</v>
      </c>
      <c r="B4780" t="s">
        <v>975</v>
      </c>
      <c r="C4780" t="s">
        <v>995</v>
      </c>
      <c r="D4780" t="s">
        <v>7063</v>
      </c>
      <c r="E4780">
        <v>441.0677996913305</v>
      </c>
    </row>
    <row r="4781" spans="1:5">
      <c r="A4781" t="s">
        <v>6387</v>
      </c>
      <c r="B4781" t="s">
        <v>975</v>
      </c>
      <c r="C4781" t="s">
        <v>995</v>
      </c>
      <c r="D4781" t="s">
        <v>6994</v>
      </c>
      <c r="E4781">
        <v>1.931844901980987</v>
      </c>
    </row>
    <row r="4782" spans="1:5">
      <c r="A4782" t="s">
        <v>6388</v>
      </c>
      <c r="B4782" t="s">
        <v>975</v>
      </c>
      <c r="C4782" t="s">
        <v>995</v>
      </c>
      <c r="D4782" t="s">
        <v>7064</v>
      </c>
      <c r="E4782">
        <v>2.416512708314832</v>
      </c>
    </row>
    <row r="4783" spans="1:5">
      <c r="A4783" t="s">
        <v>6389</v>
      </c>
      <c r="B4783" t="s">
        <v>975</v>
      </c>
      <c r="C4783" t="s">
        <v>995</v>
      </c>
      <c r="D4783" t="s">
        <v>7065</v>
      </c>
      <c r="E4783">
        <v>3.570810000507596</v>
      </c>
    </row>
    <row r="4784" spans="1:5">
      <c r="A4784" t="s">
        <v>6390</v>
      </c>
      <c r="B4784" t="s">
        <v>975</v>
      </c>
      <c r="C4784" t="s">
        <v>995</v>
      </c>
      <c r="D4784" t="s">
        <v>7066</v>
      </c>
      <c r="E4784">
        <v>0.07717089484370705</v>
      </c>
    </row>
    <row r="4785" spans="1:5">
      <c r="A4785" t="s">
        <v>6391</v>
      </c>
      <c r="B4785" t="s">
        <v>975</v>
      </c>
      <c r="C4785" t="s">
        <v>995</v>
      </c>
      <c r="D4785" t="s">
        <v>7067</v>
      </c>
      <c r="E4785">
        <v>217.0498586924242</v>
      </c>
    </row>
    <row r="4786" spans="1:5">
      <c r="A4786" t="s">
        <v>6392</v>
      </c>
      <c r="B4786" t="s">
        <v>975</v>
      </c>
      <c r="C4786" t="s">
        <v>995</v>
      </c>
      <c r="D4786" t="s">
        <v>7068</v>
      </c>
      <c r="E4786">
        <v>0.7249693440271238</v>
      </c>
    </row>
    <row r="4787" spans="1:5">
      <c r="A4787" t="s">
        <v>6393</v>
      </c>
      <c r="B4787" t="s">
        <v>975</v>
      </c>
      <c r="C4787" t="s">
        <v>995</v>
      </c>
      <c r="D4787" t="s">
        <v>6995</v>
      </c>
      <c r="E4787">
        <v>0.2078959902137217</v>
      </c>
    </row>
    <row r="4788" spans="1:5">
      <c r="A4788" t="s">
        <v>6394</v>
      </c>
      <c r="B4788" t="s">
        <v>975</v>
      </c>
      <c r="C4788" t="s">
        <v>995</v>
      </c>
      <c r="D4788" t="s">
        <v>7069</v>
      </c>
      <c r="E4788">
        <v>1010.836522710139</v>
      </c>
    </row>
    <row r="4789" spans="1:5">
      <c r="A4789" t="s">
        <v>6395</v>
      </c>
      <c r="B4789" t="s">
        <v>975</v>
      </c>
      <c r="C4789" t="s">
        <v>995</v>
      </c>
      <c r="D4789" t="s">
        <v>7070</v>
      </c>
      <c r="E4789">
        <v>375.260576976696</v>
      </c>
    </row>
    <row r="4790" spans="1:5">
      <c r="A4790" t="s">
        <v>6396</v>
      </c>
      <c r="B4790" t="s">
        <v>975</v>
      </c>
      <c r="C4790" t="s">
        <v>995</v>
      </c>
      <c r="D4790" t="s">
        <v>7071</v>
      </c>
      <c r="E4790">
        <v>0.6597874309693021</v>
      </c>
    </row>
    <row r="4791" spans="1:5">
      <c r="A4791" t="s">
        <v>6397</v>
      </c>
      <c r="B4791" t="s">
        <v>975</v>
      </c>
      <c r="C4791" t="s">
        <v>995</v>
      </c>
      <c r="D4791" t="s">
        <v>7072</v>
      </c>
      <c r="E4791">
        <v>0.0139728155627139</v>
      </c>
    </row>
    <row r="4792" spans="1:5">
      <c r="A4792" t="s">
        <v>6398</v>
      </c>
      <c r="B4792" t="s">
        <v>975</v>
      </c>
      <c r="C4792" t="s">
        <v>995</v>
      </c>
      <c r="D4792" t="s">
        <v>7073</v>
      </c>
      <c r="E4792">
        <v>0.003494046350868231</v>
      </c>
    </row>
    <row r="4793" spans="1:5">
      <c r="A4793" t="s">
        <v>6399</v>
      </c>
      <c r="B4793" t="s">
        <v>975</v>
      </c>
      <c r="C4793" t="s">
        <v>995</v>
      </c>
      <c r="D4793" t="s">
        <v>7074</v>
      </c>
      <c r="E4793">
        <v>0.9317149947785027</v>
      </c>
    </row>
    <row r="4794" spans="1:5">
      <c r="A4794" t="s">
        <v>6400</v>
      </c>
      <c r="B4794" t="s">
        <v>975</v>
      </c>
      <c r="C4794" t="s">
        <v>995</v>
      </c>
      <c r="D4794" t="s">
        <v>7075</v>
      </c>
      <c r="E4794">
        <v>1.722543174463194</v>
      </c>
    </row>
    <row r="4795" spans="1:5">
      <c r="A4795" t="s">
        <v>6401</v>
      </c>
      <c r="B4795" t="s">
        <v>975</v>
      </c>
      <c r="C4795" t="s">
        <v>995</v>
      </c>
      <c r="D4795" t="s">
        <v>7076</v>
      </c>
      <c r="E4795">
        <v>19.12455826997115</v>
      </c>
    </row>
    <row r="4796" spans="1:5">
      <c r="A4796" t="s">
        <v>6402</v>
      </c>
      <c r="B4796" t="s">
        <v>975</v>
      </c>
      <c r="C4796" t="s">
        <v>995</v>
      </c>
      <c r="D4796" t="s">
        <v>7077</v>
      </c>
      <c r="E4796">
        <v>48.86135919643371</v>
      </c>
    </row>
    <row r="4797" spans="1:5">
      <c r="A4797" t="s">
        <v>6403</v>
      </c>
      <c r="B4797" t="s">
        <v>975</v>
      </c>
      <c r="C4797" t="s">
        <v>995</v>
      </c>
      <c r="D4797" t="s">
        <v>7078</v>
      </c>
      <c r="E4797">
        <v>33.42944001289708</v>
      </c>
    </row>
    <row r="4798" spans="1:5">
      <c r="A4798" t="s">
        <v>6404</v>
      </c>
      <c r="B4798" t="s">
        <v>975</v>
      </c>
      <c r="C4798" t="s">
        <v>995</v>
      </c>
      <c r="D4798" t="s">
        <v>7079</v>
      </c>
      <c r="E4798">
        <v>17.83622761960901</v>
      </c>
    </row>
    <row r="4799" spans="1:5">
      <c r="A4799" t="s">
        <v>6405</v>
      </c>
      <c r="B4799" t="s">
        <v>975</v>
      </c>
      <c r="C4799" t="s">
        <v>995</v>
      </c>
      <c r="D4799" t="s">
        <v>7080</v>
      </c>
      <c r="E4799">
        <v>0.07321009062888816</v>
      </c>
    </row>
    <row r="4800" spans="1:5">
      <c r="A4800" t="s">
        <v>6406</v>
      </c>
      <c r="B4800" t="s">
        <v>975</v>
      </c>
      <c r="C4800" t="s">
        <v>995</v>
      </c>
      <c r="D4800" t="s">
        <v>7081</v>
      </c>
      <c r="E4800">
        <v>5.787892911622473</v>
      </c>
    </row>
    <row r="4801" spans="1:5">
      <c r="A4801" t="s">
        <v>6407</v>
      </c>
      <c r="B4801" t="s">
        <v>975</v>
      </c>
      <c r="C4801" t="s">
        <v>995</v>
      </c>
      <c r="D4801" t="s">
        <v>7082</v>
      </c>
      <c r="E4801">
        <v>0.1485509452942397</v>
      </c>
    </row>
    <row r="4802" spans="1:5">
      <c r="A4802" t="s">
        <v>6408</v>
      </c>
      <c r="B4802" t="s">
        <v>975</v>
      </c>
      <c r="C4802" t="s">
        <v>995</v>
      </c>
      <c r="D4802" t="s">
        <v>7083</v>
      </c>
      <c r="E4802">
        <v>0.08743869714708036</v>
      </c>
    </row>
    <row r="4803" spans="1:5">
      <c r="A4803" t="s">
        <v>6409</v>
      </c>
      <c r="B4803" t="s">
        <v>975</v>
      </c>
      <c r="C4803" t="s">
        <v>995</v>
      </c>
      <c r="D4803" t="s">
        <v>7084</v>
      </c>
      <c r="E4803">
        <v>38.7121032816143</v>
      </c>
    </row>
    <row r="4804" spans="1:5">
      <c r="A4804" t="s">
        <v>6410</v>
      </c>
      <c r="B4804" t="s">
        <v>975</v>
      </c>
      <c r="C4804" t="s">
        <v>995</v>
      </c>
      <c r="D4804" t="s">
        <v>7085</v>
      </c>
      <c r="E4804">
        <v>7.796291109623674</v>
      </c>
    </row>
    <row r="4805" spans="1:5">
      <c r="A4805" t="s">
        <v>6411</v>
      </c>
      <c r="B4805" t="s">
        <v>975</v>
      </c>
      <c r="C4805" t="s">
        <v>995</v>
      </c>
      <c r="D4805" t="s">
        <v>7086</v>
      </c>
      <c r="E4805">
        <v>6.636565816582308</v>
      </c>
    </row>
    <row r="4806" spans="1:5">
      <c r="A4806" t="s">
        <v>6412</v>
      </c>
      <c r="B4806" t="s">
        <v>975</v>
      </c>
      <c r="C4806" t="s">
        <v>995</v>
      </c>
      <c r="D4806" t="s">
        <v>7087</v>
      </c>
      <c r="E4806">
        <v>20.20143215109832</v>
      </c>
    </row>
    <row r="4807" spans="1:5">
      <c r="A4807" t="s">
        <v>6413</v>
      </c>
      <c r="B4807" t="s">
        <v>975</v>
      </c>
      <c r="C4807" t="s">
        <v>995</v>
      </c>
      <c r="D4807" t="s">
        <v>7088</v>
      </c>
      <c r="E4807">
        <v>0.1795092093006525</v>
      </c>
    </row>
    <row r="4808" spans="1:5">
      <c r="A4808" t="s">
        <v>6414</v>
      </c>
      <c r="B4808" t="s">
        <v>975</v>
      </c>
      <c r="C4808" t="s">
        <v>995</v>
      </c>
      <c r="D4808" t="s">
        <v>6996</v>
      </c>
      <c r="E4808">
        <v>17.85175692844993</v>
      </c>
    </row>
    <row r="4809" spans="1:5">
      <c r="A4809" t="s">
        <v>6415</v>
      </c>
      <c r="B4809" t="s">
        <v>975</v>
      </c>
      <c r="C4809" t="s">
        <v>995</v>
      </c>
      <c r="D4809" t="s">
        <v>6997</v>
      </c>
      <c r="E4809">
        <v>76.78922625919277</v>
      </c>
    </row>
    <row r="4810" spans="1:5">
      <c r="A4810" t="s">
        <v>6416</v>
      </c>
      <c r="B4810" t="s">
        <v>975</v>
      </c>
      <c r="C4810" t="s">
        <v>995</v>
      </c>
      <c r="D4810" t="s">
        <v>7089</v>
      </c>
      <c r="E4810">
        <v>4.909693902841973</v>
      </c>
    </row>
    <row r="4811" spans="1:5">
      <c r="A4811" t="s">
        <v>6417</v>
      </c>
      <c r="B4811" t="s">
        <v>975</v>
      </c>
      <c r="C4811" t="s">
        <v>995</v>
      </c>
      <c r="D4811" t="s">
        <v>7090</v>
      </c>
      <c r="E4811">
        <v>19.12455826997115</v>
      </c>
    </row>
    <row r="4812" spans="1:5">
      <c r="A4812" t="s">
        <v>6418</v>
      </c>
      <c r="B4812" t="s">
        <v>975</v>
      </c>
      <c r="C4812" t="s">
        <v>995</v>
      </c>
      <c r="D4812" t="s">
        <v>7091</v>
      </c>
      <c r="E4812">
        <v>0.2274776715803758</v>
      </c>
    </row>
    <row r="4813" spans="1:5">
      <c r="A4813" t="s">
        <v>6419</v>
      </c>
      <c r="B4813" t="s">
        <v>975</v>
      </c>
      <c r="C4813" t="s">
        <v>995</v>
      </c>
      <c r="D4813" t="s">
        <v>7092</v>
      </c>
      <c r="E4813">
        <v>8.489035681501019</v>
      </c>
    </row>
    <row r="4814" spans="1:5">
      <c r="A4814" t="s">
        <v>6420</v>
      </c>
      <c r="B4814" t="s">
        <v>975</v>
      </c>
      <c r="C4814" t="s">
        <v>995</v>
      </c>
      <c r="D4814" t="s">
        <v>6998</v>
      </c>
      <c r="E4814">
        <v>31.97847294797464</v>
      </c>
    </row>
    <row r="4815" spans="1:5">
      <c r="A4815" t="s">
        <v>6421</v>
      </c>
      <c r="B4815" t="s">
        <v>975</v>
      </c>
      <c r="C4815" t="s">
        <v>995</v>
      </c>
      <c r="D4815" t="s">
        <v>7093</v>
      </c>
      <c r="E4815">
        <v>2.048633926743427</v>
      </c>
    </row>
    <row r="4816" spans="1:5">
      <c r="A4816" t="s">
        <v>6422</v>
      </c>
      <c r="B4816" t="s">
        <v>975</v>
      </c>
      <c r="C4816" t="s">
        <v>995</v>
      </c>
      <c r="D4816" t="s">
        <v>6999</v>
      </c>
      <c r="E4816">
        <v>180.0215307164893</v>
      </c>
    </row>
    <row r="4817" spans="1:5">
      <c r="A4817" t="s">
        <v>6423</v>
      </c>
      <c r="B4817" t="s">
        <v>975</v>
      </c>
      <c r="C4817" t="s">
        <v>995</v>
      </c>
      <c r="D4817" t="s">
        <v>7094</v>
      </c>
      <c r="E4817">
        <v>813.3153116790719</v>
      </c>
    </row>
    <row r="4818" spans="1:5">
      <c r="A4818" t="s">
        <v>6424</v>
      </c>
      <c r="B4818" t="s">
        <v>975</v>
      </c>
      <c r="C4818" t="s">
        <v>995</v>
      </c>
      <c r="D4818" t="s">
        <v>7095</v>
      </c>
      <c r="E4818">
        <v>312.7172571554829</v>
      </c>
    </row>
    <row r="4819" spans="1:5">
      <c r="A4819" t="s">
        <v>6425</v>
      </c>
      <c r="B4819" t="s">
        <v>975</v>
      </c>
      <c r="C4819" t="s">
        <v>995</v>
      </c>
      <c r="D4819" t="s">
        <v>7096</v>
      </c>
      <c r="E4819">
        <v>91.9725236299722</v>
      </c>
    </row>
    <row r="4820" spans="1:5">
      <c r="A4820" t="s">
        <v>6426</v>
      </c>
      <c r="B4820" t="s">
        <v>975</v>
      </c>
      <c r="C4820" t="s">
        <v>995</v>
      </c>
      <c r="D4820" t="s">
        <v>7097</v>
      </c>
      <c r="E4820">
        <v>70.52496580149085</v>
      </c>
    </row>
    <row r="4821" spans="1:5">
      <c r="A4821" t="s">
        <v>6427</v>
      </c>
      <c r="B4821" t="s">
        <v>975</v>
      </c>
      <c r="C4821" t="s">
        <v>995</v>
      </c>
      <c r="D4821" t="s">
        <v>7000</v>
      </c>
      <c r="E4821">
        <v>5.07550961327917</v>
      </c>
    </row>
    <row r="4822" spans="1:5">
      <c r="A4822" t="s">
        <v>6428</v>
      </c>
      <c r="B4822" t="s">
        <v>975</v>
      </c>
      <c r="C4822" t="s">
        <v>995</v>
      </c>
      <c r="D4822" t="s">
        <v>7098</v>
      </c>
      <c r="E4822">
        <v>1.12432947296402</v>
      </c>
    </row>
    <row r="4823" spans="1:5">
      <c r="A4823" t="s">
        <v>6429</v>
      </c>
      <c r="B4823" t="s">
        <v>975</v>
      </c>
      <c r="C4823" t="s">
        <v>995</v>
      </c>
      <c r="D4823" t="s">
        <v>7001</v>
      </c>
      <c r="E4823">
        <v>82.23434473809445</v>
      </c>
    </row>
    <row r="4824" spans="1:5">
      <c r="A4824" t="s">
        <v>6430</v>
      </c>
      <c r="B4824" t="s">
        <v>975</v>
      </c>
      <c r="C4824" t="s">
        <v>995</v>
      </c>
      <c r="D4824" t="s">
        <v>7099</v>
      </c>
      <c r="E4824">
        <v>0.05151189174236541</v>
      </c>
    </row>
    <row r="4825" spans="1:5">
      <c r="A4825" t="s">
        <v>6431</v>
      </c>
      <c r="B4825" t="s">
        <v>975</v>
      </c>
      <c r="C4825" t="s">
        <v>995</v>
      </c>
      <c r="D4825" t="s">
        <v>7100</v>
      </c>
      <c r="E4825">
        <v>85.91130044521161</v>
      </c>
    </row>
    <row r="4826" spans="1:5">
      <c r="A4826" t="s">
        <v>6432</v>
      </c>
      <c r="B4826" t="s">
        <v>975</v>
      </c>
      <c r="C4826" t="s">
        <v>995</v>
      </c>
      <c r="D4826" t="s">
        <v>7002</v>
      </c>
      <c r="E4826">
        <v>68.1435048338959</v>
      </c>
    </row>
    <row r="4827" spans="1:5">
      <c r="A4827" t="s">
        <v>6433</v>
      </c>
      <c r="B4827" t="s">
        <v>975</v>
      </c>
      <c r="C4827" t="s">
        <v>995</v>
      </c>
      <c r="D4827" t="s">
        <v>7101</v>
      </c>
      <c r="E4827">
        <v>3.039393224648522</v>
      </c>
    </row>
    <row r="4828" spans="1:5">
      <c r="A4828" t="s">
        <v>6434</v>
      </c>
      <c r="B4828" t="s">
        <v>975</v>
      </c>
      <c r="C4828" t="s">
        <v>995</v>
      </c>
      <c r="D4828" t="s">
        <v>7102</v>
      </c>
      <c r="E4828">
        <v>4.063437209194225</v>
      </c>
    </row>
    <row r="4829" spans="1:5">
      <c r="A4829" t="s">
        <v>6435</v>
      </c>
      <c r="B4829" t="s">
        <v>975</v>
      </c>
      <c r="C4829" t="s">
        <v>995</v>
      </c>
      <c r="D4829" t="s">
        <v>7103</v>
      </c>
      <c r="E4829">
        <v>0.2129584972552448</v>
      </c>
    </row>
    <row r="4830" spans="1:5">
      <c r="A4830" t="s">
        <v>6436</v>
      </c>
      <c r="B4830" t="s">
        <v>975</v>
      </c>
      <c r="C4830" t="s">
        <v>995</v>
      </c>
      <c r="D4830" t="s">
        <v>7104</v>
      </c>
      <c r="E4830">
        <v>83.39124907703265</v>
      </c>
    </row>
    <row r="4831" spans="1:5">
      <c r="A4831" t="s">
        <v>6437</v>
      </c>
      <c r="B4831" t="s">
        <v>975</v>
      </c>
      <c r="C4831" t="s">
        <v>995</v>
      </c>
      <c r="D4831" t="s">
        <v>7105</v>
      </c>
      <c r="E4831">
        <v>39.18556613703133</v>
      </c>
    </row>
    <row r="4832" spans="1:5">
      <c r="A4832" t="s">
        <v>6438</v>
      </c>
      <c r="B4832" t="s">
        <v>975</v>
      </c>
      <c r="C4832" t="s">
        <v>995</v>
      </c>
      <c r="D4832" t="s">
        <v>7106</v>
      </c>
      <c r="E4832">
        <v>21.2617409419508</v>
      </c>
    </row>
    <row r="4833" spans="1:5">
      <c r="A4833" t="s">
        <v>6439</v>
      </c>
      <c r="B4833" t="s">
        <v>975</v>
      </c>
      <c r="C4833" t="s">
        <v>995</v>
      </c>
      <c r="D4833" t="s">
        <v>7107</v>
      </c>
      <c r="E4833">
        <v>0.6985996791763452</v>
      </c>
    </row>
    <row r="4834" spans="1:5">
      <c r="A4834" t="s">
        <v>6440</v>
      </c>
      <c r="B4834" t="s">
        <v>975</v>
      </c>
      <c r="C4834" t="s">
        <v>995</v>
      </c>
      <c r="D4834" t="s">
        <v>7003</v>
      </c>
      <c r="E4834">
        <v>32.31777086449438</v>
      </c>
    </row>
    <row r="4835" spans="1:5">
      <c r="A4835" t="s">
        <v>6441</v>
      </c>
      <c r="B4835" t="s">
        <v>975</v>
      </c>
      <c r="C4835" t="s">
        <v>995</v>
      </c>
      <c r="D4835" t="s">
        <v>7004</v>
      </c>
      <c r="E4835">
        <v>241.937784690816</v>
      </c>
    </row>
    <row r="4836" spans="1:5">
      <c r="A4836" t="s">
        <v>6442</v>
      </c>
      <c r="B4836" t="s">
        <v>975</v>
      </c>
      <c r="C4836" t="s">
        <v>995</v>
      </c>
      <c r="D4836" t="s">
        <v>7108</v>
      </c>
      <c r="E4836">
        <v>418.6487666312571</v>
      </c>
    </row>
    <row r="4837" spans="1:5">
      <c r="A4837" t="s">
        <v>6443</v>
      </c>
      <c r="B4837" t="s">
        <v>975</v>
      </c>
      <c r="C4837" t="s">
        <v>995</v>
      </c>
      <c r="D4837" t="s">
        <v>7109</v>
      </c>
      <c r="E4837">
        <v>12.85409098261256</v>
      </c>
    </row>
    <row r="4838" spans="1:5">
      <c r="A4838" t="s">
        <v>6444</v>
      </c>
      <c r="B4838" t="s">
        <v>975</v>
      </c>
      <c r="C4838" t="s">
        <v>995</v>
      </c>
      <c r="D4838" t="s">
        <v>7110</v>
      </c>
      <c r="E4838">
        <v>0.01285428519738907</v>
      </c>
    </row>
    <row r="4839" spans="1:5">
      <c r="A4839" t="s">
        <v>6445</v>
      </c>
      <c r="B4839" t="s">
        <v>975</v>
      </c>
      <c r="C4839" t="s">
        <v>995</v>
      </c>
      <c r="D4839" t="s">
        <v>7111</v>
      </c>
      <c r="E4839">
        <v>0.5462887028450256</v>
      </c>
    </row>
    <row r="4840" spans="1:5">
      <c r="A4840" t="s">
        <v>6446</v>
      </c>
      <c r="B4840" t="s">
        <v>975</v>
      </c>
      <c r="C4840" t="s">
        <v>995</v>
      </c>
      <c r="D4840" t="s">
        <v>7112</v>
      </c>
      <c r="E4840">
        <v>8.28673246318448</v>
      </c>
    </row>
    <row r="4841" spans="1:5">
      <c r="A4841" t="s">
        <v>6447</v>
      </c>
      <c r="B4841" t="s">
        <v>975</v>
      </c>
      <c r="C4841" t="s">
        <v>995</v>
      </c>
      <c r="D4841" t="s">
        <v>7113</v>
      </c>
      <c r="E4841">
        <v>0.06515385277556351</v>
      </c>
    </row>
    <row r="4842" spans="1:5">
      <c r="A4842" t="s">
        <v>6448</v>
      </c>
      <c r="B4842" t="s">
        <v>975</v>
      </c>
      <c r="C4842" t="s">
        <v>995</v>
      </c>
      <c r="D4842" t="s">
        <v>7114</v>
      </c>
      <c r="E4842">
        <v>14.55761375510204</v>
      </c>
    </row>
    <row r="4843" spans="1:5">
      <c r="A4843" t="s">
        <v>6449</v>
      </c>
      <c r="B4843" t="s">
        <v>975</v>
      </c>
      <c r="C4843" t="s">
        <v>995</v>
      </c>
      <c r="D4843" t="s">
        <v>7115</v>
      </c>
      <c r="E4843">
        <v>2.567637878143899</v>
      </c>
    </row>
    <row r="4844" spans="1:5">
      <c r="A4844" t="s">
        <v>6450</v>
      </c>
      <c r="B4844" t="s">
        <v>975</v>
      </c>
      <c r="C4844" t="s">
        <v>995</v>
      </c>
      <c r="D4844" t="s">
        <v>7116</v>
      </c>
      <c r="E4844">
        <v>19.12455826997115</v>
      </c>
    </row>
    <row r="4845" spans="1:5">
      <c r="A4845" t="s">
        <v>6451</v>
      </c>
      <c r="B4845" t="s">
        <v>975</v>
      </c>
      <c r="C4845" t="s">
        <v>995</v>
      </c>
      <c r="D4845" t="s">
        <v>7005</v>
      </c>
      <c r="E4845">
        <v>9.374748228534802</v>
      </c>
    </row>
    <row r="4846" spans="1:5">
      <c r="A4846" t="s">
        <v>6452</v>
      </c>
      <c r="B4846" t="s">
        <v>975</v>
      </c>
      <c r="C4846" t="s">
        <v>995</v>
      </c>
      <c r="D4846" t="s">
        <v>7117</v>
      </c>
      <c r="E4846">
        <v>33.78217900651118</v>
      </c>
    </row>
    <row r="4847" spans="1:5">
      <c r="A4847" t="s">
        <v>6453</v>
      </c>
      <c r="B4847" t="s">
        <v>975</v>
      </c>
      <c r="C4847" t="s">
        <v>995</v>
      </c>
      <c r="D4847" t="s">
        <v>7118</v>
      </c>
      <c r="E4847">
        <v>89.22866968397337</v>
      </c>
    </row>
    <row r="4848" spans="1:5">
      <c r="A4848" t="s">
        <v>6454</v>
      </c>
      <c r="B4848" t="s">
        <v>975</v>
      </c>
      <c r="C4848" t="s">
        <v>995</v>
      </c>
      <c r="D4848" t="s">
        <v>7119</v>
      </c>
      <c r="E4848">
        <v>106.1662030014312</v>
      </c>
    </row>
    <row r="4849" spans="1:5">
      <c r="A4849" t="s">
        <v>6455</v>
      </c>
      <c r="B4849" t="s">
        <v>975</v>
      </c>
      <c r="C4849" t="s">
        <v>995</v>
      </c>
      <c r="D4849" t="s">
        <v>7120</v>
      </c>
      <c r="E4849">
        <v>130.9189826200715</v>
      </c>
    </row>
    <row r="4850" spans="1:5">
      <c r="A4850" t="s">
        <v>6456</v>
      </c>
      <c r="B4850" t="s">
        <v>975</v>
      </c>
      <c r="C4850" t="s">
        <v>995</v>
      </c>
      <c r="D4850" t="s">
        <v>7006</v>
      </c>
      <c r="E4850">
        <v>6.649252155311513</v>
      </c>
    </row>
    <row r="4851" spans="1:5">
      <c r="A4851" t="s">
        <v>6457</v>
      </c>
      <c r="B4851" t="s">
        <v>975</v>
      </c>
      <c r="C4851" t="s">
        <v>995</v>
      </c>
      <c r="D4851" t="s">
        <v>7121</v>
      </c>
      <c r="E4851">
        <v>45.71838832415897</v>
      </c>
    </row>
    <row r="4852" spans="1:5">
      <c r="A4852" t="s">
        <v>6458</v>
      </c>
      <c r="B4852" t="s">
        <v>975</v>
      </c>
      <c r="C4852" t="s">
        <v>995</v>
      </c>
      <c r="D4852" t="s">
        <v>7122</v>
      </c>
      <c r="E4852">
        <v>217.0498586924242</v>
      </c>
    </row>
    <row r="4853" spans="1:5">
      <c r="A4853" t="s">
        <v>6459</v>
      </c>
      <c r="B4853" t="s">
        <v>975</v>
      </c>
      <c r="C4853" t="s">
        <v>995</v>
      </c>
      <c r="D4853" t="s">
        <v>7123</v>
      </c>
      <c r="E4853">
        <v>9.732903465737563</v>
      </c>
    </row>
    <row r="4854" spans="1:5">
      <c r="A4854" t="s">
        <v>6460</v>
      </c>
      <c r="B4854" t="s">
        <v>975</v>
      </c>
      <c r="C4854" t="s">
        <v>995</v>
      </c>
      <c r="D4854" t="s">
        <v>7124</v>
      </c>
      <c r="E4854">
        <v>0.1191055223701685</v>
      </c>
    </row>
    <row r="4855" spans="1:5">
      <c r="A4855" t="s">
        <v>6461</v>
      </c>
      <c r="B4855" t="s">
        <v>975</v>
      </c>
      <c r="C4855" t="s">
        <v>995</v>
      </c>
      <c r="D4855" t="s">
        <v>7125</v>
      </c>
      <c r="E4855">
        <v>7.013899066836472</v>
      </c>
    </row>
    <row r="4856" spans="1:5">
      <c r="A4856" t="s">
        <v>6462</v>
      </c>
      <c r="B4856" t="s">
        <v>975</v>
      </c>
      <c r="C4856" t="s">
        <v>995</v>
      </c>
      <c r="D4856" t="s">
        <v>7126</v>
      </c>
      <c r="E4856">
        <v>0.08540029288094107</v>
      </c>
    </row>
    <row r="4857" spans="1:5">
      <c r="A4857" t="s">
        <v>6463</v>
      </c>
      <c r="B4857" t="s">
        <v>975</v>
      </c>
      <c r="C4857" t="s">
        <v>995</v>
      </c>
      <c r="D4857" t="s">
        <v>998</v>
      </c>
      <c r="E4857">
        <v>312.7169829683698</v>
      </c>
    </row>
    <row r="4858" spans="1:5">
      <c r="A4858" t="s">
        <v>6464</v>
      </c>
      <c r="B4858" t="s">
        <v>975</v>
      </c>
      <c r="C4858" t="s">
        <v>995</v>
      </c>
      <c r="D4858" t="s">
        <v>7127</v>
      </c>
      <c r="E4858">
        <v>7.772759391789537</v>
      </c>
    </row>
    <row r="4859" spans="1:5">
      <c r="A4859" t="s">
        <v>6465</v>
      </c>
      <c r="B4859" t="s">
        <v>975</v>
      </c>
      <c r="C4859" t="s">
        <v>995</v>
      </c>
      <c r="D4859" t="s">
        <v>7128</v>
      </c>
      <c r="E4859">
        <v>0.02550773286235586</v>
      </c>
    </row>
    <row r="4860" spans="1:5">
      <c r="A4860" t="s">
        <v>6466</v>
      </c>
      <c r="B4860" t="s">
        <v>975</v>
      </c>
      <c r="C4860" t="s">
        <v>995</v>
      </c>
      <c r="D4860" t="s">
        <v>7129</v>
      </c>
      <c r="E4860">
        <v>0.4328718329323881</v>
      </c>
    </row>
    <row r="4861" spans="1:5">
      <c r="A4861" t="s">
        <v>6467</v>
      </c>
      <c r="B4861" t="s">
        <v>975</v>
      </c>
      <c r="C4861" t="s">
        <v>995</v>
      </c>
      <c r="D4861" t="s">
        <v>7130</v>
      </c>
      <c r="E4861">
        <v>0.01193523950381956</v>
      </c>
    </row>
    <row r="4862" spans="1:5">
      <c r="A4862" t="s">
        <v>6468</v>
      </c>
      <c r="B4862" t="s">
        <v>975</v>
      </c>
      <c r="C4862" t="s">
        <v>995</v>
      </c>
      <c r="D4862" t="s">
        <v>7131</v>
      </c>
      <c r="E4862">
        <v>2.606539824524484</v>
      </c>
    </row>
    <row r="4863" spans="1:5">
      <c r="A4863" t="s">
        <v>6469</v>
      </c>
      <c r="B4863" t="s">
        <v>975</v>
      </c>
      <c r="C4863" t="s">
        <v>995</v>
      </c>
      <c r="D4863" t="s">
        <v>7132</v>
      </c>
      <c r="E4863">
        <v>114.6142084886003</v>
      </c>
    </row>
    <row r="4864" spans="1:5">
      <c r="A4864" t="s">
        <v>6470</v>
      </c>
      <c r="B4864" t="s">
        <v>975</v>
      </c>
      <c r="C4864" t="s">
        <v>995</v>
      </c>
      <c r="D4864" t="s">
        <v>7133</v>
      </c>
      <c r="E4864">
        <v>0.5437270080203428</v>
      </c>
    </row>
    <row r="4865" spans="1:5">
      <c r="A4865" t="s">
        <v>6471</v>
      </c>
      <c r="B4865" t="s">
        <v>975</v>
      </c>
      <c r="C4865" t="s">
        <v>995</v>
      </c>
      <c r="D4865" t="s">
        <v>7134</v>
      </c>
      <c r="E4865">
        <v>115.8211612201794</v>
      </c>
    </row>
    <row r="4866" spans="1:5">
      <c r="A4866" t="s">
        <v>6472</v>
      </c>
      <c r="B4866" t="s">
        <v>975</v>
      </c>
      <c r="C4866" t="s">
        <v>995</v>
      </c>
      <c r="D4866" t="s">
        <v>7135</v>
      </c>
      <c r="E4866">
        <v>174.7022893023351</v>
      </c>
    </row>
    <row r="4867" spans="1:5">
      <c r="A4867" t="s">
        <v>6473</v>
      </c>
      <c r="B4867" t="s">
        <v>975</v>
      </c>
      <c r="C4867" t="s">
        <v>995</v>
      </c>
      <c r="D4867" t="s">
        <v>7136</v>
      </c>
      <c r="E4867">
        <v>423.5447608145001</v>
      </c>
    </row>
    <row r="4868" spans="1:5">
      <c r="A4868" t="s">
        <v>6474</v>
      </c>
      <c r="B4868" t="s">
        <v>975</v>
      </c>
      <c r="C4868" t="s">
        <v>995</v>
      </c>
      <c r="D4868" t="s">
        <v>7137</v>
      </c>
      <c r="E4868">
        <v>0.5437270080203428</v>
      </c>
    </row>
    <row r="4869" spans="1:5">
      <c r="A4869" t="s">
        <v>6475</v>
      </c>
      <c r="B4869" t="s">
        <v>975</v>
      </c>
      <c r="C4869" t="s">
        <v>995</v>
      </c>
      <c r="D4869" t="s">
        <v>7138</v>
      </c>
      <c r="E4869">
        <v>2.988817224214796</v>
      </c>
    </row>
    <row r="4870" spans="1:5">
      <c r="A4870" t="s">
        <v>6476</v>
      </c>
      <c r="B4870" t="s">
        <v>975</v>
      </c>
      <c r="C4870" t="s">
        <v>995</v>
      </c>
      <c r="D4870" t="s">
        <v>7139</v>
      </c>
      <c r="E4870">
        <v>1.314331364916922</v>
      </c>
    </row>
    <row r="4871" spans="1:5">
      <c r="A4871" t="s">
        <v>6477</v>
      </c>
      <c r="B4871" t="s">
        <v>975</v>
      </c>
      <c r="C4871" t="s">
        <v>995</v>
      </c>
      <c r="D4871" t="s">
        <v>7007</v>
      </c>
      <c r="E4871">
        <v>19.12464646152668</v>
      </c>
    </row>
    <row r="4872" spans="1:5">
      <c r="A4872" t="s">
        <v>6478</v>
      </c>
      <c r="B4872" t="s">
        <v>975</v>
      </c>
      <c r="C4872" t="s">
        <v>995</v>
      </c>
      <c r="D4872" t="s">
        <v>7140</v>
      </c>
      <c r="E4872">
        <v>17.33416323048389</v>
      </c>
    </row>
    <row r="4873" spans="1:5">
      <c r="A4873" t="s">
        <v>6479</v>
      </c>
      <c r="B4873" t="s">
        <v>975</v>
      </c>
      <c r="C4873" t="s">
        <v>995</v>
      </c>
      <c r="D4873" t="s">
        <v>7141</v>
      </c>
      <c r="E4873">
        <v>11.6722750136633</v>
      </c>
    </row>
    <row r="4874" spans="1:5">
      <c r="A4874" t="s">
        <v>6480</v>
      </c>
      <c r="B4874" t="s">
        <v>975</v>
      </c>
      <c r="C4874" t="s">
        <v>995</v>
      </c>
      <c r="D4874" t="s">
        <v>7142</v>
      </c>
      <c r="E4874">
        <v>11.6722750136633</v>
      </c>
    </row>
    <row r="4875" spans="1:5">
      <c r="A4875" t="s">
        <v>6316</v>
      </c>
      <c r="B4875" t="s">
        <v>975</v>
      </c>
      <c r="C4875" t="s">
        <v>995</v>
      </c>
      <c r="D4875" t="s">
        <v>996</v>
      </c>
      <c r="E4875">
        <v>356.661537</v>
      </c>
    </row>
    <row r="4876" spans="1:5">
      <c r="A4876" t="s">
        <v>6481</v>
      </c>
      <c r="B4876" t="s">
        <v>976</v>
      </c>
      <c r="C4876" t="s">
        <v>995</v>
      </c>
      <c r="D4876" t="s">
        <v>996</v>
      </c>
      <c r="E4876">
        <v>359.105689</v>
      </c>
    </row>
    <row r="4877" spans="1:5">
      <c r="A4877" t="s">
        <v>6482</v>
      </c>
      <c r="B4877" t="s">
        <v>976</v>
      </c>
      <c r="C4877" t="s">
        <v>995</v>
      </c>
      <c r="D4877" t="s">
        <v>7008</v>
      </c>
      <c r="E4877">
        <v>85.40639075123612</v>
      </c>
    </row>
    <row r="4878" spans="1:5">
      <c r="A4878" t="s">
        <v>6483</v>
      </c>
      <c r="B4878" t="s">
        <v>976</v>
      </c>
      <c r="C4878" t="s">
        <v>995</v>
      </c>
      <c r="D4878" t="s">
        <v>7009</v>
      </c>
      <c r="E4878">
        <v>4.755812610814075</v>
      </c>
    </row>
    <row r="4879" spans="1:5">
      <c r="A4879" t="s">
        <v>6484</v>
      </c>
      <c r="B4879" t="s">
        <v>976</v>
      </c>
      <c r="C4879" t="s">
        <v>995</v>
      </c>
      <c r="D4879" t="s">
        <v>7010</v>
      </c>
      <c r="E4879">
        <v>3.826318014881829</v>
      </c>
    </row>
    <row r="4880" spans="1:5">
      <c r="A4880" t="s">
        <v>6485</v>
      </c>
      <c r="B4880" t="s">
        <v>976</v>
      </c>
      <c r="C4880" t="s">
        <v>995</v>
      </c>
      <c r="D4880" t="s">
        <v>7011</v>
      </c>
      <c r="E4880">
        <v>0.8568450474467981</v>
      </c>
    </row>
    <row r="4881" spans="1:5">
      <c r="A4881" t="s">
        <v>6486</v>
      </c>
      <c r="B4881" t="s">
        <v>976</v>
      </c>
      <c r="C4881" t="s">
        <v>995</v>
      </c>
      <c r="D4881" t="s">
        <v>7012</v>
      </c>
      <c r="E4881">
        <v>175.2262456553997</v>
      </c>
    </row>
    <row r="4882" spans="1:5">
      <c r="A4882" t="s">
        <v>6487</v>
      </c>
      <c r="B4882" t="s">
        <v>976</v>
      </c>
      <c r="C4882" t="s">
        <v>995</v>
      </c>
      <c r="D4882" t="s">
        <v>7013</v>
      </c>
      <c r="E4882">
        <v>0.3337541195733177</v>
      </c>
    </row>
    <row r="4883" spans="1:5">
      <c r="A4883" t="s">
        <v>6488</v>
      </c>
      <c r="B4883" t="s">
        <v>976</v>
      </c>
      <c r="C4883" t="s">
        <v>995</v>
      </c>
      <c r="D4883" t="s">
        <v>7014</v>
      </c>
      <c r="E4883">
        <v>0.2125835840206697</v>
      </c>
    </row>
    <row r="4884" spans="1:5">
      <c r="A4884" t="s">
        <v>6489</v>
      </c>
      <c r="B4884" t="s">
        <v>976</v>
      </c>
      <c r="C4884" t="s">
        <v>995</v>
      </c>
      <c r="D4884" t="s">
        <v>6981</v>
      </c>
      <c r="E4884">
        <v>219.4802532020018</v>
      </c>
    </row>
    <row r="4885" spans="1:5">
      <c r="A4885" t="s">
        <v>6490</v>
      </c>
      <c r="B4885" t="s">
        <v>976</v>
      </c>
      <c r="C4885" t="s">
        <v>995</v>
      </c>
      <c r="D4885" t="s">
        <v>7015</v>
      </c>
      <c r="E4885">
        <v>175.2262456553997</v>
      </c>
    </row>
    <row r="4886" spans="1:5">
      <c r="A4886" t="s">
        <v>6491</v>
      </c>
      <c r="B4886" t="s">
        <v>976</v>
      </c>
      <c r="C4886" t="s">
        <v>995</v>
      </c>
      <c r="D4886" t="s">
        <v>7016</v>
      </c>
      <c r="E4886">
        <v>184.9263416731681</v>
      </c>
    </row>
    <row r="4887" spans="1:5">
      <c r="A4887" t="s">
        <v>6492</v>
      </c>
      <c r="B4887" t="s">
        <v>976</v>
      </c>
      <c r="C4887" t="s">
        <v>995</v>
      </c>
      <c r="D4887" t="s">
        <v>7017</v>
      </c>
      <c r="E4887">
        <v>183.6078232770742</v>
      </c>
    </row>
    <row r="4888" spans="1:5">
      <c r="A4888" t="s">
        <v>6493</v>
      </c>
      <c r="B4888" t="s">
        <v>976</v>
      </c>
      <c r="C4888" t="s">
        <v>995</v>
      </c>
      <c r="D4888" t="s">
        <v>7018</v>
      </c>
      <c r="E4888">
        <v>156.8275177929377</v>
      </c>
    </row>
    <row r="4889" spans="1:5">
      <c r="A4889" t="s">
        <v>6494</v>
      </c>
      <c r="B4889" t="s">
        <v>976</v>
      </c>
      <c r="C4889" t="s">
        <v>995</v>
      </c>
      <c r="D4889" t="s">
        <v>7019</v>
      </c>
      <c r="E4889">
        <v>2.541650407958508</v>
      </c>
    </row>
    <row r="4890" spans="1:5">
      <c r="A4890" t="s">
        <v>6495</v>
      </c>
      <c r="B4890" t="s">
        <v>976</v>
      </c>
      <c r="C4890" t="s">
        <v>995</v>
      </c>
      <c r="D4890" t="s">
        <v>997</v>
      </c>
      <c r="E4890">
        <v>183.6078232770742</v>
      </c>
    </row>
    <row r="4891" spans="1:5">
      <c r="A4891" t="s">
        <v>6496</v>
      </c>
      <c r="B4891" t="s">
        <v>976</v>
      </c>
      <c r="C4891" t="s">
        <v>995</v>
      </c>
      <c r="D4891" t="s">
        <v>7020</v>
      </c>
      <c r="E4891">
        <v>834.1886221354982</v>
      </c>
    </row>
    <row r="4892" spans="1:5">
      <c r="A4892" t="s">
        <v>6497</v>
      </c>
      <c r="B4892" t="s">
        <v>976</v>
      </c>
      <c r="C4892" t="s">
        <v>995</v>
      </c>
      <c r="D4892" t="s">
        <v>7021</v>
      </c>
      <c r="E4892">
        <v>0.1049132536956073</v>
      </c>
    </row>
    <row r="4893" spans="1:5">
      <c r="A4893" t="s">
        <v>6498</v>
      </c>
      <c r="B4893" t="s">
        <v>976</v>
      </c>
      <c r="C4893" t="s">
        <v>995</v>
      </c>
      <c r="D4893" t="s">
        <v>7022</v>
      </c>
      <c r="E4893">
        <v>313.6548986074852</v>
      </c>
    </row>
    <row r="4894" spans="1:5">
      <c r="A4894" t="s">
        <v>6499</v>
      </c>
      <c r="B4894" t="s">
        <v>976</v>
      </c>
      <c r="C4894" t="s">
        <v>995</v>
      </c>
      <c r="D4894" t="s">
        <v>7023</v>
      </c>
      <c r="E4894">
        <v>243.1825248596187</v>
      </c>
    </row>
    <row r="4895" spans="1:5">
      <c r="A4895" t="s">
        <v>6500</v>
      </c>
      <c r="B4895" t="s">
        <v>976</v>
      </c>
      <c r="C4895" t="s">
        <v>995</v>
      </c>
      <c r="D4895" t="s">
        <v>7024</v>
      </c>
      <c r="E4895">
        <v>30.23178759386565</v>
      </c>
    </row>
    <row r="4896" spans="1:5">
      <c r="A4896" t="s">
        <v>6501</v>
      </c>
      <c r="B4896" t="s">
        <v>976</v>
      </c>
      <c r="C4896" t="s">
        <v>995</v>
      </c>
      <c r="D4896" t="s">
        <v>6982</v>
      </c>
      <c r="E4896">
        <v>61.82846994953251</v>
      </c>
    </row>
    <row r="4897" spans="1:5">
      <c r="A4897" t="s">
        <v>6502</v>
      </c>
      <c r="B4897" t="s">
        <v>976</v>
      </c>
      <c r="C4897" t="s">
        <v>995</v>
      </c>
      <c r="D4897" t="s">
        <v>7025</v>
      </c>
      <c r="E4897">
        <v>313.6548986074852</v>
      </c>
    </row>
    <row r="4898" spans="1:5">
      <c r="A4898" t="s">
        <v>6503</v>
      </c>
      <c r="B4898" t="s">
        <v>976</v>
      </c>
      <c r="C4898" t="s">
        <v>995</v>
      </c>
      <c r="D4898" t="s">
        <v>7026</v>
      </c>
      <c r="E4898">
        <v>3.26403267311297</v>
      </c>
    </row>
    <row r="4899" spans="1:5">
      <c r="A4899" t="s">
        <v>6504</v>
      </c>
      <c r="B4899" t="s">
        <v>976</v>
      </c>
      <c r="C4899" t="s">
        <v>995</v>
      </c>
      <c r="D4899" t="s">
        <v>7027</v>
      </c>
      <c r="E4899">
        <v>21.95497748015019</v>
      </c>
    </row>
    <row r="4900" spans="1:5">
      <c r="A4900" t="s">
        <v>6505</v>
      </c>
      <c r="B4900" t="s">
        <v>976</v>
      </c>
      <c r="C4900" t="s">
        <v>995</v>
      </c>
      <c r="D4900" t="s">
        <v>7028</v>
      </c>
      <c r="E4900">
        <v>109.3754335276841</v>
      </c>
    </row>
    <row r="4901" spans="1:5">
      <c r="A4901" t="s">
        <v>6506</v>
      </c>
      <c r="B4901" t="s">
        <v>976</v>
      </c>
      <c r="C4901" t="s">
        <v>995</v>
      </c>
      <c r="D4901" t="s">
        <v>7029</v>
      </c>
      <c r="E4901">
        <v>156.8275177929377</v>
      </c>
    </row>
    <row r="4902" spans="1:5">
      <c r="A4902" t="s">
        <v>6507</v>
      </c>
      <c r="B4902" t="s">
        <v>976</v>
      </c>
      <c r="C4902" t="s">
        <v>995</v>
      </c>
      <c r="D4902" t="s">
        <v>6983</v>
      </c>
      <c r="E4902">
        <v>223.2582057436942</v>
      </c>
    </row>
    <row r="4903" spans="1:5">
      <c r="A4903" t="s">
        <v>6508</v>
      </c>
      <c r="B4903" t="s">
        <v>976</v>
      </c>
      <c r="C4903" t="s">
        <v>995</v>
      </c>
      <c r="D4903" t="s">
        <v>7030</v>
      </c>
      <c r="E4903">
        <v>0.1367356944694512</v>
      </c>
    </row>
    <row r="4904" spans="1:5">
      <c r="A4904" t="s">
        <v>6509</v>
      </c>
      <c r="B4904" t="s">
        <v>976</v>
      </c>
      <c r="C4904" t="s">
        <v>995</v>
      </c>
      <c r="D4904" t="s">
        <v>6984</v>
      </c>
      <c r="E4904">
        <v>388.8036805299166</v>
      </c>
    </row>
    <row r="4905" spans="1:5">
      <c r="A4905" t="s">
        <v>6510</v>
      </c>
      <c r="B4905" t="s">
        <v>976</v>
      </c>
      <c r="C4905" t="s">
        <v>995</v>
      </c>
      <c r="D4905" t="s">
        <v>7031</v>
      </c>
      <c r="E4905">
        <v>13395.96706084232</v>
      </c>
    </row>
    <row r="4906" spans="1:5">
      <c r="A4906" t="s">
        <v>6511</v>
      </c>
      <c r="B4906" t="s">
        <v>976</v>
      </c>
      <c r="C4906" t="s">
        <v>995</v>
      </c>
      <c r="D4906" t="s">
        <v>7032</v>
      </c>
      <c r="E4906">
        <v>0.3389175659739402</v>
      </c>
    </row>
    <row r="4907" spans="1:5">
      <c r="A4907" t="s">
        <v>6512</v>
      </c>
      <c r="B4907" t="s">
        <v>976</v>
      </c>
      <c r="C4907" t="s">
        <v>995</v>
      </c>
      <c r="D4907" t="s">
        <v>7033</v>
      </c>
      <c r="E4907">
        <v>46.33612825265499</v>
      </c>
    </row>
    <row r="4908" spans="1:5">
      <c r="A4908" t="s">
        <v>6513</v>
      </c>
      <c r="B4908" t="s">
        <v>976</v>
      </c>
      <c r="C4908" t="s">
        <v>995</v>
      </c>
      <c r="D4908" t="s">
        <v>6985</v>
      </c>
      <c r="E4908">
        <v>46.30176344905668</v>
      </c>
    </row>
    <row r="4909" spans="1:5">
      <c r="A4909" t="s">
        <v>6514</v>
      </c>
      <c r="B4909" t="s">
        <v>976</v>
      </c>
      <c r="C4909" t="s">
        <v>995</v>
      </c>
      <c r="D4909" t="s">
        <v>7034</v>
      </c>
      <c r="E4909">
        <v>0.09699434792232089</v>
      </c>
    </row>
    <row r="4910" spans="1:5">
      <c r="A4910" t="s">
        <v>6515</v>
      </c>
      <c r="B4910" t="s">
        <v>976</v>
      </c>
      <c r="C4910" t="s">
        <v>995</v>
      </c>
      <c r="D4910" t="s">
        <v>7035</v>
      </c>
      <c r="E4910">
        <v>0.6913671738694763</v>
      </c>
    </row>
    <row r="4911" spans="1:5">
      <c r="A4911" t="s">
        <v>6516</v>
      </c>
      <c r="B4911" t="s">
        <v>976</v>
      </c>
      <c r="C4911" t="s">
        <v>995</v>
      </c>
      <c r="D4911" t="s">
        <v>7036</v>
      </c>
      <c r="E4911">
        <v>13.06895743798048</v>
      </c>
    </row>
    <row r="4912" spans="1:5">
      <c r="A4912" t="s">
        <v>6517</v>
      </c>
      <c r="B4912" t="s">
        <v>976</v>
      </c>
      <c r="C4912" t="s">
        <v>995</v>
      </c>
      <c r="D4912" t="s">
        <v>7037</v>
      </c>
      <c r="E4912">
        <v>3.2567513626264</v>
      </c>
    </row>
    <row r="4913" spans="1:5">
      <c r="A4913" t="s">
        <v>6518</v>
      </c>
      <c r="B4913" t="s">
        <v>976</v>
      </c>
      <c r="C4913" t="s">
        <v>995</v>
      </c>
      <c r="D4913" t="s">
        <v>6986</v>
      </c>
      <c r="E4913">
        <v>14.83044882025463</v>
      </c>
    </row>
    <row r="4914" spans="1:5">
      <c r="A4914" t="s">
        <v>6519</v>
      </c>
      <c r="B4914" t="s">
        <v>976</v>
      </c>
      <c r="C4914" t="s">
        <v>995</v>
      </c>
      <c r="D4914" t="s">
        <v>7038</v>
      </c>
      <c r="E4914">
        <v>1.764872928729461</v>
      </c>
    </row>
    <row r="4915" spans="1:5">
      <c r="A4915" t="s">
        <v>6520</v>
      </c>
      <c r="B4915" t="s">
        <v>976</v>
      </c>
      <c r="C4915" t="s">
        <v>995</v>
      </c>
      <c r="D4915" t="s">
        <v>6987</v>
      </c>
      <c r="E4915">
        <v>48.11328684108383</v>
      </c>
    </row>
    <row r="4916" spans="1:5">
      <c r="A4916" t="s">
        <v>6521</v>
      </c>
      <c r="B4916" t="s">
        <v>976</v>
      </c>
      <c r="C4916" t="s">
        <v>995</v>
      </c>
      <c r="D4916" t="s">
        <v>7039</v>
      </c>
      <c r="E4916">
        <v>5.363150058636029</v>
      </c>
    </row>
    <row r="4917" spans="1:5">
      <c r="A4917" t="s">
        <v>6522</v>
      </c>
      <c r="B4917" t="s">
        <v>976</v>
      </c>
      <c r="C4917" t="s">
        <v>995</v>
      </c>
      <c r="D4917" t="s">
        <v>7040</v>
      </c>
      <c r="E4917">
        <v>2.359432011517367</v>
      </c>
    </row>
    <row r="4918" spans="1:5">
      <c r="A4918" t="s">
        <v>6523</v>
      </c>
      <c r="B4918" t="s">
        <v>976</v>
      </c>
      <c r="C4918" t="s">
        <v>995</v>
      </c>
      <c r="D4918" t="s">
        <v>7041</v>
      </c>
      <c r="E4918">
        <v>6.220465408853403</v>
      </c>
    </row>
    <row r="4919" spans="1:5">
      <c r="A4919" t="s">
        <v>6524</v>
      </c>
      <c r="B4919" t="s">
        <v>976</v>
      </c>
      <c r="C4919" t="s">
        <v>995</v>
      </c>
      <c r="D4919" t="s">
        <v>7042</v>
      </c>
      <c r="E4919">
        <v>20.91033266175991</v>
      </c>
    </row>
    <row r="4920" spans="1:5">
      <c r="A4920" t="s">
        <v>6525</v>
      </c>
      <c r="B4920" t="s">
        <v>976</v>
      </c>
      <c r="C4920" t="s">
        <v>995</v>
      </c>
      <c r="D4920" t="s">
        <v>7043</v>
      </c>
      <c r="E4920">
        <v>1.929650003466974</v>
      </c>
    </row>
    <row r="4921" spans="1:5">
      <c r="A4921" t="s">
        <v>6526</v>
      </c>
      <c r="B4921" t="s">
        <v>976</v>
      </c>
      <c r="C4921" t="s">
        <v>995</v>
      </c>
      <c r="D4921" t="s">
        <v>7044</v>
      </c>
      <c r="E4921">
        <v>141.4905440030197</v>
      </c>
    </row>
    <row r="4922" spans="1:5">
      <c r="A4922" t="s">
        <v>6527</v>
      </c>
      <c r="B4922" t="s">
        <v>976</v>
      </c>
      <c r="C4922" t="s">
        <v>995</v>
      </c>
      <c r="D4922" t="s">
        <v>7045</v>
      </c>
      <c r="E4922">
        <v>423.1343839845407</v>
      </c>
    </row>
    <row r="4923" spans="1:5">
      <c r="A4923" t="s">
        <v>6528</v>
      </c>
      <c r="B4923" t="s">
        <v>976</v>
      </c>
      <c r="C4923" t="s">
        <v>995</v>
      </c>
      <c r="D4923" t="s">
        <v>7046</v>
      </c>
      <c r="E4923">
        <v>48.11329973360579</v>
      </c>
    </row>
    <row r="4924" spans="1:5">
      <c r="A4924" t="s">
        <v>6529</v>
      </c>
      <c r="B4924" t="s">
        <v>976</v>
      </c>
      <c r="C4924" t="s">
        <v>995</v>
      </c>
      <c r="D4924" t="s">
        <v>6988</v>
      </c>
      <c r="E4924">
        <v>423.1279025513348</v>
      </c>
    </row>
    <row r="4925" spans="1:5">
      <c r="A4925" t="s">
        <v>6530</v>
      </c>
      <c r="B4925" t="s">
        <v>976</v>
      </c>
      <c r="C4925" t="s">
        <v>995</v>
      </c>
      <c r="D4925" t="s">
        <v>7047</v>
      </c>
      <c r="E4925">
        <v>119.454744467031</v>
      </c>
    </row>
    <row r="4926" spans="1:5">
      <c r="A4926" t="s">
        <v>6531</v>
      </c>
      <c r="B4926" t="s">
        <v>976</v>
      </c>
      <c r="C4926" t="s">
        <v>995</v>
      </c>
      <c r="D4926" t="s">
        <v>7048</v>
      </c>
      <c r="E4926">
        <v>423.1343839845407</v>
      </c>
    </row>
    <row r="4927" spans="1:5">
      <c r="A4927" t="s">
        <v>6532</v>
      </c>
      <c r="B4927" t="s">
        <v>976</v>
      </c>
      <c r="C4927" t="s">
        <v>995</v>
      </c>
      <c r="D4927" t="s">
        <v>7049</v>
      </c>
      <c r="E4927">
        <v>27.21035873080653</v>
      </c>
    </row>
    <row r="4928" spans="1:5">
      <c r="A4928" t="s">
        <v>6533</v>
      </c>
      <c r="B4928" t="s">
        <v>976</v>
      </c>
      <c r="C4928" t="s">
        <v>995</v>
      </c>
      <c r="D4928" t="s">
        <v>7050</v>
      </c>
      <c r="E4928">
        <v>423.1343839845407</v>
      </c>
    </row>
    <row r="4929" spans="1:5">
      <c r="A4929" t="s">
        <v>6534</v>
      </c>
      <c r="B4929" t="s">
        <v>976</v>
      </c>
      <c r="C4929" t="s">
        <v>995</v>
      </c>
      <c r="D4929" t="s">
        <v>7051</v>
      </c>
      <c r="E4929">
        <v>4.225729616378786</v>
      </c>
    </row>
    <row r="4930" spans="1:5">
      <c r="A4930" t="s">
        <v>6535</v>
      </c>
      <c r="B4930" t="s">
        <v>976</v>
      </c>
      <c r="C4930" t="s">
        <v>995</v>
      </c>
      <c r="D4930" t="s">
        <v>7052</v>
      </c>
      <c r="E4930">
        <v>0.0357776355495219</v>
      </c>
    </row>
    <row r="4931" spans="1:5">
      <c r="A4931" t="s">
        <v>6536</v>
      </c>
      <c r="B4931" t="s">
        <v>976</v>
      </c>
      <c r="C4931" t="s">
        <v>995</v>
      </c>
      <c r="D4931" t="s">
        <v>7053</v>
      </c>
      <c r="E4931">
        <v>41.16533172816685</v>
      </c>
    </row>
    <row r="4932" spans="1:5">
      <c r="A4932" t="s">
        <v>6537</v>
      </c>
      <c r="B4932" t="s">
        <v>976</v>
      </c>
      <c r="C4932" t="s">
        <v>995</v>
      </c>
      <c r="D4932" t="s">
        <v>7054</v>
      </c>
      <c r="E4932">
        <v>1.501031392029736</v>
      </c>
    </row>
    <row r="4933" spans="1:5">
      <c r="A4933" t="s">
        <v>6538</v>
      </c>
      <c r="B4933" t="s">
        <v>976</v>
      </c>
      <c r="C4933" t="s">
        <v>995</v>
      </c>
      <c r="D4933" t="s">
        <v>6989</v>
      </c>
      <c r="E4933">
        <v>40.01277458066919</v>
      </c>
    </row>
    <row r="4934" spans="1:5">
      <c r="A4934" t="s">
        <v>6539</v>
      </c>
      <c r="B4934" t="s">
        <v>976</v>
      </c>
      <c r="C4934" t="s">
        <v>995</v>
      </c>
      <c r="D4934" t="s">
        <v>7055</v>
      </c>
      <c r="E4934">
        <v>11.72555278117967</v>
      </c>
    </row>
    <row r="4935" spans="1:5">
      <c r="A4935" t="s">
        <v>6540</v>
      </c>
      <c r="B4935" t="s">
        <v>976</v>
      </c>
      <c r="C4935" t="s">
        <v>995</v>
      </c>
      <c r="D4935" t="s">
        <v>7056</v>
      </c>
      <c r="E4935">
        <v>47.66151556174928</v>
      </c>
    </row>
    <row r="4936" spans="1:5">
      <c r="A4936" t="s">
        <v>6541</v>
      </c>
      <c r="B4936" t="s">
        <v>976</v>
      </c>
      <c r="C4936" t="s">
        <v>995</v>
      </c>
      <c r="D4936" t="s">
        <v>7057</v>
      </c>
      <c r="E4936">
        <v>2.402058399663142</v>
      </c>
    </row>
    <row r="4937" spans="1:5">
      <c r="A4937" t="s">
        <v>6542</v>
      </c>
      <c r="B4937" t="s">
        <v>976</v>
      </c>
      <c r="C4937" t="s">
        <v>995</v>
      </c>
      <c r="D4937" t="s">
        <v>6990</v>
      </c>
      <c r="E4937">
        <v>0.01741099017728209</v>
      </c>
    </row>
    <row r="4938" spans="1:5">
      <c r="A4938" t="s">
        <v>6543</v>
      </c>
      <c r="B4938" t="s">
        <v>976</v>
      </c>
      <c r="C4938" t="s">
        <v>995</v>
      </c>
      <c r="D4938" t="s">
        <v>6991</v>
      </c>
      <c r="E4938">
        <v>104.6465383846514</v>
      </c>
    </row>
    <row r="4939" spans="1:5">
      <c r="A4939" t="s">
        <v>6544</v>
      </c>
      <c r="B4939" t="s">
        <v>976</v>
      </c>
      <c r="C4939" t="s">
        <v>995</v>
      </c>
      <c r="D4939" t="s">
        <v>7058</v>
      </c>
      <c r="E4939">
        <v>423.1343839845407</v>
      </c>
    </row>
    <row r="4940" spans="1:5">
      <c r="A4940" t="s">
        <v>6545</v>
      </c>
      <c r="B4940" t="s">
        <v>976</v>
      </c>
      <c r="C4940" t="s">
        <v>995</v>
      </c>
      <c r="D4940" t="s">
        <v>6992</v>
      </c>
      <c r="E4940">
        <v>3.264028964630512</v>
      </c>
    </row>
    <row r="4941" spans="1:5">
      <c r="A4941" t="s">
        <v>6546</v>
      </c>
      <c r="B4941" t="s">
        <v>976</v>
      </c>
      <c r="C4941" t="s">
        <v>995</v>
      </c>
      <c r="D4941" t="s">
        <v>7059</v>
      </c>
      <c r="E4941">
        <v>0.2397976731339985</v>
      </c>
    </row>
    <row r="4942" spans="1:5">
      <c r="A4942" t="s">
        <v>6547</v>
      </c>
      <c r="B4942" t="s">
        <v>976</v>
      </c>
      <c r="C4942" t="s">
        <v>995</v>
      </c>
      <c r="D4942" t="s">
        <v>7060</v>
      </c>
      <c r="E4942">
        <v>0.0002290324450770592</v>
      </c>
    </row>
    <row r="4943" spans="1:5">
      <c r="A4943" t="s">
        <v>6548</v>
      </c>
      <c r="B4943" t="s">
        <v>976</v>
      </c>
      <c r="C4943" t="s">
        <v>995</v>
      </c>
      <c r="D4943" t="s">
        <v>6993</v>
      </c>
      <c r="E4943">
        <v>2.504286903745865</v>
      </c>
    </row>
    <row r="4944" spans="1:5">
      <c r="A4944" t="s">
        <v>6549</v>
      </c>
      <c r="B4944" t="s">
        <v>976</v>
      </c>
      <c r="C4944" t="s">
        <v>995</v>
      </c>
      <c r="D4944" t="s">
        <v>7061</v>
      </c>
      <c r="E4944">
        <v>423.1343839845407</v>
      </c>
    </row>
    <row r="4945" spans="1:5">
      <c r="A4945" t="s">
        <v>6550</v>
      </c>
      <c r="B4945" t="s">
        <v>976</v>
      </c>
      <c r="C4945" t="s">
        <v>995</v>
      </c>
      <c r="D4945" t="s">
        <v>7062</v>
      </c>
      <c r="E4945">
        <v>1.977252807395722</v>
      </c>
    </row>
    <row r="4946" spans="1:5">
      <c r="A4946" t="s">
        <v>6551</v>
      </c>
      <c r="B4946" t="s">
        <v>976</v>
      </c>
      <c r="C4946" t="s">
        <v>995</v>
      </c>
      <c r="D4946" t="s">
        <v>7063</v>
      </c>
      <c r="E4946">
        <v>442.3905824409077</v>
      </c>
    </row>
    <row r="4947" spans="1:5">
      <c r="A4947" t="s">
        <v>6552</v>
      </c>
      <c r="B4947" t="s">
        <v>976</v>
      </c>
      <c r="C4947" t="s">
        <v>995</v>
      </c>
      <c r="D4947" t="s">
        <v>6994</v>
      </c>
      <c r="E4947">
        <v>1.933994971380371</v>
      </c>
    </row>
    <row r="4948" spans="1:5">
      <c r="A4948" t="s">
        <v>6553</v>
      </c>
      <c r="B4948" t="s">
        <v>976</v>
      </c>
      <c r="C4948" t="s">
        <v>995</v>
      </c>
      <c r="D4948" t="s">
        <v>7064</v>
      </c>
      <c r="E4948">
        <v>2.427890932537593</v>
      </c>
    </row>
    <row r="4949" spans="1:5">
      <c r="A4949" t="s">
        <v>6554</v>
      </c>
      <c r="B4949" t="s">
        <v>976</v>
      </c>
      <c r="C4949" t="s">
        <v>995</v>
      </c>
      <c r="D4949" t="s">
        <v>7065</v>
      </c>
      <c r="E4949">
        <v>3.594621676316403</v>
      </c>
    </row>
    <row r="4950" spans="1:5">
      <c r="A4950" t="s">
        <v>6555</v>
      </c>
      <c r="B4950" t="s">
        <v>976</v>
      </c>
      <c r="C4950" t="s">
        <v>995</v>
      </c>
      <c r="D4950" t="s">
        <v>7066</v>
      </c>
      <c r="E4950">
        <v>0.07755158789085835</v>
      </c>
    </row>
    <row r="4951" spans="1:5">
      <c r="A4951" t="s">
        <v>6556</v>
      </c>
      <c r="B4951" t="s">
        <v>976</v>
      </c>
      <c r="C4951" t="s">
        <v>995</v>
      </c>
      <c r="D4951" t="s">
        <v>7067</v>
      </c>
      <c r="E4951">
        <v>219.4916559652682</v>
      </c>
    </row>
    <row r="4952" spans="1:5">
      <c r="A4952" t="s">
        <v>6557</v>
      </c>
      <c r="B4952" t="s">
        <v>976</v>
      </c>
      <c r="C4952" t="s">
        <v>995</v>
      </c>
      <c r="D4952" t="s">
        <v>7068</v>
      </c>
      <c r="E4952">
        <v>0.7299374582988417</v>
      </c>
    </row>
    <row r="4953" spans="1:5">
      <c r="A4953" t="s">
        <v>6558</v>
      </c>
      <c r="B4953" t="s">
        <v>976</v>
      </c>
      <c r="C4953" t="s">
        <v>995</v>
      </c>
      <c r="D4953" t="s">
        <v>6995</v>
      </c>
      <c r="E4953">
        <v>0.210705578528228</v>
      </c>
    </row>
    <row r="4954" spans="1:5">
      <c r="A4954" t="s">
        <v>6559</v>
      </c>
      <c r="B4954" t="s">
        <v>976</v>
      </c>
      <c r="C4954" t="s">
        <v>995</v>
      </c>
      <c r="D4954" t="s">
        <v>7069</v>
      </c>
      <c r="E4954">
        <v>1017.241817012682</v>
      </c>
    </row>
    <row r="4955" spans="1:5">
      <c r="A4955" t="s">
        <v>6560</v>
      </c>
      <c r="B4955" t="s">
        <v>976</v>
      </c>
      <c r="C4955" t="s">
        <v>995</v>
      </c>
      <c r="D4955" t="s">
        <v>7070</v>
      </c>
      <c r="E4955">
        <v>376.3859440785922</v>
      </c>
    </row>
    <row r="4956" spans="1:5">
      <c r="A4956" t="s">
        <v>6561</v>
      </c>
      <c r="B4956" t="s">
        <v>976</v>
      </c>
      <c r="C4956" t="s">
        <v>995</v>
      </c>
      <c r="D4956" t="s">
        <v>7071</v>
      </c>
      <c r="E4956">
        <v>0.6670636236059194</v>
      </c>
    </row>
    <row r="4957" spans="1:5">
      <c r="A4957" t="s">
        <v>6562</v>
      </c>
      <c r="B4957" t="s">
        <v>976</v>
      </c>
      <c r="C4957" t="s">
        <v>995</v>
      </c>
      <c r="D4957" t="s">
        <v>7072</v>
      </c>
      <c r="E4957">
        <v>0.01419770043834606</v>
      </c>
    </row>
    <row r="4958" spans="1:5">
      <c r="A4958" t="s">
        <v>6563</v>
      </c>
      <c r="B4958" t="s">
        <v>976</v>
      </c>
      <c r="C4958" t="s">
        <v>995</v>
      </c>
      <c r="D4958" t="s">
        <v>7073</v>
      </c>
      <c r="E4958">
        <v>0.003504524941118433</v>
      </c>
    </row>
    <row r="4959" spans="1:5">
      <c r="A4959" t="s">
        <v>6564</v>
      </c>
      <c r="B4959" t="s">
        <v>976</v>
      </c>
      <c r="C4959" t="s">
        <v>995</v>
      </c>
      <c r="D4959" t="s">
        <v>7074</v>
      </c>
      <c r="E4959">
        <v>0.9334968991900071</v>
      </c>
    </row>
    <row r="4960" spans="1:5">
      <c r="A4960" t="s">
        <v>6565</v>
      </c>
      <c r="B4960" t="s">
        <v>976</v>
      </c>
      <c r="C4960" t="s">
        <v>995</v>
      </c>
      <c r="D4960" t="s">
        <v>7075</v>
      </c>
      <c r="E4960">
        <v>1.728987971196104</v>
      </c>
    </row>
    <row r="4961" spans="1:5">
      <c r="A4961" t="s">
        <v>6566</v>
      </c>
      <c r="B4961" t="s">
        <v>976</v>
      </c>
      <c r="C4961" t="s">
        <v>995</v>
      </c>
      <c r="D4961" t="s">
        <v>7076</v>
      </c>
      <c r="E4961">
        <v>19.20570449055523</v>
      </c>
    </row>
    <row r="4962" spans="1:5">
      <c r="A4962" t="s">
        <v>6567</v>
      </c>
      <c r="B4962" t="s">
        <v>976</v>
      </c>
      <c r="C4962" t="s">
        <v>995</v>
      </c>
      <c r="D4962" t="s">
        <v>7077</v>
      </c>
      <c r="E4962">
        <v>48.99831871980378</v>
      </c>
    </row>
    <row r="4963" spans="1:5">
      <c r="A4963" t="s">
        <v>6568</v>
      </c>
      <c r="B4963" t="s">
        <v>976</v>
      </c>
      <c r="C4963" t="s">
        <v>995</v>
      </c>
      <c r="D4963" t="s">
        <v>7078</v>
      </c>
      <c r="E4963">
        <v>33.64801890705733</v>
      </c>
    </row>
    <row r="4964" spans="1:5">
      <c r="A4964" t="s">
        <v>6569</v>
      </c>
      <c r="B4964" t="s">
        <v>976</v>
      </c>
      <c r="C4964" t="s">
        <v>995</v>
      </c>
      <c r="D4964" t="s">
        <v>7079</v>
      </c>
      <c r="E4964">
        <v>17.8417901466089</v>
      </c>
    </row>
    <row r="4965" spans="1:5">
      <c r="A4965" t="s">
        <v>6570</v>
      </c>
      <c r="B4965" t="s">
        <v>976</v>
      </c>
      <c r="C4965" t="s">
        <v>995</v>
      </c>
      <c r="D4965" t="s">
        <v>7080</v>
      </c>
      <c r="E4965">
        <v>0.07398676819389503</v>
      </c>
    </row>
    <row r="4966" spans="1:5">
      <c r="A4966" t="s">
        <v>6571</v>
      </c>
      <c r="B4966" t="s">
        <v>976</v>
      </c>
      <c r="C4966" t="s">
        <v>995</v>
      </c>
      <c r="D4966" t="s">
        <v>7081</v>
      </c>
      <c r="E4966">
        <v>5.83143646579302</v>
      </c>
    </row>
    <row r="4967" spans="1:5">
      <c r="A4967" t="s">
        <v>6572</v>
      </c>
      <c r="B4967" t="s">
        <v>976</v>
      </c>
      <c r="C4967" t="s">
        <v>995</v>
      </c>
      <c r="D4967" t="s">
        <v>7082</v>
      </c>
      <c r="E4967">
        <v>0.14920277159381</v>
      </c>
    </row>
    <row r="4968" spans="1:5">
      <c r="A4968" t="s">
        <v>6573</v>
      </c>
      <c r="B4968" t="s">
        <v>976</v>
      </c>
      <c r="C4968" t="s">
        <v>995</v>
      </c>
      <c r="D4968" t="s">
        <v>7083</v>
      </c>
      <c r="E4968">
        <v>0.0865265528483596</v>
      </c>
    </row>
    <row r="4969" spans="1:5">
      <c r="A4969" t="s">
        <v>6574</v>
      </c>
      <c r="B4969" t="s">
        <v>976</v>
      </c>
      <c r="C4969" t="s">
        <v>995</v>
      </c>
      <c r="D4969" t="s">
        <v>7084</v>
      </c>
      <c r="E4969">
        <v>38.83548689693478</v>
      </c>
    </row>
    <row r="4970" spans="1:5">
      <c r="A4970" t="s">
        <v>6575</v>
      </c>
      <c r="B4970" t="s">
        <v>976</v>
      </c>
      <c r="C4970" t="s">
        <v>995</v>
      </c>
      <c r="D4970" t="s">
        <v>7085</v>
      </c>
      <c r="E4970">
        <v>7.841894044871345</v>
      </c>
    </row>
    <row r="4971" spans="1:5">
      <c r="A4971" t="s">
        <v>6576</v>
      </c>
      <c r="B4971" t="s">
        <v>976</v>
      </c>
      <c r="C4971" t="s">
        <v>995</v>
      </c>
      <c r="D4971" t="s">
        <v>7086</v>
      </c>
      <c r="E4971">
        <v>6.666734533481245</v>
      </c>
    </row>
    <row r="4972" spans="1:5">
      <c r="A4972" t="s">
        <v>6577</v>
      </c>
      <c r="B4972" t="s">
        <v>976</v>
      </c>
      <c r="C4972" t="s">
        <v>995</v>
      </c>
      <c r="D4972" t="s">
        <v>7087</v>
      </c>
      <c r="E4972">
        <v>20.3205117518997</v>
      </c>
    </row>
    <row r="4973" spans="1:5">
      <c r="A4973" t="s">
        <v>6578</v>
      </c>
      <c r="B4973" t="s">
        <v>976</v>
      </c>
      <c r="C4973" t="s">
        <v>995</v>
      </c>
      <c r="D4973" t="s">
        <v>7088</v>
      </c>
      <c r="E4973">
        <v>0.1799636748450656</v>
      </c>
    </row>
    <row r="4974" spans="1:5">
      <c r="A4974" t="s">
        <v>6579</v>
      </c>
      <c r="B4974" t="s">
        <v>976</v>
      </c>
      <c r="C4974" t="s">
        <v>995</v>
      </c>
      <c r="D4974" t="s">
        <v>6996</v>
      </c>
      <c r="E4974">
        <v>18.02674426694861</v>
      </c>
    </row>
    <row r="4975" spans="1:5">
      <c r="A4975" t="s">
        <v>6580</v>
      </c>
      <c r="B4975" t="s">
        <v>976</v>
      </c>
      <c r="C4975" t="s">
        <v>995</v>
      </c>
      <c r="D4975" t="s">
        <v>6997</v>
      </c>
      <c r="E4975">
        <v>77.01263664915628</v>
      </c>
    </row>
    <row r="4976" spans="1:5">
      <c r="A4976" t="s">
        <v>6581</v>
      </c>
      <c r="B4976" t="s">
        <v>976</v>
      </c>
      <c r="C4976" t="s">
        <v>995</v>
      </c>
      <c r="D4976" t="s">
        <v>7089</v>
      </c>
      <c r="E4976">
        <v>4.913591517701867</v>
      </c>
    </row>
    <row r="4977" spans="1:5">
      <c r="A4977" t="s">
        <v>6582</v>
      </c>
      <c r="B4977" t="s">
        <v>976</v>
      </c>
      <c r="C4977" t="s">
        <v>995</v>
      </c>
      <c r="D4977" t="s">
        <v>7090</v>
      </c>
      <c r="E4977">
        <v>19.20570449055523</v>
      </c>
    </row>
    <row r="4978" spans="1:5">
      <c r="A4978" t="s">
        <v>6583</v>
      </c>
      <c r="B4978" t="s">
        <v>976</v>
      </c>
      <c r="C4978" t="s">
        <v>995</v>
      </c>
      <c r="D4978" t="s">
        <v>7091</v>
      </c>
      <c r="E4978">
        <v>0.2300139233849953</v>
      </c>
    </row>
    <row r="4979" spans="1:5">
      <c r="A4979" t="s">
        <v>6584</v>
      </c>
      <c r="B4979" t="s">
        <v>976</v>
      </c>
      <c r="C4979" t="s">
        <v>995</v>
      </c>
      <c r="D4979" t="s">
        <v>7092</v>
      </c>
      <c r="E4979">
        <v>8.540264939507296</v>
      </c>
    </row>
    <row r="4980" spans="1:5">
      <c r="A4980" t="s">
        <v>6585</v>
      </c>
      <c r="B4980" t="s">
        <v>976</v>
      </c>
      <c r="C4980" t="s">
        <v>995</v>
      </c>
      <c r="D4980" t="s">
        <v>6998</v>
      </c>
      <c r="E4980">
        <v>32.43154906645852</v>
      </c>
    </row>
    <row r="4981" spans="1:5">
      <c r="A4981" t="s">
        <v>6586</v>
      </c>
      <c r="B4981" t="s">
        <v>976</v>
      </c>
      <c r="C4981" t="s">
        <v>995</v>
      </c>
      <c r="D4981" t="s">
        <v>7093</v>
      </c>
      <c r="E4981">
        <v>2.040020413742194</v>
      </c>
    </row>
    <row r="4982" spans="1:5">
      <c r="A4982" t="s">
        <v>6587</v>
      </c>
      <c r="B4982" t="s">
        <v>976</v>
      </c>
      <c r="C4982" t="s">
        <v>995</v>
      </c>
      <c r="D4982" t="s">
        <v>6999</v>
      </c>
      <c r="E4982">
        <v>183.1528044478242</v>
      </c>
    </row>
    <row r="4983" spans="1:5">
      <c r="A4983" t="s">
        <v>6588</v>
      </c>
      <c r="B4983" t="s">
        <v>976</v>
      </c>
      <c r="C4983" t="s">
        <v>995</v>
      </c>
      <c r="D4983" t="s">
        <v>7094</v>
      </c>
      <c r="E4983">
        <v>815.7543938956823</v>
      </c>
    </row>
    <row r="4984" spans="1:5">
      <c r="A4984" t="s">
        <v>6589</v>
      </c>
      <c r="B4984" t="s">
        <v>976</v>
      </c>
      <c r="C4984" t="s">
        <v>995</v>
      </c>
      <c r="D4984" t="s">
        <v>7095</v>
      </c>
      <c r="E4984">
        <v>313.6548986074852</v>
      </c>
    </row>
    <row r="4985" spans="1:5">
      <c r="A4985" t="s">
        <v>6590</v>
      </c>
      <c r="B4985" t="s">
        <v>976</v>
      </c>
      <c r="C4985" t="s">
        <v>995</v>
      </c>
      <c r="D4985" t="s">
        <v>7096</v>
      </c>
      <c r="E4985">
        <v>92.42780630156673</v>
      </c>
    </row>
    <row r="4986" spans="1:5">
      <c r="A4986" t="s">
        <v>6591</v>
      </c>
      <c r="B4986" t="s">
        <v>976</v>
      </c>
      <c r="C4986" t="s">
        <v>995</v>
      </c>
      <c r="D4986" t="s">
        <v>7097</v>
      </c>
      <c r="E4986">
        <v>71.48517178962312</v>
      </c>
    </row>
    <row r="4987" spans="1:5">
      <c r="A4987" t="s">
        <v>6592</v>
      </c>
      <c r="B4987" t="s">
        <v>976</v>
      </c>
      <c r="C4987" t="s">
        <v>995</v>
      </c>
      <c r="D4987" t="s">
        <v>7000</v>
      </c>
      <c r="E4987">
        <v>5.089867248273412</v>
      </c>
    </row>
    <row r="4988" spans="1:5">
      <c r="A4988" t="s">
        <v>6593</v>
      </c>
      <c r="B4988" t="s">
        <v>976</v>
      </c>
      <c r="C4988" t="s">
        <v>995</v>
      </c>
      <c r="D4988" t="s">
        <v>7098</v>
      </c>
      <c r="E4988">
        <v>1.126831198380805</v>
      </c>
    </row>
    <row r="4989" spans="1:5">
      <c r="A4989" t="s">
        <v>6594</v>
      </c>
      <c r="B4989" t="s">
        <v>976</v>
      </c>
      <c r="C4989" t="s">
        <v>995</v>
      </c>
      <c r="D4989" t="s">
        <v>7001</v>
      </c>
      <c r="E4989">
        <v>83.06472978483777</v>
      </c>
    </row>
    <row r="4990" spans="1:5">
      <c r="A4990" t="s">
        <v>6595</v>
      </c>
      <c r="B4990" t="s">
        <v>976</v>
      </c>
      <c r="C4990" t="s">
        <v>995</v>
      </c>
      <c r="D4990" t="s">
        <v>7099</v>
      </c>
      <c r="E4990">
        <v>0.05195131881501863</v>
      </c>
    </row>
    <row r="4991" spans="1:5">
      <c r="A4991" t="s">
        <v>6596</v>
      </c>
      <c r="B4991" t="s">
        <v>976</v>
      </c>
      <c r="C4991" t="s">
        <v>995</v>
      </c>
      <c r="D4991" t="s">
        <v>7100</v>
      </c>
      <c r="E4991">
        <v>86.16895879024634</v>
      </c>
    </row>
    <row r="4992" spans="1:5">
      <c r="A4992" t="s">
        <v>6597</v>
      </c>
      <c r="B4992" t="s">
        <v>976</v>
      </c>
      <c r="C4992" t="s">
        <v>995</v>
      </c>
      <c r="D4992" t="s">
        <v>7002</v>
      </c>
      <c r="E4992">
        <v>68.50512006138084</v>
      </c>
    </row>
    <row r="4993" spans="1:5">
      <c r="A4993" t="s">
        <v>6598</v>
      </c>
      <c r="B4993" t="s">
        <v>976</v>
      </c>
      <c r="C4993" t="s">
        <v>995</v>
      </c>
      <c r="D4993" t="s">
        <v>7101</v>
      </c>
      <c r="E4993">
        <v>3.059513530571562</v>
      </c>
    </row>
    <row r="4994" spans="1:5">
      <c r="A4994" t="s">
        <v>6599</v>
      </c>
      <c r="B4994" t="s">
        <v>976</v>
      </c>
      <c r="C4994" t="s">
        <v>995</v>
      </c>
      <c r="D4994" t="s">
        <v>7102</v>
      </c>
      <c r="E4994">
        <v>4.036822533885615</v>
      </c>
    </row>
    <row r="4995" spans="1:5">
      <c r="A4995" t="s">
        <v>6600</v>
      </c>
      <c r="B4995" t="s">
        <v>976</v>
      </c>
      <c r="C4995" t="s">
        <v>995</v>
      </c>
      <c r="D4995" t="s">
        <v>7103</v>
      </c>
      <c r="E4995">
        <v>0.2137125686082281</v>
      </c>
    </row>
    <row r="4996" spans="1:5">
      <c r="A4996" t="s">
        <v>6601</v>
      </c>
      <c r="B4996" t="s">
        <v>976</v>
      </c>
      <c r="C4996" t="s">
        <v>995</v>
      </c>
      <c r="D4996" t="s">
        <v>7104</v>
      </c>
      <c r="E4996">
        <v>83.64133064703964</v>
      </c>
    </row>
    <row r="4997" spans="1:5">
      <c r="A4997" t="s">
        <v>6602</v>
      </c>
      <c r="B4997" t="s">
        <v>976</v>
      </c>
      <c r="C4997" t="s">
        <v>995</v>
      </c>
      <c r="D4997" t="s">
        <v>7105</v>
      </c>
      <c r="E4997">
        <v>39.63212446784149</v>
      </c>
    </row>
    <row r="4998" spans="1:5">
      <c r="A4998" t="s">
        <v>6603</v>
      </c>
      <c r="B4998" t="s">
        <v>976</v>
      </c>
      <c r="C4998" t="s">
        <v>995</v>
      </c>
      <c r="D4998" t="s">
        <v>7106</v>
      </c>
      <c r="E4998">
        <v>22.34041392753123</v>
      </c>
    </row>
    <row r="4999" spans="1:5">
      <c r="A4999" t="s">
        <v>6604</v>
      </c>
      <c r="B4999" t="s">
        <v>976</v>
      </c>
      <c r="C4999" t="s">
        <v>995</v>
      </c>
      <c r="D4999" t="s">
        <v>7107</v>
      </c>
      <c r="E4999">
        <v>0.702045954128786</v>
      </c>
    </row>
    <row r="5000" spans="1:5">
      <c r="A5000" t="s">
        <v>6605</v>
      </c>
      <c r="B5000" t="s">
        <v>976</v>
      </c>
      <c r="C5000" t="s">
        <v>995</v>
      </c>
      <c r="D5000" t="s">
        <v>7003</v>
      </c>
      <c r="E5000">
        <v>32.59667962101673</v>
      </c>
    </row>
    <row r="5001" spans="1:5">
      <c r="A5001" t="s">
        <v>6606</v>
      </c>
      <c r="B5001" t="s">
        <v>976</v>
      </c>
      <c r="C5001" t="s">
        <v>995</v>
      </c>
      <c r="D5001" t="s">
        <v>7004</v>
      </c>
      <c r="E5001">
        <v>243.1793959684732</v>
      </c>
    </row>
    <row r="5002" spans="1:5">
      <c r="A5002" t="s">
        <v>6607</v>
      </c>
      <c r="B5002" t="s">
        <v>976</v>
      </c>
      <c r="C5002" t="s">
        <v>995</v>
      </c>
      <c r="D5002" t="s">
        <v>7108</v>
      </c>
      <c r="E5002">
        <v>423.1343839845407</v>
      </c>
    </row>
    <row r="5003" spans="1:5">
      <c r="A5003" t="s">
        <v>6608</v>
      </c>
      <c r="B5003" t="s">
        <v>976</v>
      </c>
      <c r="C5003" t="s">
        <v>995</v>
      </c>
      <c r="D5003" t="s">
        <v>7109</v>
      </c>
      <c r="E5003">
        <v>12.87686885552518</v>
      </c>
    </row>
    <row r="5004" spans="1:5">
      <c r="A5004" t="s">
        <v>6609</v>
      </c>
      <c r="B5004" t="s">
        <v>976</v>
      </c>
      <c r="C5004" t="s">
        <v>995</v>
      </c>
      <c r="D5004" t="s">
        <v>7110</v>
      </c>
      <c r="E5004">
        <v>0.01287735738521496</v>
      </c>
    </row>
    <row r="5005" spans="1:5">
      <c r="A5005" t="s">
        <v>6610</v>
      </c>
      <c r="B5005" t="s">
        <v>976</v>
      </c>
      <c r="C5005" t="s">
        <v>995</v>
      </c>
      <c r="D5005" t="s">
        <v>7111</v>
      </c>
      <c r="E5005">
        <v>0.548983608876469</v>
      </c>
    </row>
    <row r="5006" spans="1:5">
      <c r="A5006" t="s">
        <v>6611</v>
      </c>
      <c r="B5006" t="s">
        <v>976</v>
      </c>
      <c r="C5006" t="s">
        <v>995</v>
      </c>
      <c r="D5006" t="s">
        <v>7112</v>
      </c>
      <c r="E5006">
        <v>8.305162810759306</v>
      </c>
    </row>
    <row r="5007" spans="1:5">
      <c r="A5007" t="s">
        <v>6612</v>
      </c>
      <c r="B5007" t="s">
        <v>976</v>
      </c>
      <c r="C5007" t="s">
        <v>995</v>
      </c>
      <c r="D5007" t="s">
        <v>7113</v>
      </c>
      <c r="E5007">
        <v>0.06556934635293046</v>
      </c>
    </row>
    <row r="5008" spans="1:5">
      <c r="A5008" t="s">
        <v>6613</v>
      </c>
      <c r="B5008" t="s">
        <v>976</v>
      </c>
      <c r="C5008" t="s">
        <v>995</v>
      </c>
      <c r="D5008" t="s">
        <v>7114</v>
      </c>
      <c r="E5008">
        <v>14.65737506122449</v>
      </c>
    </row>
    <row r="5009" spans="1:5">
      <c r="A5009" t="s">
        <v>6614</v>
      </c>
      <c r="B5009" t="s">
        <v>976</v>
      </c>
      <c r="C5009" t="s">
        <v>995</v>
      </c>
      <c r="D5009" t="s">
        <v>7115</v>
      </c>
      <c r="E5009">
        <v>2.577689264876704</v>
      </c>
    </row>
    <row r="5010" spans="1:5">
      <c r="A5010" t="s">
        <v>6615</v>
      </c>
      <c r="B5010" t="s">
        <v>976</v>
      </c>
      <c r="C5010" t="s">
        <v>995</v>
      </c>
      <c r="D5010" t="s">
        <v>7116</v>
      </c>
      <c r="E5010">
        <v>19.20570449055523</v>
      </c>
    </row>
    <row r="5011" spans="1:5">
      <c r="A5011" t="s">
        <v>6616</v>
      </c>
      <c r="B5011" t="s">
        <v>976</v>
      </c>
      <c r="C5011" t="s">
        <v>995</v>
      </c>
      <c r="D5011" t="s">
        <v>7005</v>
      </c>
      <c r="E5011">
        <v>9.347221793825522</v>
      </c>
    </row>
    <row r="5012" spans="1:5">
      <c r="A5012" t="s">
        <v>6617</v>
      </c>
      <c r="B5012" t="s">
        <v>976</v>
      </c>
      <c r="C5012" t="s">
        <v>995</v>
      </c>
      <c r="D5012" t="s">
        <v>7117</v>
      </c>
      <c r="E5012">
        <v>34.05305640067835</v>
      </c>
    </row>
    <row r="5013" spans="1:5">
      <c r="A5013" t="s">
        <v>6618</v>
      </c>
      <c r="B5013" t="s">
        <v>976</v>
      </c>
      <c r="C5013" t="s">
        <v>995</v>
      </c>
      <c r="D5013" t="s">
        <v>7118</v>
      </c>
      <c r="E5013">
        <v>89.86084651530112</v>
      </c>
    </row>
    <row r="5014" spans="1:5">
      <c r="A5014" t="s">
        <v>6619</v>
      </c>
      <c r="B5014" t="s">
        <v>976</v>
      </c>
      <c r="C5014" t="s">
        <v>995</v>
      </c>
      <c r="D5014" t="s">
        <v>7119</v>
      </c>
      <c r="E5014">
        <v>106.4487754138349</v>
      </c>
    </row>
    <row r="5015" spans="1:5">
      <c r="A5015" t="s">
        <v>6620</v>
      </c>
      <c r="B5015" t="s">
        <v>976</v>
      </c>
      <c r="C5015" t="s">
        <v>995</v>
      </c>
      <c r="D5015" t="s">
        <v>7120</v>
      </c>
      <c r="E5015">
        <v>131.6940920494481</v>
      </c>
    </row>
    <row r="5016" spans="1:5">
      <c r="A5016" t="s">
        <v>6621</v>
      </c>
      <c r="B5016" t="s">
        <v>976</v>
      </c>
      <c r="C5016" t="s">
        <v>995</v>
      </c>
      <c r="D5016" t="s">
        <v>7006</v>
      </c>
      <c r="E5016">
        <v>6.662788215990925</v>
      </c>
    </row>
    <row r="5017" spans="1:5">
      <c r="A5017" t="s">
        <v>6622</v>
      </c>
      <c r="B5017" t="s">
        <v>976</v>
      </c>
      <c r="C5017" t="s">
        <v>995</v>
      </c>
      <c r="D5017" t="s">
        <v>7121</v>
      </c>
      <c r="E5017">
        <v>44.75052494736818</v>
      </c>
    </row>
    <row r="5018" spans="1:5">
      <c r="A5018" t="s">
        <v>6623</v>
      </c>
      <c r="B5018" t="s">
        <v>976</v>
      </c>
      <c r="C5018" t="s">
        <v>995</v>
      </c>
      <c r="D5018" t="s">
        <v>7122</v>
      </c>
      <c r="E5018">
        <v>219.4916559652682</v>
      </c>
    </row>
    <row r="5019" spans="1:5">
      <c r="A5019" t="s">
        <v>6624</v>
      </c>
      <c r="B5019" t="s">
        <v>976</v>
      </c>
      <c r="C5019" t="s">
        <v>995</v>
      </c>
      <c r="D5019" t="s">
        <v>7123</v>
      </c>
      <c r="E5019">
        <v>9.757088190833558</v>
      </c>
    </row>
    <row r="5020" spans="1:5">
      <c r="A5020" t="s">
        <v>6625</v>
      </c>
      <c r="B5020" t="s">
        <v>976</v>
      </c>
      <c r="C5020" t="s">
        <v>995</v>
      </c>
      <c r="D5020" t="s">
        <v>7124</v>
      </c>
      <c r="E5020">
        <v>0.119990021813259</v>
      </c>
    </row>
    <row r="5021" spans="1:5">
      <c r="A5021" t="s">
        <v>6626</v>
      </c>
      <c r="B5021" t="s">
        <v>976</v>
      </c>
      <c r="C5021" t="s">
        <v>995</v>
      </c>
      <c r="D5021" t="s">
        <v>7125</v>
      </c>
      <c r="E5021">
        <v>7.018235044062424</v>
      </c>
    </row>
    <row r="5022" spans="1:5">
      <c r="A5022" t="s">
        <v>6627</v>
      </c>
      <c r="B5022" t="s">
        <v>976</v>
      </c>
      <c r="C5022" t="s">
        <v>995</v>
      </c>
      <c r="D5022" t="s">
        <v>7126</v>
      </c>
      <c r="E5022">
        <v>0.08550375121431408</v>
      </c>
    </row>
    <row r="5023" spans="1:5">
      <c r="A5023" t="s">
        <v>6628</v>
      </c>
      <c r="B5023" t="s">
        <v>976</v>
      </c>
      <c r="C5023" t="s">
        <v>995</v>
      </c>
      <c r="D5023" t="s">
        <v>998</v>
      </c>
      <c r="E5023">
        <v>313.6513372113336</v>
      </c>
    </row>
    <row r="5024" spans="1:5">
      <c r="A5024" t="s">
        <v>6629</v>
      </c>
      <c r="B5024" t="s">
        <v>976</v>
      </c>
      <c r="C5024" t="s">
        <v>995</v>
      </c>
      <c r="D5024" t="s">
        <v>7127</v>
      </c>
      <c r="E5024">
        <v>7.797588513984484</v>
      </c>
    </row>
    <row r="5025" spans="1:5">
      <c r="A5025" t="s">
        <v>6630</v>
      </c>
      <c r="B5025" t="s">
        <v>976</v>
      </c>
      <c r="C5025" t="s">
        <v>995</v>
      </c>
      <c r="D5025" t="s">
        <v>7128</v>
      </c>
      <c r="E5025">
        <v>0.02591713734862192</v>
      </c>
    </row>
    <row r="5026" spans="1:5">
      <c r="A5026" t="s">
        <v>6631</v>
      </c>
      <c r="B5026" t="s">
        <v>976</v>
      </c>
      <c r="C5026" t="s">
        <v>995</v>
      </c>
      <c r="D5026" t="s">
        <v>7129</v>
      </c>
      <c r="E5026">
        <v>0.4314888911334126</v>
      </c>
    </row>
    <row r="5027" spans="1:5">
      <c r="A5027" t="s">
        <v>6632</v>
      </c>
      <c r="B5027" t="s">
        <v>976</v>
      </c>
      <c r="C5027" t="s">
        <v>995</v>
      </c>
      <c r="D5027" t="s">
        <v>7130</v>
      </c>
      <c r="E5027">
        <v>0.01197526574210767</v>
      </c>
    </row>
    <row r="5028" spans="1:5">
      <c r="A5028" t="s">
        <v>6633</v>
      </c>
      <c r="B5028" t="s">
        <v>976</v>
      </c>
      <c r="C5028" t="s">
        <v>995</v>
      </c>
      <c r="D5028" t="s">
        <v>7131</v>
      </c>
      <c r="E5028">
        <v>2.619835754293882</v>
      </c>
    </row>
    <row r="5029" spans="1:5">
      <c r="A5029" t="s">
        <v>6634</v>
      </c>
      <c r="B5029" t="s">
        <v>976</v>
      </c>
      <c r="C5029" t="s">
        <v>995</v>
      </c>
      <c r="D5029" t="s">
        <v>7132</v>
      </c>
      <c r="E5029">
        <v>116.2461689708897</v>
      </c>
    </row>
    <row r="5030" spans="1:5">
      <c r="A5030" t="s">
        <v>6635</v>
      </c>
      <c r="B5030" t="s">
        <v>976</v>
      </c>
      <c r="C5030" t="s">
        <v>995</v>
      </c>
      <c r="D5030" t="s">
        <v>7133</v>
      </c>
      <c r="E5030">
        <v>0.5474530937241313</v>
      </c>
    </row>
    <row r="5031" spans="1:5">
      <c r="A5031" t="s">
        <v>6636</v>
      </c>
      <c r="B5031" t="s">
        <v>976</v>
      </c>
      <c r="C5031" t="s">
        <v>995</v>
      </c>
      <c r="D5031" t="s">
        <v>7134</v>
      </c>
      <c r="E5031">
        <v>116.168514787555</v>
      </c>
    </row>
    <row r="5032" spans="1:5">
      <c r="A5032" t="s">
        <v>6637</v>
      </c>
      <c r="B5032" t="s">
        <v>976</v>
      </c>
      <c r="C5032" t="s">
        <v>995</v>
      </c>
      <c r="D5032" t="s">
        <v>7135</v>
      </c>
      <c r="E5032">
        <v>175.2262456553997</v>
      </c>
    </row>
    <row r="5033" spans="1:5">
      <c r="A5033" t="s">
        <v>6638</v>
      </c>
      <c r="B5033" t="s">
        <v>976</v>
      </c>
      <c r="C5033" t="s">
        <v>995</v>
      </c>
      <c r="D5033" t="s">
        <v>7136</v>
      </c>
      <c r="E5033">
        <v>427.1269347377986</v>
      </c>
    </row>
    <row r="5034" spans="1:5">
      <c r="A5034" t="s">
        <v>6639</v>
      </c>
      <c r="B5034" t="s">
        <v>976</v>
      </c>
      <c r="C5034" t="s">
        <v>995</v>
      </c>
      <c r="D5034" t="s">
        <v>7137</v>
      </c>
      <c r="E5034">
        <v>0.5474530937241313</v>
      </c>
    </row>
    <row r="5035" spans="1:5">
      <c r="A5035" t="s">
        <v>6640</v>
      </c>
      <c r="B5035" t="s">
        <v>976</v>
      </c>
      <c r="C5035" t="s">
        <v>995</v>
      </c>
      <c r="D5035" t="s">
        <v>7138</v>
      </c>
      <c r="E5035">
        <v>3.009299173733785</v>
      </c>
    </row>
    <row r="5036" spans="1:5">
      <c r="A5036" t="s">
        <v>6641</v>
      </c>
      <c r="B5036" t="s">
        <v>976</v>
      </c>
      <c r="C5036" t="s">
        <v>995</v>
      </c>
      <c r="D5036" t="s">
        <v>7139</v>
      </c>
      <c r="E5036">
        <v>1.318296415475572</v>
      </c>
    </row>
    <row r="5037" spans="1:5">
      <c r="A5037" t="s">
        <v>6642</v>
      </c>
      <c r="B5037" t="s">
        <v>976</v>
      </c>
      <c r="C5037" t="s">
        <v>995</v>
      </c>
      <c r="D5037" t="s">
        <v>7007</v>
      </c>
      <c r="E5037">
        <v>19.20563669821882</v>
      </c>
    </row>
    <row r="5038" spans="1:5">
      <c r="A5038" t="s">
        <v>6643</v>
      </c>
      <c r="B5038" t="s">
        <v>976</v>
      </c>
      <c r="C5038" t="s">
        <v>995</v>
      </c>
      <c r="D5038" t="s">
        <v>7140</v>
      </c>
      <c r="E5038">
        <v>17.24949629722924</v>
      </c>
    </row>
    <row r="5039" spans="1:5">
      <c r="A5039" t="s">
        <v>6644</v>
      </c>
      <c r="B5039" t="s">
        <v>976</v>
      </c>
      <c r="C5039" t="s">
        <v>995</v>
      </c>
      <c r="D5039" t="s">
        <v>7141</v>
      </c>
      <c r="E5039">
        <v>11.78609089357568</v>
      </c>
    </row>
    <row r="5040" spans="1:5">
      <c r="A5040" t="s">
        <v>6645</v>
      </c>
      <c r="B5040" t="s">
        <v>976</v>
      </c>
      <c r="C5040" t="s">
        <v>995</v>
      </c>
      <c r="D5040" t="s">
        <v>7142</v>
      </c>
      <c r="E5040">
        <v>11.78609089357568</v>
      </c>
    </row>
    <row r="5041" spans="1:5">
      <c r="A5041" t="s">
        <v>6481</v>
      </c>
      <c r="B5041" t="s">
        <v>976</v>
      </c>
      <c r="C5041" t="s">
        <v>995</v>
      </c>
      <c r="D5041" t="s">
        <v>996</v>
      </c>
      <c r="E5041">
        <v>359.105689</v>
      </c>
    </row>
    <row r="5042" spans="1:5">
      <c r="A5042" t="s">
        <v>6646</v>
      </c>
      <c r="B5042" t="s">
        <v>6980</v>
      </c>
      <c r="C5042" t="s">
        <v>995</v>
      </c>
      <c r="D5042" t="s">
        <v>996</v>
      </c>
      <c r="E5042">
        <v>360.781845</v>
      </c>
    </row>
    <row r="5043" spans="1:5">
      <c r="A5043" t="s">
        <v>6647</v>
      </c>
      <c r="B5043" t="s">
        <v>6980</v>
      </c>
      <c r="C5043" t="s">
        <v>995</v>
      </c>
      <c r="D5043" t="s">
        <v>7008</v>
      </c>
      <c r="E5043">
        <v>85.80974655596145</v>
      </c>
    </row>
    <row r="5044" spans="1:5">
      <c r="A5044" t="s">
        <v>6648</v>
      </c>
      <c r="B5044" t="s">
        <v>6980</v>
      </c>
      <c r="C5044" t="s">
        <v>995</v>
      </c>
      <c r="D5044" t="s">
        <v>7009</v>
      </c>
      <c r="E5044">
        <v>4.746106191550514</v>
      </c>
    </row>
    <row r="5045" spans="1:5">
      <c r="A5045" t="s">
        <v>6649</v>
      </c>
      <c r="B5045" t="s">
        <v>6980</v>
      </c>
      <c r="C5045" t="s">
        <v>995</v>
      </c>
      <c r="D5045" t="s">
        <v>7010</v>
      </c>
      <c r="E5045">
        <v>3.850114962875895</v>
      </c>
    </row>
    <row r="5046" spans="1:5">
      <c r="A5046" t="s">
        <v>6650</v>
      </c>
      <c r="B5046" t="s">
        <v>6980</v>
      </c>
      <c r="C5046" t="s">
        <v>995</v>
      </c>
      <c r="D5046" t="s">
        <v>7011</v>
      </c>
      <c r="E5046">
        <v>0.8582049585914537</v>
      </c>
    </row>
    <row r="5047" spans="1:5">
      <c r="A5047" t="s">
        <v>6651</v>
      </c>
      <c r="B5047" t="s">
        <v>6980</v>
      </c>
      <c r="C5047" t="s">
        <v>995</v>
      </c>
      <c r="D5047" t="s">
        <v>7012</v>
      </c>
      <c r="E5047">
        <v>176.0537503336552</v>
      </c>
    </row>
    <row r="5048" spans="1:5">
      <c r="A5048" t="s">
        <v>6652</v>
      </c>
      <c r="B5048" t="s">
        <v>6980</v>
      </c>
      <c r="C5048" t="s">
        <v>995</v>
      </c>
      <c r="D5048" t="s">
        <v>7013</v>
      </c>
      <c r="E5048">
        <v>0.3310057072558457</v>
      </c>
    </row>
    <row r="5049" spans="1:5">
      <c r="A5049" t="s">
        <v>6653</v>
      </c>
      <c r="B5049" t="s">
        <v>6980</v>
      </c>
      <c r="C5049" t="s">
        <v>995</v>
      </c>
      <c r="D5049" t="s">
        <v>7014</v>
      </c>
      <c r="E5049">
        <v>0.2136850810905741</v>
      </c>
    </row>
    <row r="5050" spans="1:5">
      <c r="A5050" t="s">
        <v>6654</v>
      </c>
      <c r="B5050" t="s">
        <v>6980</v>
      </c>
      <c r="C5050" t="s">
        <v>995</v>
      </c>
      <c r="D5050" t="s">
        <v>6981</v>
      </c>
      <c r="E5050">
        <v>220.5489089370817</v>
      </c>
    </row>
    <row r="5051" spans="1:5">
      <c r="A5051" t="s">
        <v>6655</v>
      </c>
      <c r="B5051" t="s">
        <v>6980</v>
      </c>
      <c r="C5051" t="s">
        <v>995</v>
      </c>
      <c r="D5051" t="s">
        <v>7015</v>
      </c>
      <c r="E5051">
        <v>176.0537503336552</v>
      </c>
    </row>
    <row r="5052" spans="1:5">
      <c r="A5052" t="s">
        <v>6656</v>
      </c>
      <c r="B5052" t="s">
        <v>6980</v>
      </c>
      <c r="C5052" t="s">
        <v>995</v>
      </c>
      <c r="D5052" t="s">
        <v>7016</v>
      </c>
      <c r="E5052">
        <v>185.1200929546664</v>
      </c>
    </row>
    <row r="5053" spans="1:5">
      <c r="A5053" t="s">
        <v>6657</v>
      </c>
      <c r="B5053" t="s">
        <v>6980</v>
      </c>
      <c r="C5053" t="s">
        <v>995</v>
      </c>
      <c r="D5053" t="s">
        <v>7017</v>
      </c>
      <c r="E5053">
        <v>184.4648282314925</v>
      </c>
    </row>
    <row r="5054" spans="1:5">
      <c r="A5054" t="s">
        <v>6658</v>
      </c>
      <c r="B5054" t="s">
        <v>6980</v>
      </c>
      <c r="C5054" t="s">
        <v>995</v>
      </c>
      <c r="D5054" t="s">
        <v>7018</v>
      </c>
      <c r="E5054">
        <v>157.5681250021837</v>
      </c>
    </row>
    <row r="5055" spans="1:5">
      <c r="A5055" t="s">
        <v>6659</v>
      </c>
      <c r="B5055" t="s">
        <v>6980</v>
      </c>
      <c r="C5055" t="s">
        <v>995</v>
      </c>
      <c r="D5055" t="s">
        <v>7019</v>
      </c>
      <c r="E5055">
        <v>2.556897336681658</v>
      </c>
    </row>
    <row r="5056" spans="1:5">
      <c r="A5056" t="s">
        <v>6660</v>
      </c>
      <c r="B5056" t="s">
        <v>6980</v>
      </c>
      <c r="C5056" t="s">
        <v>995</v>
      </c>
      <c r="D5056" t="s">
        <v>997</v>
      </c>
      <c r="E5056">
        <v>184.4648282314925</v>
      </c>
    </row>
    <row r="5057" spans="1:5">
      <c r="A5057" t="s">
        <v>6661</v>
      </c>
      <c r="B5057" t="s">
        <v>6980</v>
      </c>
      <c r="C5057" t="s">
        <v>995</v>
      </c>
      <c r="D5057" t="s">
        <v>7020</v>
      </c>
      <c r="E5057">
        <v>838.1289942642887</v>
      </c>
    </row>
    <row r="5058" spans="1:5">
      <c r="A5058" t="s">
        <v>6662</v>
      </c>
      <c r="B5058" t="s">
        <v>6980</v>
      </c>
      <c r="C5058" t="s">
        <v>995</v>
      </c>
      <c r="D5058" t="s">
        <v>7021</v>
      </c>
      <c r="E5058">
        <v>0.105197315060658</v>
      </c>
    </row>
    <row r="5059" spans="1:5">
      <c r="A5059" t="s">
        <v>6663</v>
      </c>
      <c r="B5059" t="s">
        <v>6980</v>
      </c>
      <c r="C5059" t="s">
        <v>995</v>
      </c>
      <c r="D5059" t="s">
        <v>7022</v>
      </c>
      <c r="E5059">
        <v>315.1362500043674</v>
      </c>
    </row>
    <row r="5060" spans="1:5">
      <c r="A5060" t="s">
        <v>6664</v>
      </c>
      <c r="B5060" t="s">
        <v>6980</v>
      </c>
      <c r="C5060" t="s">
        <v>995</v>
      </c>
      <c r="D5060" t="s">
        <v>7023</v>
      </c>
      <c r="E5060">
        <v>244.2355644643742</v>
      </c>
    </row>
    <row r="5061" spans="1:5">
      <c r="A5061" t="s">
        <v>6665</v>
      </c>
      <c r="B5061" t="s">
        <v>6980</v>
      </c>
      <c r="C5061" t="s">
        <v>995</v>
      </c>
      <c r="D5061" t="s">
        <v>7024</v>
      </c>
      <c r="E5061">
        <v>29.96464484004528</v>
      </c>
    </row>
    <row r="5062" spans="1:5">
      <c r="A5062" t="s">
        <v>6666</v>
      </c>
      <c r="B5062" t="s">
        <v>6980</v>
      </c>
      <c r="C5062" t="s">
        <v>995</v>
      </c>
      <c r="D5062" t="s">
        <v>6982</v>
      </c>
      <c r="E5062">
        <v>61.86781348522119</v>
      </c>
    </row>
    <row r="5063" spans="1:5">
      <c r="A5063" t="s">
        <v>6667</v>
      </c>
      <c r="B5063" t="s">
        <v>6980</v>
      </c>
      <c r="C5063" t="s">
        <v>995</v>
      </c>
      <c r="D5063" t="s">
        <v>7025</v>
      </c>
      <c r="E5063">
        <v>315.1362500043674</v>
      </c>
    </row>
    <row r="5064" spans="1:5">
      <c r="A5064" t="s">
        <v>6668</v>
      </c>
      <c r="B5064" t="s">
        <v>6980</v>
      </c>
      <c r="C5064" t="s">
        <v>995</v>
      </c>
      <c r="D5064" t="s">
        <v>7026</v>
      </c>
      <c r="E5064">
        <v>3.270751008567061</v>
      </c>
    </row>
    <row r="5065" spans="1:5">
      <c r="A5065" t="s">
        <v>6669</v>
      </c>
      <c r="B5065" t="s">
        <v>6980</v>
      </c>
      <c r="C5065" t="s">
        <v>995</v>
      </c>
      <c r="D5065" t="s">
        <v>7027</v>
      </c>
      <c r="E5065">
        <v>22.28631717434318</v>
      </c>
    </row>
    <row r="5066" spans="1:5">
      <c r="A5066" t="s">
        <v>6670</v>
      </c>
      <c r="B5066" t="s">
        <v>6980</v>
      </c>
      <c r="C5066" t="s">
        <v>995</v>
      </c>
      <c r="D5066" t="s">
        <v>7028</v>
      </c>
      <c r="E5066">
        <v>109.3156745901289</v>
      </c>
    </row>
    <row r="5067" spans="1:5">
      <c r="A5067" t="s">
        <v>6671</v>
      </c>
      <c r="B5067" t="s">
        <v>6980</v>
      </c>
      <c r="C5067" t="s">
        <v>995</v>
      </c>
      <c r="D5067" t="s">
        <v>7029</v>
      </c>
      <c r="E5067">
        <v>157.5681250021837</v>
      </c>
    </row>
    <row r="5068" spans="1:5">
      <c r="A5068" t="s">
        <v>6672</v>
      </c>
      <c r="B5068" t="s">
        <v>6980</v>
      </c>
      <c r="C5068" t="s">
        <v>995</v>
      </c>
      <c r="D5068" t="s">
        <v>6983</v>
      </c>
      <c r="E5068">
        <v>224.5806455026521</v>
      </c>
    </row>
    <row r="5069" spans="1:5">
      <c r="A5069" t="s">
        <v>6673</v>
      </c>
      <c r="B5069" t="s">
        <v>6980</v>
      </c>
      <c r="C5069" t="s">
        <v>995</v>
      </c>
      <c r="D5069" t="s">
        <v>7030</v>
      </c>
      <c r="E5069">
        <v>0.1361298016489925</v>
      </c>
    </row>
    <row r="5070" spans="1:5">
      <c r="A5070" t="s">
        <v>6674</v>
      </c>
      <c r="B5070" t="s">
        <v>6980</v>
      </c>
      <c r="C5070" t="s">
        <v>995</v>
      </c>
      <c r="D5070" t="s">
        <v>6984</v>
      </c>
      <c r="E5070">
        <v>389.9113415008451</v>
      </c>
    </row>
    <row r="5071" spans="1:5">
      <c r="A5071" t="s">
        <v>6675</v>
      </c>
      <c r="B5071" t="s">
        <v>6980</v>
      </c>
      <c r="C5071" t="s">
        <v>995</v>
      </c>
      <c r="D5071" t="s">
        <v>7031</v>
      </c>
      <c r="E5071">
        <v>13452.97356253262</v>
      </c>
    </row>
    <row r="5072" spans="1:5">
      <c r="A5072" t="s">
        <v>6676</v>
      </c>
      <c r="B5072" t="s">
        <v>6980</v>
      </c>
      <c r="C5072" t="s">
        <v>995</v>
      </c>
      <c r="D5072" t="s">
        <v>7032</v>
      </c>
      <c r="E5072">
        <v>0.3403544508860142</v>
      </c>
    </row>
    <row r="5073" spans="1:5">
      <c r="A5073" t="s">
        <v>6677</v>
      </c>
      <c r="B5073" t="s">
        <v>6980</v>
      </c>
      <c r="C5073" t="s">
        <v>995</v>
      </c>
      <c r="D5073" t="s">
        <v>7033</v>
      </c>
      <c r="E5073">
        <v>46.53911088023844</v>
      </c>
    </row>
    <row r="5074" spans="1:5">
      <c r="A5074" t="s">
        <v>6678</v>
      </c>
      <c r="B5074" t="s">
        <v>6980</v>
      </c>
      <c r="C5074" t="s">
        <v>995</v>
      </c>
      <c r="D5074" t="s">
        <v>6985</v>
      </c>
      <c r="E5074">
        <v>46.49109189462794</v>
      </c>
    </row>
    <row r="5075" spans="1:5">
      <c r="A5075" t="s">
        <v>6679</v>
      </c>
      <c r="B5075" t="s">
        <v>6980</v>
      </c>
      <c r="C5075" t="s">
        <v>995</v>
      </c>
      <c r="D5075" t="s">
        <v>7034</v>
      </c>
      <c r="E5075">
        <v>0.09775143746962814</v>
      </c>
    </row>
    <row r="5076" spans="1:5">
      <c r="A5076" t="s">
        <v>6680</v>
      </c>
      <c r="B5076" t="s">
        <v>6980</v>
      </c>
      <c r="C5076" t="s">
        <v>995</v>
      </c>
      <c r="D5076" t="s">
        <v>7035</v>
      </c>
      <c r="E5076">
        <v>0.6934575743545499</v>
      </c>
    </row>
    <row r="5077" spans="1:5">
      <c r="A5077" t="s">
        <v>6681</v>
      </c>
      <c r="B5077" t="s">
        <v>6980</v>
      </c>
      <c r="C5077" t="s">
        <v>995</v>
      </c>
      <c r="D5077" t="s">
        <v>7036</v>
      </c>
      <c r="E5077">
        <v>13.13067756140711</v>
      </c>
    </row>
    <row r="5078" spans="1:5">
      <c r="A5078" t="s">
        <v>6682</v>
      </c>
      <c r="B5078" t="s">
        <v>6980</v>
      </c>
      <c r="C5078" t="s">
        <v>995</v>
      </c>
      <c r="D5078" t="s">
        <v>7037</v>
      </c>
      <c r="E5078">
        <v>3.271952523466195</v>
      </c>
    </row>
    <row r="5079" spans="1:5">
      <c r="A5079" t="s">
        <v>6683</v>
      </c>
      <c r="B5079" t="s">
        <v>6980</v>
      </c>
      <c r="C5079" t="s">
        <v>995</v>
      </c>
      <c r="D5079" t="s">
        <v>6986</v>
      </c>
      <c r="E5079">
        <v>14.90841894087626</v>
      </c>
    </row>
    <row r="5080" spans="1:5">
      <c r="A5080" t="s">
        <v>6684</v>
      </c>
      <c r="B5080" t="s">
        <v>6980</v>
      </c>
      <c r="C5080" t="s">
        <v>995</v>
      </c>
      <c r="D5080" t="s">
        <v>7038</v>
      </c>
      <c r="E5080">
        <v>1.77320779006432</v>
      </c>
    </row>
    <row r="5081" spans="1:5">
      <c r="A5081" t="s">
        <v>6685</v>
      </c>
      <c r="B5081" t="s">
        <v>6980</v>
      </c>
      <c r="C5081" t="s">
        <v>995</v>
      </c>
      <c r="D5081" t="s">
        <v>6987</v>
      </c>
      <c r="E5081">
        <v>48.33800213324944</v>
      </c>
    </row>
    <row r="5082" spans="1:5">
      <c r="A5082" t="s">
        <v>6686</v>
      </c>
      <c r="B5082" t="s">
        <v>6980</v>
      </c>
      <c r="C5082" t="s">
        <v>995</v>
      </c>
      <c r="D5082" t="s">
        <v>7039</v>
      </c>
      <c r="E5082">
        <v>5.400663147386739</v>
      </c>
    </row>
    <row r="5083" spans="1:5">
      <c r="A5083" t="s">
        <v>6687</v>
      </c>
      <c r="B5083" t="s">
        <v>6980</v>
      </c>
      <c r="C5083" t="s">
        <v>995</v>
      </c>
      <c r="D5083" t="s">
        <v>7040</v>
      </c>
      <c r="E5083">
        <v>2.366138286689982</v>
      </c>
    </row>
    <row r="5084" spans="1:5">
      <c r="A5084" t="s">
        <v>6688</v>
      </c>
      <c r="B5084" t="s">
        <v>6980</v>
      </c>
      <c r="C5084" t="s">
        <v>995</v>
      </c>
      <c r="D5084" t="s">
        <v>7041</v>
      </c>
      <c r="E5084">
        <v>6.237010961233989</v>
      </c>
    </row>
    <row r="5085" spans="1:5">
      <c r="A5085" t="s">
        <v>6689</v>
      </c>
      <c r="B5085" t="s">
        <v>6980</v>
      </c>
      <c r="C5085" t="s">
        <v>995</v>
      </c>
      <c r="D5085" t="s">
        <v>7042</v>
      </c>
      <c r="E5085">
        <v>21.00908455702754</v>
      </c>
    </row>
    <row r="5086" spans="1:5">
      <c r="A5086" t="s">
        <v>6690</v>
      </c>
      <c r="B5086" t="s">
        <v>6980</v>
      </c>
      <c r="C5086" t="s">
        <v>995</v>
      </c>
      <c r="D5086" t="s">
        <v>7043</v>
      </c>
      <c r="E5086">
        <v>1.930595758480655</v>
      </c>
    </row>
    <row r="5087" spans="1:5">
      <c r="A5087" t="s">
        <v>6691</v>
      </c>
      <c r="B5087" t="s">
        <v>6980</v>
      </c>
      <c r="C5087" t="s">
        <v>995</v>
      </c>
      <c r="D5087" t="s">
        <v>7044</v>
      </c>
      <c r="E5087">
        <v>141.1436674631827</v>
      </c>
    </row>
    <row r="5088" spans="1:5">
      <c r="A5088" t="s">
        <v>6692</v>
      </c>
      <c r="B5088" t="s">
        <v>6980</v>
      </c>
      <c r="C5088" t="s">
        <v>995</v>
      </c>
      <c r="D5088" t="s">
        <v>7045</v>
      </c>
      <c r="E5088">
        <v>425.0533051678149</v>
      </c>
    </row>
    <row r="5089" spans="1:5">
      <c r="A5089" t="s">
        <v>6693</v>
      </c>
      <c r="B5089" t="s">
        <v>6980</v>
      </c>
      <c r="C5089" t="s">
        <v>995</v>
      </c>
      <c r="D5089" t="s">
        <v>7046</v>
      </c>
      <c r="E5089">
        <v>48.33802156241492</v>
      </c>
    </row>
    <row r="5090" spans="1:5">
      <c r="A5090" t="s">
        <v>6694</v>
      </c>
      <c r="B5090" t="s">
        <v>6980</v>
      </c>
      <c r="C5090" t="s">
        <v>995</v>
      </c>
      <c r="D5090" t="s">
        <v>6988</v>
      </c>
      <c r="E5090">
        <v>425.0528043940042</v>
      </c>
    </row>
    <row r="5091" spans="1:5">
      <c r="A5091" t="s">
        <v>6695</v>
      </c>
      <c r="B5091" t="s">
        <v>6980</v>
      </c>
      <c r="C5091" t="s">
        <v>995</v>
      </c>
      <c r="D5091" t="s">
        <v>7047</v>
      </c>
      <c r="E5091">
        <v>119.6334962128522</v>
      </c>
    </row>
    <row r="5092" spans="1:5">
      <c r="A5092" t="s">
        <v>6696</v>
      </c>
      <c r="B5092" t="s">
        <v>6980</v>
      </c>
      <c r="C5092" t="s">
        <v>995</v>
      </c>
      <c r="D5092" t="s">
        <v>7048</v>
      </c>
      <c r="E5092">
        <v>425.0533051678149</v>
      </c>
    </row>
    <row r="5093" spans="1:5">
      <c r="A5093" t="s">
        <v>6697</v>
      </c>
      <c r="B5093" t="s">
        <v>6980</v>
      </c>
      <c r="C5093" t="s">
        <v>995</v>
      </c>
      <c r="D5093" t="s">
        <v>7049</v>
      </c>
      <c r="E5093">
        <v>27.264604055028</v>
      </c>
    </row>
    <row r="5094" spans="1:5">
      <c r="A5094" t="s">
        <v>6698</v>
      </c>
      <c r="B5094" t="s">
        <v>6980</v>
      </c>
      <c r="C5094" t="s">
        <v>995</v>
      </c>
      <c r="D5094" t="s">
        <v>7050</v>
      </c>
      <c r="E5094">
        <v>425.0533051678149</v>
      </c>
    </row>
    <row r="5095" spans="1:5">
      <c r="A5095" t="s">
        <v>6699</v>
      </c>
      <c r="B5095" t="s">
        <v>6980</v>
      </c>
      <c r="C5095" t="s">
        <v>995</v>
      </c>
      <c r="D5095" t="s">
        <v>7051</v>
      </c>
      <c r="E5095">
        <v>4.235760050527364</v>
      </c>
    </row>
    <row r="5096" spans="1:5">
      <c r="A5096" t="s">
        <v>6700</v>
      </c>
      <c r="B5096" t="s">
        <v>6980</v>
      </c>
      <c r="C5096" t="s">
        <v>995</v>
      </c>
      <c r="D5096" t="s">
        <v>7052</v>
      </c>
      <c r="E5096">
        <v>0.03586955764015815</v>
      </c>
    </row>
    <row r="5097" spans="1:5">
      <c r="A5097" t="s">
        <v>6701</v>
      </c>
      <c r="B5097" t="s">
        <v>6980</v>
      </c>
      <c r="C5097" t="s">
        <v>995</v>
      </c>
      <c r="D5097" t="s">
        <v>7053</v>
      </c>
      <c r="E5097">
        <v>41.28967192400211</v>
      </c>
    </row>
    <row r="5098" spans="1:5">
      <c r="A5098" t="s">
        <v>6702</v>
      </c>
      <c r="B5098" t="s">
        <v>6980</v>
      </c>
      <c r="C5098" t="s">
        <v>995</v>
      </c>
      <c r="D5098" t="s">
        <v>7054</v>
      </c>
      <c r="E5098">
        <v>1.504592543196918</v>
      </c>
    </row>
    <row r="5099" spans="1:5">
      <c r="A5099" t="s">
        <v>6703</v>
      </c>
      <c r="B5099" t="s">
        <v>6980</v>
      </c>
      <c r="C5099" t="s">
        <v>995</v>
      </c>
      <c r="D5099" t="s">
        <v>6989</v>
      </c>
      <c r="E5099">
        <v>40.20447422092667</v>
      </c>
    </row>
    <row r="5100" spans="1:5">
      <c r="A5100" t="s">
        <v>6704</v>
      </c>
      <c r="B5100" t="s">
        <v>6980</v>
      </c>
      <c r="C5100" t="s">
        <v>995</v>
      </c>
      <c r="D5100" t="s">
        <v>7055</v>
      </c>
      <c r="E5100">
        <v>11.76850694102846</v>
      </c>
    </row>
    <row r="5101" spans="1:5">
      <c r="A5101" t="s">
        <v>6705</v>
      </c>
      <c r="B5101" t="s">
        <v>6980</v>
      </c>
      <c r="C5101" t="s">
        <v>995</v>
      </c>
      <c r="D5101" t="s">
        <v>7056</v>
      </c>
      <c r="E5101">
        <v>47.8839796934103</v>
      </c>
    </row>
    <row r="5102" spans="1:5">
      <c r="A5102" t="s">
        <v>6706</v>
      </c>
      <c r="B5102" t="s">
        <v>6980</v>
      </c>
      <c r="C5102" t="s">
        <v>995</v>
      </c>
      <c r="D5102" t="s">
        <v>7057</v>
      </c>
      <c r="E5102">
        <v>2.408371601867329</v>
      </c>
    </row>
    <row r="5103" spans="1:5">
      <c r="A5103" t="s">
        <v>6707</v>
      </c>
      <c r="B5103" t="s">
        <v>6980</v>
      </c>
      <c r="C5103" t="s">
        <v>995</v>
      </c>
      <c r="D5103" t="s">
        <v>6990</v>
      </c>
      <c r="E5103">
        <v>0.01751427563038487</v>
      </c>
    </row>
    <row r="5104" spans="1:5">
      <c r="A5104" t="s">
        <v>6708</v>
      </c>
      <c r="B5104" t="s">
        <v>6980</v>
      </c>
      <c r="C5104" t="s">
        <v>995</v>
      </c>
      <c r="D5104" t="s">
        <v>6991</v>
      </c>
      <c r="E5104">
        <v>104.5512950175671</v>
      </c>
    </row>
    <row r="5105" spans="1:5">
      <c r="A5105" t="s">
        <v>6709</v>
      </c>
      <c r="B5105" t="s">
        <v>6980</v>
      </c>
      <c r="C5105" t="s">
        <v>995</v>
      </c>
      <c r="D5105" t="s">
        <v>7058</v>
      </c>
      <c r="E5105">
        <v>425.0533051678149</v>
      </c>
    </row>
    <row r="5106" spans="1:5">
      <c r="A5106" t="s">
        <v>6710</v>
      </c>
      <c r="B5106" t="s">
        <v>6980</v>
      </c>
      <c r="C5106" t="s">
        <v>995</v>
      </c>
      <c r="D5106" t="s">
        <v>6992</v>
      </c>
      <c r="E5106">
        <v>3.270747005586052</v>
      </c>
    </row>
    <row r="5107" spans="1:5">
      <c r="A5107" t="s">
        <v>6711</v>
      </c>
      <c r="B5107" t="s">
        <v>6980</v>
      </c>
      <c r="C5107" t="s">
        <v>995</v>
      </c>
      <c r="D5107" t="s">
        <v>7059</v>
      </c>
      <c r="E5107">
        <v>0.2405301005897564</v>
      </c>
    </row>
    <row r="5108" spans="1:5">
      <c r="A5108" t="s">
        <v>6712</v>
      </c>
      <c r="B5108" t="s">
        <v>6980</v>
      </c>
      <c r="C5108" t="s">
        <v>995</v>
      </c>
      <c r="D5108" t="s">
        <v>7060</v>
      </c>
      <c r="E5108">
        <v>0.0002292353635175072</v>
      </c>
    </row>
    <row r="5109" spans="1:5">
      <c r="A5109" t="s">
        <v>6713</v>
      </c>
      <c r="B5109" t="s">
        <v>6980</v>
      </c>
      <c r="C5109" t="s">
        <v>995</v>
      </c>
      <c r="D5109" t="s">
        <v>6993</v>
      </c>
      <c r="E5109">
        <v>2.519379985976794</v>
      </c>
    </row>
    <row r="5110" spans="1:5">
      <c r="A5110" t="s">
        <v>6714</v>
      </c>
      <c r="B5110" t="s">
        <v>6980</v>
      </c>
      <c r="C5110" t="s">
        <v>995</v>
      </c>
      <c r="D5110" t="s">
        <v>7061</v>
      </c>
      <c r="E5110">
        <v>425.0533051678149</v>
      </c>
    </row>
    <row r="5111" spans="1:5">
      <c r="A5111" t="s">
        <v>6715</v>
      </c>
      <c r="B5111" t="s">
        <v>6980</v>
      </c>
      <c r="C5111" t="s">
        <v>995</v>
      </c>
      <c r="D5111" t="s">
        <v>7062</v>
      </c>
      <c r="E5111">
        <v>1.990516592524468</v>
      </c>
    </row>
    <row r="5112" spans="1:5">
      <c r="A5112" t="s">
        <v>6716</v>
      </c>
      <c r="B5112" t="s">
        <v>6980</v>
      </c>
      <c r="C5112" t="s">
        <v>995</v>
      </c>
      <c r="D5112" t="s">
        <v>7063</v>
      </c>
      <c r="E5112">
        <v>444.4801181233321</v>
      </c>
    </row>
    <row r="5113" spans="1:5">
      <c r="A5113" t="s">
        <v>6717</v>
      </c>
      <c r="B5113" t="s">
        <v>6980</v>
      </c>
      <c r="C5113" t="s">
        <v>995</v>
      </c>
      <c r="D5113" t="s">
        <v>6994</v>
      </c>
      <c r="E5113">
        <v>1.941189140732055</v>
      </c>
    </row>
    <row r="5114" spans="1:5">
      <c r="A5114" t="s">
        <v>6718</v>
      </c>
      <c r="B5114" t="s">
        <v>6980</v>
      </c>
      <c r="C5114" t="s">
        <v>995</v>
      </c>
      <c r="D5114" t="s">
        <v>7064</v>
      </c>
      <c r="E5114">
        <v>2.435511672645413</v>
      </c>
    </row>
    <row r="5115" spans="1:5">
      <c r="A5115" t="s">
        <v>6719</v>
      </c>
      <c r="B5115" t="s">
        <v>6980</v>
      </c>
      <c r="C5115" t="s">
        <v>995</v>
      </c>
      <c r="D5115" t="s">
        <v>7065</v>
      </c>
      <c r="E5115">
        <v>3.599720195473445</v>
      </c>
    </row>
    <row r="5116" spans="1:5">
      <c r="A5116" t="s">
        <v>6720</v>
      </c>
      <c r="B5116" t="s">
        <v>6980</v>
      </c>
      <c r="C5116" t="s">
        <v>995</v>
      </c>
      <c r="D5116" t="s">
        <v>7066</v>
      </c>
      <c r="E5116">
        <v>0.07778845807255957</v>
      </c>
    </row>
    <row r="5117" spans="1:5">
      <c r="A5117" t="s">
        <v>6721</v>
      </c>
      <c r="B5117" t="s">
        <v>6980</v>
      </c>
      <c r="C5117" t="s">
        <v>995</v>
      </c>
      <c r="D5117" t="s">
        <v>7067</v>
      </c>
      <c r="E5117">
        <v>220.5489089370817</v>
      </c>
    </row>
    <row r="5118" spans="1:5">
      <c r="A5118" t="s">
        <v>6722</v>
      </c>
      <c r="B5118" t="s">
        <v>6980</v>
      </c>
      <c r="C5118" t="s">
        <v>995</v>
      </c>
      <c r="D5118" t="s">
        <v>7068</v>
      </c>
      <c r="E5118">
        <v>0.7333445027646629</v>
      </c>
    </row>
    <row r="5119" spans="1:5">
      <c r="A5119" t="s">
        <v>6723</v>
      </c>
      <c r="B5119" t="s">
        <v>6980</v>
      </c>
      <c r="C5119" t="s">
        <v>995</v>
      </c>
      <c r="D5119" t="s">
        <v>6995</v>
      </c>
      <c r="E5119">
        <v>0.2127230883434037</v>
      </c>
    </row>
    <row r="5120" spans="1:5">
      <c r="A5120" t="s">
        <v>6724</v>
      </c>
      <c r="B5120" t="s">
        <v>6980</v>
      </c>
      <c r="C5120" t="s">
        <v>995</v>
      </c>
      <c r="D5120" t="s">
        <v>7069</v>
      </c>
      <c r="E5120">
        <v>1020.928517258748</v>
      </c>
    </row>
    <row r="5121" spans="1:5">
      <c r="A5121" t="s">
        <v>6725</v>
      </c>
      <c r="B5121" t="s">
        <v>6980</v>
      </c>
      <c r="C5121" t="s">
        <v>995</v>
      </c>
      <c r="D5121" t="s">
        <v>7070</v>
      </c>
      <c r="E5121">
        <v>378.1637642604682</v>
      </c>
    </row>
    <row r="5122" spans="1:5">
      <c r="A5122" t="s">
        <v>6726</v>
      </c>
      <c r="B5122" t="s">
        <v>6980</v>
      </c>
      <c r="C5122" t="s">
        <v>995</v>
      </c>
      <c r="D5122" t="s">
        <v>7071</v>
      </c>
      <c r="E5122">
        <v>0.6682739420515655</v>
      </c>
    </row>
    <row r="5123" spans="1:5">
      <c r="A5123" t="s">
        <v>6727</v>
      </c>
      <c r="B5123" t="s">
        <v>6980</v>
      </c>
      <c r="C5123" t="s">
        <v>995</v>
      </c>
      <c r="D5123" t="s">
        <v>7072</v>
      </c>
      <c r="E5123">
        <v>0.01411865426739933</v>
      </c>
    </row>
    <row r="5124" spans="1:5">
      <c r="A5124" t="s">
        <v>6728</v>
      </c>
      <c r="B5124" t="s">
        <v>6980</v>
      </c>
      <c r="C5124" t="s">
        <v>995</v>
      </c>
      <c r="D5124" t="s">
        <v>7073</v>
      </c>
      <c r="E5124">
        <v>0.003521075548871086</v>
      </c>
    </row>
    <row r="5125" spans="1:5">
      <c r="A5125" t="s">
        <v>6729</v>
      </c>
      <c r="B5125" t="s">
        <v>6980</v>
      </c>
      <c r="C5125" t="s">
        <v>995</v>
      </c>
      <c r="D5125" t="s">
        <v>7074</v>
      </c>
      <c r="E5125">
        <v>0.9379169779468114</v>
      </c>
    </row>
    <row r="5126" spans="1:5">
      <c r="A5126" t="s">
        <v>6730</v>
      </c>
      <c r="B5126" t="s">
        <v>6980</v>
      </c>
      <c r="C5126" t="s">
        <v>995</v>
      </c>
      <c r="D5126" t="s">
        <v>7075</v>
      </c>
      <c r="E5126">
        <v>1.740570424244286</v>
      </c>
    </row>
    <row r="5127" spans="1:5">
      <c r="A5127" t="s">
        <v>6731</v>
      </c>
      <c r="B5127" t="s">
        <v>6980</v>
      </c>
      <c r="C5127" t="s">
        <v>995</v>
      </c>
      <c r="D5127" t="s">
        <v>7076</v>
      </c>
      <c r="E5127">
        <v>19.21504226856279</v>
      </c>
    </row>
    <row r="5128" spans="1:5">
      <c r="A5128" t="s">
        <v>6732</v>
      </c>
      <c r="B5128" t="s">
        <v>6980</v>
      </c>
      <c r="C5128" t="s">
        <v>995</v>
      </c>
      <c r="D5128" t="s">
        <v>7077</v>
      </c>
      <c r="E5128">
        <v>49.23292726860861</v>
      </c>
    </row>
    <row r="5129" spans="1:5">
      <c r="A5129" t="s">
        <v>6733</v>
      </c>
      <c r="B5129" t="s">
        <v>6980</v>
      </c>
      <c r="C5129" t="s">
        <v>995</v>
      </c>
      <c r="D5129" t="s">
        <v>7078</v>
      </c>
      <c r="E5129">
        <v>33.77479103604891</v>
      </c>
    </row>
    <row r="5130" spans="1:5">
      <c r="A5130" t="s">
        <v>6734</v>
      </c>
      <c r="B5130" t="s">
        <v>6980</v>
      </c>
      <c r="C5130" t="s">
        <v>995</v>
      </c>
      <c r="D5130" t="s">
        <v>7079</v>
      </c>
      <c r="E5130">
        <v>17.95364903885916</v>
      </c>
    </row>
    <row r="5131" spans="1:5">
      <c r="A5131" t="s">
        <v>6735</v>
      </c>
      <c r="B5131" t="s">
        <v>6980</v>
      </c>
      <c r="C5131" t="s">
        <v>995</v>
      </c>
      <c r="D5131" t="s">
        <v>7080</v>
      </c>
      <c r="E5131">
        <v>0.07410210509873207</v>
      </c>
    </row>
    <row r="5132" spans="1:5">
      <c r="A5132" t="s">
        <v>6736</v>
      </c>
      <c r="B5132" t="s">
        <v>6980</v>
      </c>
      <c r="C5132" t="s">
        <v>995</v>
      </c>
      <c r="D5132" t="s">
        <v>7081</v>
      </c>
      <c r="E5132">
        <v>5.859321223243577</v>
      </c>
    </row>
    <row r="5133" spans="1:5">
      <c r="A5133" t="s">
        <v>6737</v>
      </c>
      <c r="B5133" t="s">
        <v>6980</v>
      </c>
      <c r="C5133" t="s">
        <v>995</v>
      </c>
      <c r="D5133" t="s">
        <v>7082</v>
      </c>
      <c r="E5133">
        <v>0.1497259283139054</v>
      </c>
    </row>
    <row r="5134" spans="1:5">
      <c r="A5134" t="s">
        <v>6738</v>
      </c>
      <c r="B5134" t="s">
        <v>6980</v>
      </c>
      <c r="C5134" t="s">
        <v>995</v>
      </c>
      <c r="D5134" t="s">
        <v>7083</v>
      </c>
      <c r="E5134">
        <v>0.08746339900139977</v>
      </c>
    </row>
    <row r="5135" spans="1:5">
      <c r="A5135" t="s">
        <v>6739</v>
      </c>
      <c r="B5135" t="s">
        <v>6980</v>
      </c>
      <c r="C5135" t="s">
        <v>995</v>
      </c>
      <c r="D5135" t="s">
        <v>7084</v>
      </c>
      <c r="E5135">
        <v>39.02212691893232</v>
      </c>
    </row>
    <row r="5136" spans="1:5">
      <c r="A5136" t="s">
        <v>6740</v>
      </c>
      <c r="B5136" t="s">
        <v>6980</v>
      </c>
      <c r="C5136" t="s">
        <v>995</v>
      </c>
      <c r="D5136" t="s">
        <v>7085</v>
      </c>
      <c r="E5136">
        <v>7.843328264696953</v>
      </c>
    </row>
    <row r="5137" spans="1:5">
      <c r="A5137" t="s">
        <v>6741</v>
      </c>
      <c r="B5137" t="s">
        <v>6980</v>
      </c>
      <c r="C5137" t="s">
        <v>995</v>
      </c>
      <c r="D5137" t="s">
        <v>7086</v>
      </c>
      <c r="E5137">
        <v>6.700867046306231</v>
      </c>
    </row>
    <row r="5138" spans="1:5">
      <c r="A5138" t="s">
        <v>6742</v>
      </c>
      <c r="B5138" t="s">
        <v>6980</v>
      </c>
      <c r="C5138" t="s">
        <v>995</v>
      </c>
      <c r="D5138" t="s">
        <v>7087</v>
      </c>
      <c r="E5138">
        <v>20.35693718982039</v>
      </c>
    </row>
    <row r="5139" spans="1:5">
      <c r="A5139" t="s">
        <v>6743</v>
      </c>
      <c r="B5139" t="s">
        <v>6980</v>
      </c>
      <c r="C5139" t="s">
        <v>995</v>
      </c>
      <c r="D5139" t="s">
        <v>7088</v>
      </c>
      <c r="E5139">
        <v>0.180428583087505</v>
      </c>
    </row>
    <row r="5140" spans="1:5">
      <c r="A5140" t="s">
        <v>6744</v>
      </c>
      <c r="B5140" t="s">
        <v>6980</v>
      </c>
      <c r="C5140" t="s">
        <v>995</v>
      </c>
      <c r="D5140" t="s">
        <v>6996</v>
      </c>
      <c r="E5140">
        <v>18.08707907950584</v>
      </c>
    </row>
    <row r="5141" spans="1:5">
      <c r="A5141" t="s">
        <v>6745</v>
      </c>
      <c r="B5141" t="s">
        <v>6980</v>
      </c>
      <c r="C5141" t="s">
        <v>995</v>
      </c>
      <c r="D5141" t="s">
        <v>6997</v>
      </c>
      <c r="E5141">
        <v>77.35179514292899</v>
      </c>
    </row>
    <row r="5142" spans="1:5">
      <c r="A5142" t="s">
        <v>6746</v>
      </c>
      <c r="B5142" t="s">
        <v>6980</v>
      </c>
      <c r="C5142" t="s">
        <v>995</v>
      </c>
      <c r="D5142" t="s">
        <v>7089</v>
      </c>
      <c r="E5142">
        <v>4.935509292008383</v>
      </c>
    </row>
    <row r="5143" spans="1:5">
      <c r="A5143" t="s">
        <v>6747</v>
      </c>
      <c r="B5143" t="s">
        <v>6980</v>
      </c>
      <c r="C5143" t="s">
        <v>995</v>
      </c>
      <c r="D5143" t="s">
        <v>7090</v>
      </c>
      <c r="E5143">
        <v>19.21504226856279</v>
      </c>
    </row>
    <row r="5144" spans="1:5">
      <c r="A5144" t="s">
        <v>6748</v>
      </c>
      <c r="B5144" t="s">
        <v>6980</v>
      </c>
      <c r="C5144" t="s">
        <v>995</v>
      </c>
      <c r="D5144" t="s">
        <v>7091</v>
      </c>
      <c r="E5144">
        <v>0.2301923439183587</v>
      </c>
    </row>
    <row r="5145" spans="1:5">
      <c r="A5145" t="s">
        <v>6749</v>
      </c>
      <c r="B5145" t="s">
        <v>6980</v>
      </c>
      <c r="C5145" t="s">
        <v>995</v>
      </c>
      <c r="D5145" t="s">
        <v>7092</v>
      </c>
      <c r="E5145">
        <v>8.564051624080362</v>
      </c>
    </row>
    <row r="5146" spans="1:5">
      <c r="A5146" t="s">
        <v>6750</v>
      </c>
      <c r="B5146" t="s">
        <v>6980</v>
      </c>
      <c r="C5146" t="s">
        <v>995</v>
      </c>
      <c r="D5146" t="s">
        <v>6998</v>
      </c>
      <c r="E5146">
        <v>32.60838789954629</v>
      </c>
    </row>
    <row r="5147" spans="1:5">
      <c r="A5147" t="s">
        <v>6751</v>
      </c>
      <c r="B5147" t="s">
        <v>6980</v>
      </c>
      <c r="C5147" t="s">
        <v>995</v>
      </c>
      <c r="D5147" t="s">
        <v>7093</v>
      </c>
      <c r="E5147">
        <v>2.044219387304041</v>
      </c>
    </row>
    <row r="5148" spans="1:5">
      <c r="A5148" t="s">
        <v>6752</v>
      </c>
      <c r="B5148" t="s">
        <v>6980</v>
      </c>
      <c r="C5148" t="s">
        <v>995</v>
      </c>
      <c r="D5148" t="s">
        <v>6999</v>
      </c>
      <c r="E5148">
        <v>184.1775202271092</v>
      </c>
    </row>
    <row r="5149" spans="1:5">
      <c r="A5149" t="s">
        <v>6753</v>
      </c>
      <c r="B5149" t="s">
        <v>6980</v>
      </c>
      <c r="C5149" t="s">
        <v>995</v>
      </c>
      <c r="D5149" t="s">
        <v>7094</v>
      </c>
      <c r="E5149">
        <v>819.6066803123203</v>
      </c>
    </row>
    <row r="5150" spans="1:5">
      <c r="A5150" t="s">
        <v>6754</v>
      </c>
      <c r="B5150" t="s">
        <v>6980</v>
      </c>
      <c r="C5150" t="s">
        <v>995</v>
      </c>
      <c r="D5150" t="s">
        <v>7095</v>
      </c>
      <c r="E5150">
        <v>315.1362500043674</v>
      </c>
    </row>
    <row r="5151" spans="1:5">
      <c r="A5151" t="s">
        <v>6755</v>
      </c>
      <c r="B5151" t="s">
        <v>6980</v>
      </c>
      <c r="C5151" t="s">
        <v>995</v>
      </c>
      <c r="D5151" t="s">
        <v>7096</v>
      </c>
      <c r="E5151">
        <v>92.9351667314515</v>
      </c>
    </row>
    <row r="5152" spans="1:5">
      <c r="A5152" t="s">
        <v>6756</v>
      </c>
      <c r="B5152" t="s">
        <v>6980</v>
      </c>
      <c r="C5152" t="s">
        <v>995</v>
      </c>
      <c r="D5152" t="s">
        <v>7097</v>
      </c>
      <c r="E5152">
        <v>70.99708598183697</v>
      </c>
    </row>
    <row r="5153" spans="1:5">
      <c r="A5153" t="s">
        <v>6757</v>
      </c>
      <c r="B5153" t="s">
        <v>6980</v>
      </c>
      <c r="C5153" t="s">
        <v>995</v>
      </c>
      <c r="D5153" t="s">
        <v>7000</v>
      </c>
      <c r="E5153">
        <v>5.110601792735772</v>
      </c>
    </row>
    <row r="5154" spans="1:5">
      <c r="A5154" t="s">
        <v>6758</v>
      </c>
      <c r="B5154" t="s">
        <v>6980</v>
      </c>
      <c r="C5154" t="s">
        <v>995</v>
      </c>
      <c r="D5154" t="s">
        <v>7098</v>
      </c>
      <c r="E5154">
        <v>1.134065998418389</v>
      </c>
    </row>
    <row r="5155" spans="1:5">
      <c r="A5155" t="s">
        <v>6759</v>
      </c>
      <c r="B5155" t="s">
        <v>6980</v>
      </c>
      <c r="C5155" t="s">
        <v>995</v>
      </c>
      <c r="D5155" t="s">
        <v>7001</v>
      </c>
      <c r="E5155">
        <v>83.3315459726641</v>
      </c>
    </row>
    <row r="5156" spans="1:5">
      <c r="A5156" t="s">
        <v>6760</v>
      </c>
      <c r="B5156" t="s">
        <v>6980</v>
      </c>
      <c r="C5156" t="s">
        <v>995</v>
      </c>
      <c r="D5156" t="s">
        <v>7099</v>
      </c>
      <c r="E5156">
        <v>0.05215734715988786</v>
      </c>
    </row>
    <row r="5157" spans="1:5">
      <c r="A5157" t="s">
        <v>6761</v>
      </c>
      <c r="B5157" t="s">
        <v>6980</v>
      </c>
      <c r="C5157" t="s">
        <v>995</v>
      </c>
      <c r="D5157" t="s">
        <v>7100</v>
      </c>
      <c r="E5157">
        <v>86.57589618240596</v>
      </c>
    </row>
    <row r="5158" spans="1:5">
      <c r="A5158" t="s">
        <v>6762</v>
      </c>
      <c r="B5158" t="s">
        <v>6980</v>
      </c>
      <c r="C5158" t="s">
        <v>995</v>
      </c>
      <c r="D5158" t="s">
        <v>7002</v>
      </c>
      <c r="E5158">
        <v>68.83790033838736</v>
      </c>
    </row>
    <row r="5159" spans="1:5">
      <c r="A5159" t="s">
        <v>6763</v>
      </c>
      <c r="B5159" t="s">
        <v>6980</v>
      </c>
      <c r="C5159" t="s">
        <v>995</v>
      </c>
      <c r="D5159" t="s">
        <v>7101</v>
      </c>
      <c r="E5159">
        <v>3.073961235313034</v>
      </c>
    </row>
    <row r="5160" spans="1:5">
      <c r="A5160" t="s">
        <v>6764</v>
      </c>
      <c r="B5160" t="s">
        <v>6980</v>
      </c>
      <c r="C5160" t="s">
        <v>995</v>
      </c>
      <c r="D5160" t="s">
        <v>7102</v>
      </c>
      <c r="E5160">
        <v>4.049643915345162</v>
      </c>
    </row>
    <row r="5161" spans="1:5">
      <c r="A5161" t="s">
        <v>6765</v>
      </c>
      <c r="B5161" t="s">
        <v>6980</v>
      </c>
      <c r="C5161" t="s">
        <v>995</v>
      </c>
      <c r="D5161" t="s">
        <v>7103</v>
      </c>
      <c r="E5161">
        <v>0.2144899102757111</v>
      </c>
    </row>
    <row r="5162" spans="1:5">
      <c r="A5162" t="s">
        <v>6766</v>
      </c>
      <c r="B5162" t="s">
        <v>6980</v>
      </c>
      <c r="C5162" t="s">
        <v>995</v>
      </c>
      <c r="D5162" t="s">
        <v>7104</v>
      </c>
      <c r="E5162">
        <v>84.03633333449797</v>
      </c>
    </row>
    <row r="5163" spans="1:5">
      <c r="A5163" t="s">
        <v>6767</v>
      </c>
      <c r="B5163" t="s">
        <v>6980</v>
      </c>
      <c r="C5163" t="s">
        <v>995</v>
      </c>
      <c r="D5163" t="s">
        <v>7105</v>
      </c>
      <c r="E5163">
        <v>39.58849213912719</v>
      </c>
    </row>
    <row r="5164" spans="1:5">
      <c r="A5164" t="s">
        <v>6768</v>
      </c>
      <c r="B5164" t="s">
        <v>6980</v>
      </c>
      <c r="C5164" t="s">
        <v>995</v>
      </c>
      <c r="D5164" t="s">
        <v>7106</v>
      </c>
      <c r="E5164">
        <v>22.11806349552387</v>
      </c>
    </row>
    <row r="5165" spans="1:5">
      <c r="A5165" t="s">
        <v>6769</v>
      </c>
      <c r="B5165" t="s">
        <v>6980</v>
      </c>
      <c r="C5165" t="s">
        <v>995</v>
      </c>
      <c r="D5165" t="s">
        <v>7107</v>
      </c>
      <c r="E5165">
        <v>0.7041902517535786</v>
      </c>
    </row>
    <row r="5166" spans="1:5">
      <c r="A5166" t="s">
        <v>6770</v>
      </c>
      <c r="B5166" t="s">
        <v>6980</v>
      </c>
      <c r="C5166" t="s">
        <v>995</v>
      </c>
      <c r="D5166" t="s">
        <v>7003</v>
      </c>
      <c r="E5166">
        <v>32.69779787194415</v>
      </c>
    </row>
    <row r="5167" spans="1:5">
      <c r="A5167" t="s">
        <v>6771</v>
      </c>
      <c r="B5167" t="s">
        <v>6980</v>
      </c>
      <c r="C5167" t="s">
        <v>995</v>
      </c>
      <c r="D5167" t="s">
        <v>7004</v>
      </c>
      <c r="E5167">
        <v>244.2355644643742</v>
      </c>
    </row>
    <row r="5168" spans="1:5">
      <c r="A5168" t="s">
        <v>6772</v>
      </c>
      <c r="B5168" t="s">
        <v>6980</v>
      </c>
      <c r="C5168" t="s">
        <v>995</v>
      </c>
      <c r="D5168" t="s">
        <v>7108</v>
      </c>
      <c r="E5168">
        <v>425.0533051678149</v>
      </c>
    </row>
    <row r="5169" spans="1:5">
      <c r="A5169" t="s">
        <v>6773</v>
      </c>
      <c r="B5169" t="s">
        <v>6980</v>
      </c>
      <c r="C5169" t="s">
        <v>995</v>
      </c>
      <c r="D5169" t="s">
        <v>7109</v>
      </c>
      <c r="E5169">
        <v>12.93772613471863</v>
      </c>
    </row>
    <row r="5170" spans="1:5">
      <c r="A5170" t="s">
        <v>6774</v>
      </c>
      <c r="B5170" t="s">
        <v>6980</v>
      </c>
      <c r="C5170" t="s">
        <v>995</v>
      </c>
      <c r="D5170" t="s">
        <v>7110</v>
      </c>
      <c r="E5170">
        <v>0.012937536231613</v>
      </c>
    </row>
    <row r="5171" spans="1:5">
      <c r="A5171" t="s">
        <v>6775</v>
      </c>
      <c r="B5171" t="s">
        <v>6980</v>
      </c>
      <c r="C5171" t="s">
        <v>995</v>
      </c>
      <c r="D5171" t="s">
        <v>7111</v>
      </c>
      <c r="E5171">
        <v>0.5506604008880932</v>
      </c>
    </row>
    <row r="5172" spans="1:5">
      <c r="A5172" t="s">
        <v>6776</v>
      </c>
      <c r="B5172" t="s">
        <v>6980</v>
      </c>
      <c r="C5172" t="s">
        <v>995</v>
      </c>
      <c r="D5172" t="s">
        <v>7112</v>
      </c>
      <c r="E5172">
        <v>8.308012041604877</v>
      </c>
    </row>
    <row r="5173" spans="1:5">
      <c r="A5173" t="s">
        <v>6777</v>
      </c>
      <c r="B5173" t="s">
        <v>6980</v>
      </c>
      <c r="C5173" t="s">
        <v>995</v>
      </c>
      <c r="D5173" t="s">
        <v>7113</v>
      </c>
      <c r="E5173">
        <v>0.06571422319624393</v>
      </c>
    </row>
    <row r="5174" spans="1:5">
      <c r="A5174" t="s">
        <v>6778</v>
      </c>
      <c r="B5174" t="s">
        <v>6980</v>
      </c>
      <c r="C5174" t="s">
        <v>995</v>
      </c>
      <c r="D5174" t="s">
        <v>7114</v>
      </c>
      <c r="E5174">
        <v>14.72578959183673</v>
      </c>
    </row>
    <row r="5175" spans="1:5">
      <c r="A5175" t="s">
        <v>6779</v>
      </c>
      <c r="B5175" t="s">
        <v>6980</v>
      </c>
      <c r="C5175" t="s">
        <v>995</v>
      </c>
      <c r="D5175" t="s">
        <v>7115</v>
      </c>
      <c r="E5175">
        <v>2.584790943760752</v>
      </c>
    </row>
    <row r="5176" spans="1:5">
      <c r="A5176" t="s">
        <v>6780</v>
      </c>
      <c r="B5176" t="s">
        <v>6980</v>
      </c>
      <c r="C5176" t="s">
        <v>995</v>
      </c>
      <c r="D5176" t="s">
        <v>7116</v>
      </c>
      <c r="E5176">
        <v>19.21504226856279</v>
      </c>
    </row>
    <row r="5177" spans="1:5">
      <c r="A5177" t="s">
        <v>6781</v>
      </c>
      <c r="B5177" t="s">
        <v>6980</v>
      </c>
      <c r="C5177" t="s">
        <v>995</v>
      </c>
      <c r="D5177" t="s">
        <v>7005</v>
      </c>
      <c r="E5177">
        <v>9.386858106805445</v>
      </c>
    </row>
    <row r="5178" spans="1:5">
      <c r="A5178" t="s">
        <v>6782</v>
      </c>
      <c r="B5178" t="s">
        <v>6980</v>
      </c>
      <c r="C5178" t="s">
        <v>995</v>
      </c>
      <c r="D5178" t="s">
        <v>7117</v>
      </c>
      <c r="E5178">
        <v>34.06683109838765</v>
      </c>
    </row>
    <row r="5179" spans="1:5">
      <c r="A5179" t="s">
        <v>6783</v>
      </c>
      <c r="B5179" t="s">
        <v>6980</v>
      </c>
      <c r="C5179" t="s">
        <v>995</v>
      </c>
      <c r="D5179" t="s">
        <v>7118</v>
      </c>
      <c r="E5179">
        <v>89.9164505040858</v>
      </c>
    </row>
    <row r="5180" spans="1:5">
      <c r="A5180" t="s">
        <v>6784</v>
      </c>
      <c r="B5180" t="s">
        <v>6980</v>
      </c>
      <c r="C5180" t="s">
        <v>995</v>
      </c>
      <c r="D5180" t="s">
        <v>7119</v>
      </c>
      <c r="E5180">
        <v>107.006313630882</v>
      </c>
    </row>
    <row r="5181" spans="1:5">
      <c r="A5181" t="s">
        <v>6785</v>
      </c>
      <c r="B5181" t="s">
        <v>6980</v>
      </c>
      <c r="C5181" t="s">
        <v>995</v>
      </c>
      <c r="D5181" t="s">
        <v>7120</v>
      </c>
      <c r="E5181">
        <v>132.1768903748547</v>
      </c>
    </row>
    <row r="5182" spans="1:5">
      <c r="A5182" t="s">
        <v>6786</v>
      </c>
      <c r="B5182" t="s">
        <v>6980</v>
      </c>
      <c r="C5182" t="s">
        <v>995</v>
      </c>
      <c r="D5182" t="s">
        <v>7006</v>
      </c>
      <c r="E5182">
        <v>6.690960048822728</v>
      </c>
    </row>
    <row r="5183" spans="1:5">
      <c r="A5183" t="s">
        <v>6787</v>
      </c>
      <c r="B5183" t="s">
        <v>6980</v>
      </c>
      <c r="C5183" t="s">
        <v>995</v>
      </c>
      <c r="D5183" t="s">
        <v>7121</v>
      </c>
      <c r="E5183">
        <v>45.40582618283536</v>
      </c>
    </row>
    <row r="5184" spans="1:5">
      <c r="A5184" t="s">
        <v>6788</v>
      </c>
      <c r="B5184" t="s">
        <v>6980</v>
      </c>
      <c r="C5184" t="s">
        <v>995</v>
      </c>
      <c r="D5184" t="s">
        <v>7122</v>
      </c>
      <c r="E5184">
        <v>220.5489089370817</v>
      </c>
    </row>
    <row r="5185" spans="1:5">
      <c r="A5185" t="s">
        <v>6789</v>
      </c>
      <c r="B5185" t="s">
        <v>6980</v>
      </c>
      <c r="C5185" t="s">
        <v>995</v>
      </c>
      <c r="D5185" t="s">
        <v>7123</v>
      </c>
      <c r="E5185">
        <v>9.776559286570086</v>
      </c>
    </row>
    <row r="5186" spans="1:5">
      <c r="A5186" t="s">
        <v>6790</v>
      </c>
      <c r="B5186" t="s">
        <v>6980</v>
      </c>
      <c r="C5186" t="s">
        <v>995</v>
      </c>
      <c r="D5186" t="s">
        <v>7124</v>
      </c>
      <c r="E5186">
        <v>0.1203830292922732</v>
      </c>
    </row>
    <row r="5187" spans="1:5">
      <c r="A5187" t="s">
        <v>6791</v>
      </c>
      <c r="B5187" t="s">
        <v>6980</v>
      </c>
      <c r="C5187" t="s">
        <v>995</v>
      </c>
      <c r="D5187" t="s">
        <v>7125</v>
      </c>
      <c r="E5187">
        <v>7.048118350738581</v>
      </c>
    </row>
    <row r="5188" spans="1:5">
      <c r="A5188" t="s">
        <v>6792</v>
      </c>
      <c r="B5188" t="s">
        <v>6980</v>
      </c>
      <c r="C5188" t="s">
        <v>995</v>
      </c>
      <c r="D5188" t="s">
        <v>7126</v>
      </c>
      <c r="E5188">
        <v>0.08572284877027186</v>
      </c>
    </row>
    <row r="5189" spans="1:5">
      <c r="A5189" t="s">
        <v>6793</v>
      </c>
      <c r="B5189" t="s">
        <v>6980</v>
      </c>
      <c r="C5189" t="s">
        <v>995</v>
      </c>
      <c r="D5189" t="s">
        <v>998</v>
      </c>
      <c r="E5189">
        <v>315.1359747389384</v>
      </c>
    </row>
    <row r="5190" spans="1:5">
      <c r="A5190" t="s">
        <v>6794</v>
      </c>
      <c r="B5190" t="s">
        <v>6980</v>
      </c>
      <c r="C5190" t="s">
        <v>995</v>
      </c>
      <c r="D5190" t="s">
        <v>7127</v>
      </c>
      <c r="E5190">
        <v>7.849034861693611</v>
      </c>
    </row>
    <row r="5191" spans="1:5">
      <c r="A5191" t="s">
        <v>6795</v>
      </c>
      <c r="B5191" t="s">
        <v>6980</v>
      </c>
      <c r="C5191" t="s">
        <v>995</v>
      </c>
      <c r="D5191" t="s">
        <v>7128</v>
      </c>
      <c r="E5191">
        <v>0.02590927777483022</v>
      </c>
    </row>
    <row r="5192" spans="1:5">
      <c r="A5192" t="s">
        <v>6796</v>
      </c>
      <c r="B5192" t="s">
        <v>6980</v>
      </c>
      <c r="C5192" t="s">
        <v>995</v>
      </c>
      <c r="D5192" t="s">
        <v>7129</v>
      </c>
      <c r="E5192">
        <v>0.4304936104010151</v>
      </c>
    </row>
    <row r="5193" spans="1:5">
      <c r="A5193" t="s">
        <v>6797</v>
      </c>
      <c r="B5193" t="s">
        <v>6980</v>
      </c>
      <c r="C5193" t="s">
        <v>995</v>
      </c>
      <c r="D5193" t="s">
        <v>7130</v>
      </c>
      <c r="E5193">
        <v>0.01203326015240767</v>
      </c>
    </row>
    <row r="5194" spans="1:5">
      <c r="A5194" t="s">
        <v>6798</v>
      </c>
      <c r="B5194" t="s">
        <v>6980</v>
      </c>
      <c r="C5194" t="s">
        <v>995</v>
      </c>
      <c r="D5194" t="s">
        <v>7131</v>
      </c>
      <c r="E5194">
        <v>2.648711451563686</v>
      </c>
    </row>
    <row r="5195" spans="1:5">
      <c r="A5195" t="s">
        <v>6799</v>
      </c>
      <c r="B5195" t="s">
        <v>6980</v>
      </c>
      <c r="C5195" t="s">
        <v>995</v>
      </c>
      <c r="D5195" t="s">
        <v>7132</v>
      </c>
      <c r="E5195">
        <v>116.4092160858013</v>
      </c>
    </row>
    <row r="5196" spans="1:5">
      <c r="A5196" t="s">
        <v>6800</v>
      </c>
      <c r="B5196" t="s">
        <v>6980</v>
      </c>
      <c r="C5196" t="s">
        <v>995</v>
      </c>
      <c r="D5196" t="s">
        <v>7133</v>
      </c>
      <c r="E5196">
        <v>0.5500083770734971</v>
      </c>
    </row>
    <row r="5197" spans="1:5">
      <c r="A5197" t="s">
        <v>6801</v>
      </c>
      <c r="B5197" t="s">
        <v>6980</v>
      </c>
      <c r="C5197" t="s">
        <v>995</v>
      </c>
      <c r="D5197" t="s">
        <v>7134</v>
      </c>
      <c r="E5197">
        <v>116.7171220793774</v>
      </c>
    </row>
    <row r="5198" spans="1:5">
      <c r="A5198" t="s">
        <v>6802</v>
      </c>
      <c r="B5198" t="s">
        <v>6980</v>
      </c>
      <c r="C5198" t="s">
        <v>995</v>
      </c>
      <c r="D5198" t="s">
        <v>7135</v>
      </c>
      <c r="E5198">
        <v>176.0537503336552</v>
      </c>
    </row>
    <row r="5199" spans="1:5">
      <c r="A5199" t="s">
        <v>6803</v>
      </c>
      <c r="B5199" t="s">
        <v>6980</v>
      </c>
      <c r="C5199" t="s">
        <v>995</v>
      </c>
      <c r="D5199" t="s">
        <v>7136</v>
      </c>
      <c r="E5199">
        <v>428.820677851272</v>
      </c>
    </row>
    <row r="5200" spans="1:5">
      <c r="A5200" t="s">
        <v>6804</v>
      </c>
      <c r="B5200" t="s">
        <v>6980</v>
      </c>
      <c r="C5200" t="s">
        <v>995</v>
      </c>
      <c r="D5200" t="s">
        <v>7137</v>
      </c>
      <c r="E5200">
        <v>0.5500083770734971</v>
      </c>
    </row>
    <row r="5201" spans="1:5">
      <c r="A5201" t="s">
        <v>6805</v>
      </c>
      <c r="B5201" t="s">
        <v>6980</v>
      </c>
      <c r="C5201" t="s">
        <v>995</v>
      </c>
      <c r="D5201" t="s">
        <v>7138</v>
      </c>
      <c r="E5201">
        <v>3.023345330674086</v>
      </c>
    </row>
    <row r="5202" spans="1:5">
      <c r="A5202" t="s">
        <v>6806</v>
      </c>
      <c r="B5202" t="s">
        <v>6980</v>
      </c>
      <c r="C5202" t="s">
        <v>995</v>
      </c>
      <c r="D5202" t="s">
        <v>7139</v>
      </c>
      <c r="E5202">
        <v>1.324710851702767</v>
      </c>
    </row>
    <row r="5203" spans="1:5">
      <c r="A5203" t="s">
        <v>6807</v>
      </c>
      <c r="B5203" t="s">
        <v>6980</v>
      </c>
      <c r="C5203" t="s">
        <v>995</v>
      </c>
      <c r="D5203" t="s">
        <v>7007</v>
      </c>
      <c r="E5203">
        <v>19.21503101136119</v>
      </c>
    </row>
    <row r="5204" spans="1:5">
      <c r="A5204" t="s">
        <v>6808</v>
      </c>
      <c r="B5204" t="s">
        <v>6980</v>
      </c>
      <c r="C5204" t="s">
        <v>995</v>
      </c>
      <c r="D5204" t="s">
        <v>7140</v>
      </c>
      <c r="E5204">
        <v>17.23040556436382</v>
      </c>
    </row>
    <row r="5205" spans="1:5">
      <c r="A5205" t="s">
        <v>6809</v>
      </c>
      <c r="B5205" t="s">
        <v>6980</v>
      </c>
      <c r="C5205" t="s">
        <v>995</v>
      </c>
      <c r="D5205" t="s">
        <v>7141</v>
      </c>
      <c r="E5205">
        <v>11.82158744253561</v>
      </c>
    </row>
    <row r="5206" spans="1:5">
      <c r="A5206" t="s">
        <v>6810</v>
      </c>
      <c r="B5206" t="s">
        <v>6980</v>
      </c>
      <c r="C5206" t="s">
        <v>995</v>
      </c>
      <c r="D5206" t="s">
        <v>7142</v>
      </c>
      <c r="E5206">
        <v>11.82158744253561</v>
      </c>
    </row>
    <row r="5207" spans="1:5">
      <c r="A5207" t="s">
        <v>6646</v>
      </c>
      <c r="B5207" t="s">
        <v>6980</v>
      </c>
      <c r="C5207" t="s">
        <v>995</v>
      </c>
      <c r="D5207" t="s">
        <v>996</v>
      </c>
      <c r="E5207">
        <v>360.781845</v>
      </c>
    </row>
    <row r="5208" spans="1:5">
      <c r="A5208" t="s">
        <v>6811</v>
      </c>
      <c r="B5208" t="s">
        <v>977</v>
      </c>
      <c r="C5208" t="s">
        <v>995</v>
      </c>
      <c r="D5208" t="s">
        <v>996</v>
      </c>
      <c r="E5208">
        <v>362.698618</v>
      </c>
    </row>
    <row r="5209" spans="1:5">
      <c r="A5209" t="s">
        <v>6812</v>
      </c>
      <c r="B5209" t="s">
        <v>977</v>
      </c>
      <c r="C5209" t="s">
        <v>995</v>
      </c>
      <c r="D5209" t="s">
        <v>7008</v>
      </c>
      <c r="E5209">
        <v>86.36501848628001</v>
      </c>
    </row>
    <row r="5210" spans="1:5">
      <c r="A5210" t="s">
        <v>6813</v>
      </c>
      <c r="B5210" t="s">
        <v>977</v>
      </c>
      <c r="C5210" t="s">
        <v>995</v>
      </c>
      <c r="D5210" t="s">
        <v>7009</v>
      </c>
      <c r="E5210">
        <v>4.779618401297869</v>
      </c>
    </row>
    <row r="5211" spans="1:5">
      <c r="A5211" t="s">
        <v>6814</v>
      </c>
      <c r="B5211" t="s">
        <v>977</v>
      </c>
      <c r="C5211" t="s">
        <v>995</v>
      </c>
      <c r="D5211" t="s">
        <v>7010</v>
      </c>
      <c r="E5211">
        <v>3.870038531944852</v>
      </c>
    </row>
    <row r="5212" spans="1:5">
      <c r="A5212" t="s">
        <v>6815</v>
      </c>
      <c r="B5212" t="s">
        <v>977</v>
      </c>
      <c r="C5212" t="s">
        <v>995</v>
      </c>
      <c r="D5212" t="s">
        <v>7011</v>
      </c>
      <c r="E5212">
        <v>0.8648096918339661</v>
      </c>
    </row>
    <row r="5213" spans="1:5">
      <c r="A5213" t="s">
        <v>6816</v>
      </c>
      <c r="B5213" t="s">
        <v>977</v>
      </c>
      <c r="C5213" t="s">
        <v>995</v>
      </c>
      <c r="D5213" t="s">
        <v>7012</v>
      </c>
      <c r="E5213">
        <v>177.1929818218947</v>
      </c>
    </row>
    <row r="5214" spans="1:5">
      <c r="A5214" t="s">
        <v>6817</v>
      </c>
      <c r="B5214" t="s">
        <v>977</v>
      </c>
      <c r="C5214" t="s">
        <v>995</v>
      </c>
      <c r="D5214" t="s">
        <v>7013</v>
      </c>
      <c r="E5214">
        <v>0.3300363180099945</v>
      </c>
    </row>
    <row r="5215" spans="1:5">
      <c r="A5215" t="s">
        <v>6818</v>
      </c>
      <c r="B5215" t="s">
        <v>977</v>
      </c>
      <c r="C5215" t="s">
        <v>995</v>
      </c>
      <c r="D5215" t="s">
        <v>7014</v>
      </c>
      <c r="E5215">
        <v>0.2142900709598189</v>
      </c>
    </row>
    <row r="5216" spans="1:5">
      <c r="A5216" t="s">
        <v>6819</v>
      </c>
      <c r="B5216" t="s">
        <v>977</v>
      </c>
      <c r="C5216" t="s">
        <v>995</v>
      </c>
      <c r="D5216" t="s">
        <v>6981</v>
      </c>
      <c r="E5216">
        <v>221.4278628985732</v>
      </c>
    </row>
    <row r="5217" spans="1:5">
      <c r="A5217" t="s">
        <v>6820</v>
      </c>
      <c r="B5217" t="s">
        <v>977</v>
      </c>
      <c r="C5217" t="s">
        <v>995</v>
      </c>
      <c r="D5217" t="s">
        <v>7015</v>
      </c>
      <c r="E5217">
        <v>177.1929818218947</v>
      </c>
    </row>
    <row r="5218" spans="1:5">
      <c r="A5218" t="s">
        <v>6821</v>
      </c>
      <c r="B5218" t="s">
        <v>977</v>
      </c>
      <c r="C5218" t="s">
        <v>995</v>
      </c>
      <c r="D5218" t="s">
        <v>7016</v>
      </c>
      <c r="E5218">
        <v>186.4220391061165</v>
      </c>
    </row>
    <row r="5219" spans="1:5">
      <c r="A5219" t="s">
        <v>6822</v>
      </c>
      <c r="B5219" t="s">
        <v>977</v>
      </c>
      <c r="C5219" t="s">
        <v>995</v>
      </c>
      <c r="D5219" t="s">
        <v>7017</v>
      </c>
      <c r="E5219">
        <v>185.4448587044886</v>
      </c>
    </row>
    <row r="5220" spans="1:5">
      <c r="A5220" t="s">
        <v>6823</v>
      </c>
      <c r="B5220" t="s">
        <v>977</v>
      </c>
      <c r="C5220" t="s">
        <v>995</v>
      </c>
      <c r="D5220" t="s">
        <v>7018</v>
      </c>
      <c r="E5220">
        <v>158.587762504848</v>
      </c>
    </row>
    <row r="5221" spans="1:5">
      <c r="A5221" t="s">
        <v>6824</v>
      </c>
      <c r="B5221" t="s">
        <v>977</v>
      </c>
      <c r="C5221" t="s">
        <v>995</v>
      </c>
      <c r="D5221" t="s">
        <v>7019</v>
      </c>
      <c r="E5221">
        <v>2.572270239613524</v>
      </c>
    </row>
    <row r="5222" spans="1:5">
      <c r="A5222" t="s">
        <v>6825</v>
      </c>
      <c r="B5222" t="s">
        <v>977</v>
      </c>
      <c r="C5222" t="s">
        <v>995</v>
      </c>
      <c r="D5222" t="s">
        <v>997</v>
      </c>
      <c r="E5222">
        <v>185.4448587044886</v>
      </c>
    </row>
    <row r="5223" spans="1:5">
      <c r="A5223" t="s">
        <v>6826</v>
      </c>
      <c r="B5223" t="s">
        <v>977</v>
      </c>
      <c r="C5223" t="s">
        <v>995</v>
      </c>
      <c r="D5223" t="s">
        <v>7020</v>
      </c>
      <c r="E5223">
        <v>843.5518575887396</v>
      </c>
    </row>
    <row r="5224" spans="1:5">
      <c r="A5224" t="s">
        <v>6827</v>
      </c>
      <c r="B5224" t="s">
        <v>977</v>
      </c>
      <c r="C5224" t="s">
        <v>995</v>
      </c>
      <c r="D5224" t="s">
        <v>7021</v>
      </c>
      <c r="E5224">
        <v>0.105801494802877</v>
      </c>
    </row>
    <row r="5225" spans="1:5">
      <c r="A5225" t="s">
        <v>6828</v>
      </c>
      <c r="B5225" t="s">
        <v>977</v>
      </c>
      <c r="C5225" t="s">
        <v>995</v>
      </c>
      <c r="D5225" t="s">
        <v>7022</v>
      </c>
      <c r="E5225">
        <v>317.1753863266893</v>
      </c>
    </row>
    <row r="5226" spans="1:5">
      <c r="A5226" t="s">
        <v>6829</v>
      </c>
      <c r="B5226" t="s">
        <v>977</v>
      </c>
      <c r="C5226" t="s">
        <v>995</v>
      </c>
      <c r="D5226" t="s">
        <v>7023</v>
      </c>
      <c r="E5226">
        <v>245.5672258922412</v>
      </c>
    </row>
    <row r="5227" spans="1:5">
      <c r="A5227" t="s">
        <v>6830</v>
      </c>
      <c r="B5227" t="s">
        <v>977</v>
      </c>
      <c r="C5227" t="s">
        <v>995</v>
      </c>
      <c r="D5227" t="s">
        <v>7024</v>
      </c>
      <c r="E5227">
        <v>29.91966930019054</v>
      </c>
    </row>
    <row r="5228" spans="1:5">
      <c r="A5228" t="s">
        <v>6831</v>
      </c>
      <c r="B5228" t="s">
        <v>977</v>
      </c>
      <c r="C5228" t="s">
        <v>995</v>
      </c>
      <c r="D5228" t="s">
        <v>6982</v>
      </c>
      <c r="E5228">
        <v>62.17376527951388</v>
      </c>
    </row>
    <row r="5229" spans="1:5">
      <c r="A5229" t="s">
        <v>6832</v>
      </c>
      <c r="B5229" t="s">
        <v>977</v>
      </c>
      <c r="C5229" t="s">
        <v>995</v>
      </c>
      <c r="D5229" t="s">
        <v>7025</v>
      </c>
      <c r="E5229">
        <v>317.1753863266893</v>
      </c>
    </row>
    <row r="5230" spans="1:5">
      <c r="A5230" t="s">
        <v>6833</v>
      </c>
      <c r="B5230" t="s">
        <v>977</v>
      </c>
      <c r="C5230" t="s">
        <v>995</v>
      </c>
      <c r="D5230" t="s">
        <v>7026</v>
      </c>
      <c r="E5230">
        <v>3.293045574226579</v>
      </c>
    </row>
    <row r="5231" spans="1:5">
      <c r="A5231" t="s">
        <v>6834</v>
      </c>
      <c r="B5231" t="s">
        <v>977</v>
      </c>
      <c r="C5231" t="s">
        <v>995</v>
      </c>
      <c r="D5231" t="s">
        <v>7027</v>
      </c>
      <c r="E5231">
        <v>21.99323088584184</v>
      </c>
    </row>
    <row r="5232" spans="1:5">
      <c r="A5232" t="s">
        <v>6835</v>
      </c>
      <c r="B5232" t="s">
        <v>977</v>
      </c>
      <c r="C5232" t="s">
        <v>995</v>
      </c>
      <c r="D5232" t="s">
        <v>7028</v>
      </c>
      <c r="E5232">
        <v>109.9573199051702</v>
      </c>
    </row>
    <row r="5233" spans="1:5">
      <c r="A5233" t="s">
        <v>6836</v>
      </c>
      <c r="B5233" t="s">
        <v>977</v>
      </c>
      <c r="C5233" t="s">
        <v>995</v>
      </c>
      <c r="D5233" t="s">
        <v>7029</v>
      </c>
      <c r="E5233">
        <v>158.587762504848</v>
      </c>
    </row>
    <row r="5234" spans="1:5">
      <c r="A5234" t="s">
        <v>6837</v>
      </c>
      <c r="B5234" t="s">
        <v>977</v>
      </c>
      <c r="C5234" t="s">
        <v>995</v>
      </c>
      <c r="D5234" t="s">
        <v>6983</v>
      </c>
      <c r="E5234">
        <v>226.2566072857775</v>
      </c>
    </row>
    <row r="5235" spans="1:5">
      <c r="A5235" t="s">
        <v>6838</v>
      </c>
      <c r="B5235" t="s">
        <v>977</v>
      </c>
      <c r="C5235" t="s">
        <v>995</v>
      </c>
      <c r="D5235" t="s">
        <v>7030</v>
      </c>
      <c r="E5235">
        <v>0.1368530362904035</v>
      </c>
    </row>
    <row r="5236" spans="1:5">
      <c r="A5236" t="s">
        <v>6839</v>
      </c>
      <c r="B5236" t="s">
        <v>977</v>
      </c>
      <c r="C5236" t="s">
        <v>995</v>
      </c>
      <c r="D5236" t="s">
        <v>6984</v>
      </c>
      <c r="E5236">
        <v>392.6601587535293</v>
      </c>
    </row>
    <row r="5237" spans="1:5">
      <c r="A5237" t="s">
        <v>6840</v>
      </c>
      <c r="B5237" t="s">
        <v>977</v>
      </c>
      <c r="C5237" t="s">
        <v>995</v>
      </c>
      <c r="D5237" t="s">
        <v>7031</v>
      </c>
      <c r="E5237">
        <v>13543.13199656473</v>
      </c>
    </row>
    <row r="5238" spans="1:5">
      <c r="A5238" t="s">
        <v>6841</v>
      </c>
      <c r="B5238" t="s">
        <v>977</v>
      </c>
      <c r="C5238" t="s">
        <v>995</v>
      </c>
      <c r="D5238" t="s">
        <v>7032</v>
      </c>
      <c r="E5238">
        <v>0.3426302674494865</v>
      </c>
    </row>
    <row r="5239" spans="1:5">
      <c r="A5239" t="s">
        <v>6842</v>
      </c>
      <c r="B5239" t="s">
        <v>977</v>
      </c>
      <c r="C5239" t="s">
        <v>995</v>
      </c>
      <c r="D5239" t="s">
        <v>7033</v>
      </c>
      <c r="E5239">
        <v>46.79520857556752</v>
      </c>
    </row>
    <row r="5240" spans="1:5">
      <c r="A5240" t="s">
        <v>6843</v>
      </c>
      <c r="B5240" t="s">
        <v>977</v>
      </c>
      <c r="C5240" t="s">
        <v>995</v>
      </c>
      <c r="D5240" t="s">
        <v>6985</v>
      </c>
      <c r="E5240">
        <v>46.73112993133191</v>
      </c>
    </row>
    <row r="5241" spans="1:5">
      <c r="A5241" t="s">
        <v>6844</v>
      </c>
      <c r="B5241" t="s">
        <v>977</v>
      </c>
      <c r="C5241" t="s">
        <v>995</v>
      </c>
      <c r="D5241" t="s">
        <v>7034</v>
      </c>
      <c r="E5241">
        <v>0.0984353210776419</v>
      </c>
    </row>
    <row r="5242" spans="1:5">
      <c r="A5242" t="s">
        <v>6845</v>
      </c>
      <c r="B5242" t="s">
        <v>977</v>
      </c>
      <c r="C5242" t="s">
        <v>995</v>
      </c>
      <c r="D5242" t="s">
        <v>7035</v>
      </c>
      <c r="E5242">
        <v>0.6969705639135185</v>
      </c>
    </row>
    <row r="5243" spans="1:5">
      <c r="A5243" t="s">
        <v>6846</v>
      </c>
      <c r="B5243" t="s">
        <v>977</v>
      </c>
      <c r="C5243" t="s">
        <v>995</v>
      </c>
      <c r="D5243" t="s">
        <v>7036</v>
      </c>
      <c r="E5243">
        <v>13.21564639386559</v>
      </c>
    </row>
    <row r="5244" spans="1:5">
      <c r="A5244" t="s">
        <v>6847</v>
      </c>
      <c r="B5244" t="s">
        <v>977</v>
      </c>
      <c r="C5244" t="s">
        <v>995</v>
      </c>
      <c r="D5244" t="s">
        <v>7037</v>
      </c>
      <c r="E5244">
        <v>3.289335854532263</v>
      </c>
    </row>
    <row r="5245" spans="1:5">
      <c r="A5245" t="s">
        <v>6848</v>
      </c>
      <c r="B5245" t="s">
        <v>977</v>
      </c>
      <c r="C5245" t="s">
        <v>995</v>
      </c>
      <c r="D5245" t="s">
        <v>6986</v>
      </c>
      <c r="E5245">
        <v>14.9798322037635</v>
      </c>
    </row>
    <row r="5246" spans="1:5">
      <c r="A5246" t="s">
        <v>6849</v>
      </c>
      <c r="B5246" t="s">
        <v>977</v>
      </c>
      <c r="C5246" t="s">
        <v>995</v>
      </c>
      <c r="D5246" t="s">
        <v>7038</v>
      </c>
      <c r="E5246">
        <v>1.784682241774723</v>
      </c>
    </row>
    <row r="5247" spans="1:5">
      <c r="A5247" t="s">
        <v>6850</v>
      </c>
      <c r="B5247" t="s">
        <v>977</v>
      </c>
      <c r="C5247" t="s">
        <v>995</v>
      </c>
      <c r="D5247" t="s">
        <v>6987</v>
      </c>
      <c r="E5247">
        <v>48.60776719430932</v>
      </c>
    </row>
    <row r="5248" spans="1:5">
      <c r="A5248" t="s">
        <v>6851</v>
      </c>
      <c r="B5248" t="s">
        <v>977</v>
      </c>
      <c r="C5248" t="s">
        <v>995</v>
      </c>
      <c r="D5248" t="s">
        <v>7039</v>
      </c>
      <c r="E5248">
        <v>5.421175575117998</v>
      </c>
    </row>
    <row r="5249" spans="1:5">
      <c r="A5249" t="s">
        <v>6852</v>
      </c>
      <c r="B5249" t="s">
        <v>977</v>
      </c>
      <c r="C5249" t="s">
        <v>995</v>
      </c>
      <c r="D5249" t="s">
        <v>7040</v>
      </c>
      <c r="E5249">
        <v>2.378796498581853</v>
      </c>
    </row>
    <row r="5250" spans="1:5">
      <c r="A5250" t="s">
        <v>6853</v>
      </c>
      <c r="B5250" t="s">
        <v>977</v>
      </c>
      <c r="C5250" t="s">
        <v>995</v>
      </c>
      <c r="D5250" t="s">
        <v>7041</v>
      </c>
      <c r="E5250">
        <v>6.273343503672066</v>
      </c>
    </row>
    <row r="5251" spans="1:5">
      <c r="A5251" t="s">
        <v>6854</v>
      </c>
      <c r="B5251" t="s">
        <v>977</v>
      </c>
      <c r="C5251" t="s">
        <v>995</v>
      </c>
      <c r="D5251" t="s">
        <v>7042</v>
      </c>
      <c r="E5251">
        <v>21.14503438427722</v>
      </c>
    </row>
    <row r="5252" spans="1:5">
      <c r="A5252" t="s">
        <v>6855</v>
      </c>
      <c r="B5252" t="s">
        <v>977</v>
      </c>
      <c r="C5252" t="s">
        <v>995</v>
      </c>
      <c r="D5252" t="s">
        <v>7043</v>
      </c>
      <c r="E5252">
        <v>1.922573325275351</v>
      </c>
    </row>
    <row r="5253" spans="1:5">
      <c r="A5253" t="s">
        <v>6856</v>
      </c>
      <c r="B5253" t="s">
        <v>977</v>
      </c>
      <c r="C5253" t="s">
        <v>995</v>
      </c>
      <c r="D5253" t="s">
        <v>7044</v>
      </c>
      <c r="E5253">
        <v>141.5709233215077</v>
      </c>
    </row>
    <row r="5254" spans="1:5">
      <c r="A5254" t="s">
        <v>6857</v>
      </c>
      <c r="B5254" t="s">
        <v>977</v>
      </c>
      <c r="C5254" t="s">
        <v>995</v>
      </c>
      <c r="D5254" t="s">
        <v>7045</v>
      </c>
      <c r="E5254">
        <v>426.5727716868448</v>
      </c>
    </row>
    <row r="5255" spans="1:5">
      <c r="A5255" t="s">
        <v>6858</v>
      </c>
      <c r="B5255" t="s">
        <v>977</v>
      </c>
      <c r="C5255" t="s">
        <v>995</v>
      </c>
      <c r="D5255" t="s">
        <v>7046</v>
      </c>
      <c r="E5255">
        <v>48.60777370857552</v>
      </c>
    </row>
    <row r="5256" spans="1:5">
      <c r="A5256" t="s">
        <v>6859</v>
      </c>
      <c r="B5256" t="s">
        <v>977</v>
      </c>
      <c r="C5256" t="s">
        <v>995</v>
      </c>
      <c r="D5256" t="s">
        <v>6988</v>
      </c>
      <c r="E5256">
        <v>426.5722699917555</v>
      </c>
    </row>
    <row r="5257" spans="1:5">
      <c r="A5257" t="s">
        <v>6860</v>
      </c>
      <c r="B5257" t="s">
        <v>977</v>
      </c>
      <c r="C5257" t="s">
        <v>995</v>
      </c>
      <c r="D5257" t="s">
        <v>7047</v>
      </c>
      <c r="E5257">
        <v>120.5426527195151</v>
      </c>
    </row>
    <row r="5258" spans="1:5">
      <c r="A5258" t="s">
        <v>6861</v>
      </c>
      <c r="B5258" t="s">
        <v>977</v>
      </c>
      <c r="C5258" t="s">
        <v>995</v>
      </c>
      <c r="D5258" t="s">
        <v>7048</v>
      </c>
      <c r="E5258">
        <v>426.5727716868448</v>
      </c>
    </row>
    <row r="5259" spans="1:5">
      <c r="A5259" t="s">
        <v>6862</v>
      </c>
      <c r="B5259" t="s">
        <v>977</v>
      </c>
      <c r="C5259" t="s">
        <v>995</v>
      </c>
      <c r="D5259" t="s">
        <v>7049</v>
      </c>
      <c r="E5259">
        <v>27.3786546529246</v>
      </c>
    </row>
    <row r="5260" spans="1:5">
      <c r="A5260" t="s">
        <v>6863</v>
      </c>
      <c r="B5260" t="s">
        <v>977</v>
      </c>
      <c r="C5260" t="s">
        <v>995</v>
      </c>
      <c r="D5260" t="s">
        <v>7050</v>
      </c>
      <c r="E5260">
        <v>426.5727716868448</v>
      </c>
    </row>
    <row r="5261" spans="1:5">
      <c r="A5261" t="s">
        <v>6864</v>
      </c>
      <c r="B5261" t="s">
        <v>977</v>
      </c>
      <c r="C5261" t="s">
        <v>995</v>
      </c>
      <c r="D5261" t="s">
        <v>7051</v>
      </c>
      <c r="E5261">
        <v>4.263608754535186</v>
      </c>
    </row>
    <row r="5262" spans="1:5">
      <c r="A5262" t="s">
        <v>6865</v>
      </c>
      <c r="B5262" t="s">
        <v>977</v>
      </c>
      <c r="C5262" t="s">
        <v>995</v>
      </c>
      <c r="D5262" t="s">
        <v>7052</v>
      </c>
      <c r="E5262">
        <v>0.03610458406556706</v>
      </c>
    </row>
    <row r="5263" spans="1:5">
      <c r="A5263" t="s">
        <v>6866</v>
      </c>
      <c r="B5263" t="s">
        <v>977</v>
      </c>
      <c r="C5263" t="s">
        <v>995</v>
      </c>
      <c r="D5263" t="s">
        <v>7053</v>
      </c>
      <c r="E5263">
        <v>41.49692198526059</v>
      </c>
    </row>
    <row r="5264" spans="1:5">
      <c r="A5264" t="s">
        <v>6867</v>
      </c>
      <c r="B5264" t="s">
        <v>977</v>
      </c>
      <c r="C5264" t="s">
        <v>995</v>
      </c>
      <c r="D5264" t="s">
        <v>7054</v>
      </c>
      <c r="E5264">
        <v>1.512586189226421</v>
      </c>
    </row>
    <row r="5265" spans="1:5">
      <c r="A5265" t="s">
        <v>6868</v>
      </c>
      <c r="B5265" t="s">
        <v>977</v>
      </c>
      <c r="C5265" t="s">
        <v>995</v>
      </c>
      <c r="D5265" t="s">
        <v>6989</v>
      </c>
      <c r="E5265">
        <v>40.45273531017507</v>
      </c>
    </row>
    <row r="5266" spans="1:5">
      <c r="A5266" t="s">
        <v>6869</v>
      </c>
      <c r="B5266" t="s">
        <v>977</v>
      </c>
      <c r="C5266" t="s">
        <v>995</v>
      </c>
      <c r="D5266" t="s">
        <v>7055</v>
      </c>
      <c r="E5266">
        <v>11.82638828453362</v>
      </c>
    </row>
    <row r="5267" spans="1:5">
      <c r="A5267" t="s">
        <v>6870</v>
      </c>
      <c r="B5267" t="s">
        <v>977</v>
      </c>
      <c r="C5267" t="s">
        <v>995</v>
      </c>
      <c r="D5267" t="s">
        <v>7056</v>
      </c>
      <c r="E5267">
        <v>48.13837918906364</v>
      </c>
    </row>
    <row r="5268" spans="1:5">
      <c r="A5268" t="s">
        <v>6871</v>
      </c>
      <c r="B5268" t="s">
        <v>977</v>
      </c>
      <c r="C5268" t="s">
        <v>995</v>
      </c>
      <c r="D5268" t="s">
        <v>7057</v>
      </c>
      <c r="E5268">
        <v>2.421166873371155</v>
      </c>
    </row>
    <row r="5269" spans="1:5">
      <c r="A5269" t="s">
        <v>6872</v>
      </c>
      <c r="B5269" t="s">
        <v>977</v>
      </c>
      <c r="C5269" t="s">
        <v>995</v>
      </c>
      <c r="D5269" t="s">
        <v>6990</v>
      </c>
      <c r="E5269">
        <v>0.01766553134601547</v>
      </c>
    </row>
    <row r="5270" spans="1:5">
      <c r="A5270" t="s">
        <v>6873</v>
      </c>
      <c r="B5270" t="s">
        <v>977</v>
      </c>
      <c r="C5270" t="s">
        <v>995</v>
      </c>
      <c r="D5270" t="s">
        <v>6991</v>
      </c>
      <c r="E5270">
        <v>104.2198774815531</v>
      </c>
    </row>
    <row r="5271" spans="1:5">
      <c r="A5271" t="s">
        <v>6874</v>
      </c>
      <c r="B5271" t="s">
        <v>977</v>
      </c>
      <c r="C5271" t="s">
        <v>995</v>
      </c>
      <c r="D5271" t="s">
        <v>7058</v>
      </c>
      <c r="E5271">
        <v>426.5727716868448</v>
      </c>
    </row>
    <row r="5272" spans="1:5">
      <c r="A5272" t="s">
        <v>6875</v>
      </c>
      <c r="B5272" t="s">
        <v>977</v>
      </c>
      <c r="C5272" t="s">
        <v>995</v>
      </c>
      <c r="D5272" t="s">
        <v>6992</v>
      </c>
      <c r="E5272">
        <v>3.293043780316808</v>
      </c>
    </row>
    <row r="5273" spans="1:5">
      <c r="A5273" t="s">
        <v>6876</v>
      </c>
      <c r="B5273" t="s">
        <v>977</v>
      </c>
      <c r="C5273" t="s">
        <v>995</v>
      </c>
      <c r="D5273" t="s">
        <v>7059</v>
      </c>
      <c r="E5273">
        <v>0.241807996384368</v>
      </c>
    </row>
    <row r="5274" spans="1:5">
      <c r="A5274" t="s">
        <v>6877</v>
      </c>
      <c r="B5274" t="s">
        <v>977</v>
      </c>
      <c r="C5274" t="s">
        <v>995</v>
      </c>
      <c r="D5274" t="s">
        <v>7060</v>
      </c>
      <c r="E5274">
        <v>0.000230495493371452</v>
      </c>
    </row>
    <row r="5275" spans="1:5">
      <c r="A5275" t="s">
        <v>6878</v>
      </c>
      <c r="B5275" t="s">
        <v>977</v>
      </c>
      <c r="C5275" t="s">
        <v>995</v>
      </c>
      <c r="D5275" t="s">
        <v>6993</v>
      </c>
      <c r="E5275">
        <v>2.531593284301668</v>
      </c>
    </row>
    <row r="5276" spans="1:5">
      <c r="A5276" t="s">
        <v>6879</v>
      </c>
      <c r="B5276" t="s">
        <v>977</v>
      </c>
      <c r="C5276" t="s">
        <v>995</v>
      </c>
      <c r="D5276" t="s">
        <v>7061</v>
      </c>
      <c r="E5276">
        <v>426.5727716868448</v>
      </c>
    </row>
    <row r="5277" spans="1:5">
      <c r="A5277" t="s">
        <v>6880</v>
      </c>
      <c r="B5277" t="s">
        <v>977</v>
      </c>
      <c r="C5277" t="s">
        <v>995</v>
      </c>
      <c r="D5277" t="s">
        <v>7062</v>
      </c>
      <c r="E5277">
        <v>2.000510592699825</v>
      </c>
    </row>
    <row r="5278" spans="1:5">
      <c r="A5278" t="s">
        <v>6881</v>
      </c>
      <c r="B5278" t="s">
        <v>977</v>
      </c>
      <c r="C5278" t="s">
        <v>995</v>
      </c>
      <c r="D5278" t="s">
        <v>7063</v>
      </c>
      <c r="E5278">
        <v>447.3563298633381</v>
      </c>
    </row>
    <row r="5279" spans="1:5">
      <c r="A5279" t="s">
        <v>6882</v>
      </c>
      <c r="B5279" t="s">
        <v>977</v>
      </c>
      <c r="C5279" t="s">
        <v>995</v>
      </c>
      <c r="D5279" t="s">
        <v>6994</v>
      </c>
      <c r="E5279">
        <v>1.9524906241872</v>
      </c>
    </row>
    <row r="5280" spans="1:5">
      <c r="A5280" t="s">
        <v>6883</v>
      </c>
      <c r="B5280" t="s">
        <v>977</v>
      </c>
      <c r="C5280" t="s">
        <v>995</v>
      </c>
      <c r="D5280" t="s">
        <v>7064</v>
      </c>
      <c r="E5280">
        <v>2.449389361933936</v>
      </c>
    </row>
    <row r="5281" spans="1:5">
      <c r="A5281" t="s">
        <v>6884</v>
      </c>
      <c r="B5281" t="s">
        <v>977</v>
      </c>
      <c r="C5281" t="s">
        <v>995</v>
      </c>
      <c r="D5281" t="s">
        <v>7065</v>
      </c>
      <c r="E5281">
        <v>3.627633277223991</v>
      </c>
    </row>
    <row r="5282" spans="1:5">
      <c r="A5282" t="s">
        <v>6885</v>
      </c>
      <c r="B5282" t="s">
        <v>977</v>
      </c>
      <c r="C5282" t="s">
        <v>995</v>
      </c>
      <c r="D5282" t="s">
        <v>7066</v>
      </c>
      <c r="E5282">
        <v>0.07820173501044184</v>
      </c>
    </row>
    <row r="5283" spans="1:5">
      <c r="A5283" t="s">
        <v>6886</v>
      </c>
      <c r="B5283" t="s">
        <v>977</v>
      </c>
      <c r="C5283" t="s">
        <v>995</v>
      </c>
      <c r="D5283" t="s">
        <v>7067</v>
      </c>
      <c r="E5283">
        <v>221.4281332627594</v>
      </c>
    </row>
    <row r="5284" spans="1:5">
      <c r="A5284" t="s">
        <v>6887</v>
      </c>
      <c r="B5284" t="s">
        <v>977</v>
      </c>
      <c r="C5284" t="s">
        <v>995</v>
      </c>
      <c r="D5284" t="s">
        <v>7068</v>
      </c>
      <c r="E5284">
        <v>0.7372406382328923</v>
      </c>
    </row>
    <row r="5285" spans="1:5">
      <c r="A5285" t="s">
        <v>6888</v>
      </c>
      <c r="B5285" t="s">
        <v>977</v>
      </c>
      <c r="C5285" t="s">
        <v>995</v>
      </c>
      <c r="D5285" t="s">
        <v>6995</v>
      </c>
      <c r="E5285">
        <v>0.2134021975375953</v>
      </c>
    </row>
    <row r="5286" spans="1:5">
      <c r="A5286" t="s">
        <v>6889</v>
      </c>
      <c r="B5286" t="s">
        <v>977</v>
      </c>
      <c r="C5286" t="s">
        <v>995</v>
      </c>
      <c r="D5286" t="s">
        <v>7069</v>
      </c>
      <c r="E5286">
        <v>1028.885548457375</v>
      </c>
    </row>
    <row r="5287" spans="1:5">
      <c r="A5287" t="s">
        <v>6890</v>
      </c>
      <c r="B5287" t="s">
        <v>977</v>
      </c>
      <c r="C5287" t="s">
        <v>995</v>
      </c>
      <c r="D5287" t="s">
        <v>7070</v>
      </c>
      <c r="E5287">
        <v>380.6109295672961</v>
      </c>
    </row>
    <row r="5288" spans="1:5">
      <c r="A5288" t="s">
        <v>6891</v>
      </c>
      <c r="B5288" t="s">
        <v>977</v>
      </c>
      <c r="C5288" t="s">
        <v>995</v>
      </c>
      <c r="D5288" t="s">
        <v>7071</v>
      </c>
      <c r="E5288">
        <v>0.6720505788045157</v>
      </c>
    </row>
    <row r="5289" spans="1:5">
      <c r="A5289" t="s">
        <v>6892</v>
      </c>
      <c r="B5289" t="s">
        <v>977</v>
      </c>
      <c r="C5289" t="s">
        <v>995</v>
      </c>
      <c r="D5289" t="s">
        <v>7072</v>
      </c>
      <c r="E5289">
        <v>0.01426154343332847</v>
      </c>
    </row>
    <row r="5290" spans="1:5">
      <c r="A5290" t="s">
        <v>6893</v>
      </c>
      <c r="B5290" t="s">
        <v>977</v>
      </c>
      <c r="C5290" t="s">
        <v>995</v>
      </c>
      <c r="D5290" t="s">
        <v>7073</v>
      </c>
      <c r="E5290">
        <v>0.003543860476404883</v>
      </c>
    </row>
    <row r="5291" spans="1:5">
      <c r="A5291" t="s">
        <v>6894</v>
      </c>
      <c r="B5291" t="s">
        <v>977</v>
      </c>
      <c r="C5291" t="s">
        <v>995</v>
      </c>
      <c r="D5291" t="s">
        <v>7074</v>
      </c>
      <c r="E5291">
        <v>0.943123497341375</v>
      </c>
    </row>
    <row r="5292" spans="1:5">
      <c r="A5292" t="s">
        <v>6895</v>
      </c>
      <c r="B5292" t="s">
        <v>977</v>
      </c>
      <c r="C5292" t="s">
        <v>995</v>
      </c>
      <c r="D5292" t="s">
        <v>7075</v>
      </c>
      <c r="E5292">
        <v>1.74930062313586</v>
      </c>
    </row>
    <row r="5293" spans="1:5">
      <c r="A5293" t="s">
        <v>6896</v>
      </c>
      <c r="B5293" t="s">
        <v>977</v>
      </c>
      <c r="C5293" t="s">
        <v>995</v>
      </c>
      <c r="D5293" t="s">
        <v>7076</v>
      </c>
      <c r="E5293">
        <v>19.21732664509182</v>
      </c>
    </row>
    <row r="5294" spans="1:5">
      <c r="A5294" t="s">
        <v>6897</v>
      </c>
      <c r="B5294" t="s">
        <v>977</v>
      </c>
      <c r="C5294" t="s">
        <v>995</v>
      </c>
      <c r="D5294" t="s">
        <v>7077</v>
      </c>
      <c r="E5294">
        <v>49.49449349486768</v>
      </c>
    </row>
    <row r="5295" spans="1:5">
      <c r="A5295" t="s">
        <v>6898</v>
      </c>
      <c r="B5295" t="s">
        <v>977</v>
      </c>
      <c r="C5295" t="s">
        <v>995</v>
      </c>
      <c r="D5295" t="s">
        <v>7078</v>
      </c>
      <c r="E5295">
        <v>33.94686429738428</v>
      </c>
    </row>
    <row r="5296" spans="1:5">
      <c r="A5296" t="s">
        <v>6899</v>
      </c>
      <c r="B5296" t="s">
        <v>977</v>
      </c>
      <c r="C5296" t="s">
        <v>995</v>
      </c>
      <c r="D5296" t="s">
        <v>7079</v>
      </c>
      <c r="E5296">
        <v>18.05174305249121</v>
      </c>
    </row>
    <row r="5297" spans="1:5">
      <c r="A5297" t="s">
        <v>6900</v>
      </c>
      <c r="B5297" t="s">
        <v>977</v>
      </c>
      <c r="C5297" t="s">
        <v>995</v>
      </c>
      <c r="D5297" t="s">
        <v>7080</v>
      </c>
      <c r="E5297">
        <v>0.07480622325865327</v>
      </c>
    </row>
    <row r="5298" spans="1:5">
      <c r="A5298" t="s">
        <v>6901</v>
      </c>
      <c r="B5298" t="s">
        <v>977</v>
      </c>
      <c r="C5298" t="s">
        <v>995</v>
      </c>
      <c r="D5298" t="s">
        <v>7081</v>
      </c>
      <c r="E5298">
        <v>5.894356509981604</v>
      </c>
    </row>
    <row r="5299" spans="1:5">
      <c r="A5299" t="s">
        <v>6902</v>
      </c>
      <c r="B5299" t="s">
        <v>977</v>
      </c>
      <c r="C5299" t="s">
        <v>995</v>
      </c>
      <c r="D5299" t="s">
        <v>7082</v>
      </c>
      <c r="E5299">
        <v>0.1504268799324434</v>
      </c>
    </row>
    <row r="5300" spans="1:5">
      <c r="A5300" t="s">
        <v>6903</v>
      </c>
      <c r="B5300" t="s">
        <v>977</v>
      </c>
      <c r="C5300" t="s">
        <v>995</v>
      </c>
      <c r="D5300" t="s">
        <v>7083</v>
      </c>
      <c r="E5300">
        <v>0.08756907299815847</v>
      </c>
    </row>
    <row r="5301" spans="1:5">
      <c r="A5301" t="s">
        <v>6904</v>
      </c>
      <c r="B5301" t="s">
        <v>977</v>
      </c>
      <c r="C5301" t="s">
        <v>995</v>
      </c>
      <c r="D5301" t="s">
        <v>7084</v>
      </c>
      <c r="E5301">
        <v>39.27450689298917</v>
      </c>
    </row>
    <row r="5302" spans="1:5">
      <c r="A5302" t="s">
        <v>6905</v>
      </c>
      <c r="B5302" t="s">
        <v>977</v>
      </c>
      <c r="C5302" t="s">
        <v>995</v>
      </c>
      <c r="D5302" t="s">
        <v>7085</v>
      </c>
      <c r="E5302">
        <v>7.884998542889328</v>
      </c>
    </row>
    <row r="5303" spans="1:5">
      <c r="A5303" t="s">
        <v>6906</v>
      </c>
      <c r="B5303" t="s">
        <v>977</v>
      </c>
      <c r="C5303" t="s">
        <v>995</v>
      </c>
      <c r="D5303" t="s">
        <v>7086</v>
      </c>
      <c r="E5303">
        <v>6.73825252164781</v>
      </c>
    </row>
    <row r="5304" spans="1:5">
      <c r="A5304" t="s">
        <v>6907</v>
      </c>
      <c r="B5304" t="s">
        <v>977</v>
      </c>
      <c r="C5304" t="s">
        <v>995</v>
      </c>
      <c r="D5304" t="s">
        <v>7087</v>
      </c>
      <c r="E5304">
        <v>20.46545506046558</v>
      </c>
    </row>
    <row r="5305" spans="1:5">
      <c r="A5305" t="s">
        <v>6908</v>
      </c>
      <c r="B5305" t="s">
        <v>977</v>
      </c>
      <c r="C5305" t="s">
        <v>995</v>
      </c>
      <c r="D5305" t="s">
        <v>7088</v>
      </c>
      <c r="E5305">
        <v>0.1813969806707112</v>
      </c>
    </row>
    <row r="5306" spans="1:5">
      <c r="A5306" t="s">
        <v>6909</v>
      </c>
      <c r="B5306" t="s">
        <v>977</v>
      </c>
      <c r="C5306" t="s">
        <v>995</v>
      </c>
      <c r="D5306" t="s">
        <v>6996</v>
      </c>
      <c r="E5306">
        <v>18.09699507407597</v>
      </c>
    </row>
    <row r="5307" spans="1:5">
      <c r="A5307" t="s">
        <v>6910</v>
      </c>
      <c r="B5307" t="s">
        <v>977</v>
      </c>
      <c r="C5307" t="s">
        <v>995</v>
      </c>
      <c r="D5307" t="s">
        <v>6997</v>
      </c>
      <c r="E5307">
        <v>77.63003358416042</v>
      </c>
    </row>
    <row r="5308" spans="1:5">
      <c r="A5308" t="s">
        <v>6911</v>
      </c>
      <c r="B5308" t="s">
        <v>977</v>
      </c>
      <c r="C5308" t="s">
        <v>995</v>
      </c>
      <c r="D5308" t="s">
        <v>7089</v>
      </c>
      <c r="E5308">
        <v>4.96391306306122</v>
      </c>
    </row>
    <row r="5309" spans="1:5">
      <c r="A5309" t="s">
        <v>6912</v>
      </c>
      <c r="B5309" t="s">
        <v>977</v>
      </c>
      <c r="C5309" t="s">
        <v>995</v>
      </c>
      <c r="D5309" t="s">
        <v>7090</v>
      </c>
      <c r="E5309">
        <v>19.21732664509182</v>
      </c>
    </row>
    <row r="5310" spans="1:5">
      <c r="A5310" t="s">
        <v>6913</v>
      </c>
      <c r="B5310" t="s">
        <v>977</v>
      </c>
      <c r="C5310" t="s">
        <v>995</v>
      </c>
      <c r="D5310" t="s">
        <v>7091</v>
      </c>
      <c r="E5310">
        <v>0.2327967188911072</v>
      </c>
    </row>
    <row r="5311" spans="1:5">
      <c r="A5311" t="s">
        <v>6914</v>
      </c>
      <c r="B5311" t="s">
        <v>977</v>
      </c>
      <c r="C5311" t="s">
        <v>995</v>
      </c>
      <c r="D5311" t="s">
        <v>7092</v>
      </c>
      <c r="E5311">
        <v>8.605834502789314</v>
      </c>
    </row>
    <row r="5312" spans="1:5">
      <c r="A5312" t="s">
        <v>6915</v>
      </c>
      <c r="B5312" t="s">
        <v>977</v>
      </c>
      <c r="C5312" t="s">
        <v>995</v>
      </c>
      <c r="D5312" t="s">
        <v>6998</v>
      </c>
      <c r="E5312">
        <v>32.85436177509523</v>
      </c>
    </row>
    <row r="5313" spans="1:5">
      <c r="A5313" t="s">
        <v>6916</v>
      </c>
      <c r="B5313" t="s">
        <v>977</v>
      </c>
      <c r="C5313" t="s">
        <v>995</v>
      </c>
      <c r="D5313" t="s">
        <v>7093</v>
      </c>
      <c r="E5313">
        <v>2.05815348155579</v>
      </c>
    </row>
    <row r="5314" spans="1:5">
      <c r="A5314" t="s">
        <v>6917</v>
      </c>
      <c r="B5314" t="s">
        <v>977</v>
      </c>
      <c r="C5314" t="s">
        <v>995</v>
      </c>
      <c r="D5314" t="s">
        <v>6999</v>
      </c>
      <c r="E5314">
        <v>185.2617594673104</v>
      </c>
    </row>
    <row r="5315" spans="1:5">
      <c r="A5315" t="s">
        <v>6918</v>
      </c>
      <c r="B5315" t="s">
        <v>977</v>
      </c>
      <c r="C5315" t="s">
        <v>995</v>
      </c>
      <c r="D5315" t="s">
        <v>7094</v>
      </c>
      <c r="E5315">
        <v>824.9093506003189</v>
      </c>
    </row>
    <row r="5316" spans="1:5">
      <c r="A5316" t="s">
        <v>6919</v>
      </c>
      <c r="B5316" t="s">
        <v>977</v>
      </c>
      <c r="C5316" t="s">
        <v>995</v>
      </c>
      <c r="D5316" t="s">
        <v>7095</v>
      </c>
      <c r="E5316">
        <v>317.1753863266893</v>
      </c>
    </row>
    <row r="5317" spans="1:5">
      <c r="A5317" t="s">
        <v>6920</v>
      </c>
      <c r="B5317" t="s">
        <v>977</v>
      </c>
      <c r="C5317" t="s">
        <v>995</v>
      </c>
      <c r="D5317" t="s">
        <v>7096</v>
      </c>
      <c r="E5317">
        <v>93.35311884769845</v>
      </c>
    </row>
    <row r="5318" spans="1:5">
      <c r="A5318" t="s">
        <v>6921</v>
      </c>
      <c r="B5318" t="s">
        <v>977</v>
      </c>
      <c r="C5318" t="s">
        <v>995</v>
      </c>
      <c r="D5318" t="s">
        <v>7097</v>
      </c>
      <c r="E5318">
        <v>71.20170123047689</v>
      </c>
    </row>
    <row r="5319" spans="1:5">
      <c r="A5319" t="s">
        <v>6922</v>
      </c>
      <c r="B5319" t="s">
        <v>977</v>
      </c>
      <c r="C5319" t="s">
        <v>995</v>
      </c>
      <c r="D5319" t="s">
        <v>7000</v>
      </c>
      <c r="E5319">
        <v>5.146602283803178</v>
      </c>
    </row>
    <row r="5320" spans="1:5">
      <c r="A5320" t="s">
        <v>6923</v>
      </c>
      <c r="B5320" t="s">
        <v>977</v>
      </c>
      <c r="C5320" t="s">
        <v>995</v>
      </c>
      <c r="D5320" t="s">
        <v>7098</v>
      </c>
      <c r="E5320">
        <v>1.140413412976773</v>
      </c>
    </row>
    <row r="5321" spans="1:5">
      <c r="A5321" t="s">
        <v>6924</v>
      </c>
      <c r="B5321" t="s">
        <v>977</v>
      </c>
      <c r="C5321" t="s">
        <v>995</v>
      </c>
      <c r="D5321" t="s">
        <v>7001</v>
      </c>
      <c r="E5321">
        <v>83.57157228519236</v>
      </c>
    </row>
    <row r="5322" spans="1:5">
      <c r="A5322" t="s">
        <v>6925</v>
      </c>
      <c r="B5322" t="s">
        <v>977</v>
      </c>
      <c r="C5322" t="s">
        <v>995</v>
      </c>
      <c r="D5322" t="s">
        <v>7099</v>
      </c>
      <c r="E5322">
        <v>0.0524483645730641</v>
      </c>
    </row>
    <row r="5323" spans="1:5">
      <c r="A5323" t="s">
        <v>6926</v>
      </c>
      <c r="B5323" t="s">
        <v>977</v>
      </c>
      <c r="C5323" t="s">
        <v>995</v>
      </c>
      <c r="D5323" t="s">
        <v>7100</v>
      </c>
      <c r="E5323">
        <v>87.13612194010385</v>
      </c>
    </row>
    <row r="5324" spans="1:5">
      <c r="A5324" t="s">
        <v>6927</v>
      </c>
      <c r="B5324" t="s">
        <v>977</v>
      </c>
      <c r="C5324" t="s">
        <v>995</v>
      </c>
      <c r="D5324" t="s">
        <v>7002</v>
      </c>
      <c r="E5324">
        <v>69.19331353866676</v>
      </c>
    </row>
    <row r="5325" spans="1:5">
      <c r="A5325" t="s">
        <v>6928</v>
      </c>
      <c r="B5325" t="s">
        <v>977</v>
      </c>
      <c r="C5325" t="s">
        <v>995</v>
      </c>
      <c r="D5325" t="s">
        <v>7101</v>
      </c>
      <c r="E5325">
        <v>3.09010297502821</v>
      </c>
    </row>
    <row r="5326" spans="1:5">
      <c r="A5326" t="s">
        <v>6929</v>
      </c>
      <c r="B5326" t="s">
        <v>977</v>
      </c>
      <c r="C5326" t="s">
        <v>995</v>
      </c>
      <c r="D5326" t="s">
        <v>7102</v>
      </c>
      <c r="E5326">
        <v>4.042417864153467</v>
      </c>
    </row>
    <row r="5327" spans="1:5">
      <c r="A5327" t="s">
        <v>6930</v>
      </c>
      <c r="B5327" t="s">
        <v>977</v>
      </c>
      <c r="C5327" t="s">
        <v>995</v>
      </c>
      <c r="D5327" t="s">
        <v>7103</v>
      </c>
      <c r="E5327">
        <v>0.2158596225590429</v>
      </c>
    </row>
    <row r="5328" spans="1:5">
      <c r="A5328" t="s">
        <v>6931</v>
      </c>
      <c r="B5328" t="s">
        <v>977</v>
      </c>
      <c r="C5328" t="s">
        <v>995</v>
      </c>
      <c r="D5328" t="s">
        <v>7104</v>
      </c>
      <c r="E5328">
        <v>84.58012767520361</v>
      </c>
    </row>
    <row r="5329" spans="1:5">
      <c r="A5329" t="s">
        <v>6932</v>
      </c>
      <c r="B5329" t="s">
        <v>977</v>
      </c>
      <c r="C5329" t="s">
        <v>995</v>
      </c>
      <c r="D5329" t="s">
        <v>7105</v>
      </c>
      <c r="E5329">
        <v>39.81454693189162</v>
      </c>
    </row>
    <row r="5330" spans="1:5">
      <c r="A5330" t="s">
        <v>6933</v>
      </c>
      <c r="B5330" t="s">
        <v>977</v>
      </c>
      <c r="C5330" t="s">
        <v>995</v>
      </c>
      <c r="D5330" t="s">
        <v>7106</v>
      </c>
      <c r="E5330">
        <v>21.50863441236876</v>
      </c>
    </row>
    <row r="5331" spans="1:5">
      <c r="A5331" t="s">
        <v>6934</v>
      </c>
      <c r="B5331" t="s">
        <v>977</v>
      </c>
      <c r="C5331" t="s">
        <v>995</v>
      </c>
      <c r="D5331" t="s">
        <v>7107</v>
      </c>
      <c r="E5331">
        <v>0.7079314956108589</v>
      </c>
    </row>
    <row r="5332" spans="1:5">
      <c r="A5332" t="s">
        <v>6935</v>
      </c>
      <c r="B5332" t="s">
        <v>977</v>
      </c>
      <c r="C5332" t="s">
        <v>995</v>
      </c>
      <c r="D5332" t="s">
        <v>7003</v>
      </c>
      <c r="E5332">
        <v>32.8613301849637</v>
      </c>
    </row>
    <row r="5333" spans="1:5">
      <c r="A5333" t="s">
        <v>6936</v>
      </c>
      <c r="B5333" t="s">
        <v>977</v>
      </c>
      <c r="C5333" t="s">
        <v>995</v>
      </c>
      <c r="D5333" t="s">
        <v>7004</v>
      </c>
      <c r="E5333">
        <v>245.5672258922412</v>
      </c>
    </row>
    <row r="5334" spans="1:5">
      <c r="A5334" t="s">
        <v>6937</v>
      </c>
      <c r="B5334" t="s">
        <v>977</v>
      </c>
      <c r="C5334" t="s">
        <v>995</v>
      </c>
      <c r="D5334" t="s">
        <v>7108</v>
      </c>
      <c r="E5334">
        <v>426.5727716868448</v>
      </c>
    </row>
    <row r="5335" spans="1:5">
      <c r="A5335" t="s">
        <v>6938</v>
      </c>
      <c r="B5335" t="s">
        <v>977</v>
      </c>
      <c r="C5335" t="s">
        <v>995</v>
      </c>
      <c r="D5335" t="s">
        <v>7109</v>
      </c>
      <c r="E5335">
        <v>13.02144611985456</v>
      </c>
    </row>
    <row r="5336" spans="1:5">
      <c r="A5336" t="s">
        <v>6939</v>
      </c>
      <c r="B5336" t="s">
        <v>977</v>
      </c>
      <c r="C5336" t="s">
        <v>995</v>
      </c>
      <c r="D5336" t="s">
        <v>7110</v>
      </c>
      <c r="E5336">
        <v>0.01302145624289579</v>
      </c>
    </row>
    <row r="5337" spans="1:5">
      <c r="A5337" t="s">
        <v>6940</v>
      </c>
      <c r="B5337" t="s">
        <v>977</v>
      </c>
      <c r="C5337" t="s">
        <v>995</v>
      </c>
      <c r="D5337" t="s">
        <v>7111</v>
      </c>
      <c r="E5337">
        <v>0.5535859665816538</v>
      </c>
    </row>
    <row r="5338" spans="1:5">
      <c r="A5338" t="s">
        <v>6941</v>
      </c>
      <c r="B5338" t="s">
        <v>977</v>
      </c>
      <c r="C5338" t="s">
        <v>995</v>
      </c>
      <c r="D5338" t="s">
        <v>7112</v>
      </c>
      <c r="E5338">
        <v>8.352151106210592</v>
      </c>
    </row>
    <row r="5339" spans="1:5">
      <c r="A5339" t="s">
        <v>6942</v>
      </c>
      <c r="B5339" t="s">
        <v>977</v>
      </c>
      <c r="C5339" t="s">
        <v>995</v>
      </c>
      <c r="D5339" t="s">
        <v>7113</v>
      </c>
      <c r="E5339">
        <v>0.06536847186423646</v>
      </c>
    </row>
    <row r="5340" spans="1:5">
      <c r="A5340" t="s">
        <v>6943</v>
      </c>
      <c r="B5340" t="s">
        <v>977</v>
      </c>
      <c r="C5340" t="s">
        <v>995</v>
      </c>
      <c r="D5340" t="s">
        <v>7114</v>
      </c>
      <c r="E5340">
        <v>14.8040252244898</v>
      </c>
    </row>
    <row r="5341" spans="1:5">
      <c r="A5341" t="s">
        <v>6944</v>
      </c>
      <c r="B5341" t="s">
        <v>977</v>
      </c>
      <c r="C5341" t="s">
        <v>995</v>
      </c>
      <c r="D5341" t="s">
        <v>7115</v>
      </c>
      <c r="E5341">
        <v>2.596401456908187</v>
      </c>
    </row>
    <row r="5342" spans="1:5">
      <c r="A5342" t="s">
        <v>6945</v>
      </c>
      <c r="B5342" t="s">
        <v>977</v>
      </c>
      <c r="C5342" t="s">
        <v>995</v>
      </c>
      <c r="D5342" t="s">
        <v>7116</v>
      </c>
      <c r="E5342">
        <v>19.21732664509182</v>
      </c>
    </row>
    <row r="5343" spans="1:5">
      <c r="A5343" t="s">
        <v>6946</v>
      </c>
      <c r="B5343" t="s">
        <v>977</v>
      </c>
      <c r="C5343" t="s">
        <v>995</v>
      </c>
      <c r="D5343" t="s">
        <v>7005</v>
      </c>
      <c r="E5343">
        <v>9.43195240390359</v>
      </c>
    </row>
    <row r="5344" spans="1:5">
      <c r="A5344" t="s">
        <v>6947</v>
      </c>
      <c r="B5344" t="s">
        <v>977</v>
      </c>
      <c r="C5344" t="s">
        <v>995</v>
      </c>
      <c r="D5344" t="s">
        <v>7117</v>
      </c>
      <c r="E5344">
        <v>34.34606323676942</v>
      </c>
    </row>
    <row r="5345" spans="1:5">
      <c r="A5345" t="s">
        <v>6948</v>
      </c>
      <c r="B5345" t="s">
        <v>977</v>
      </c>
      <c r="C5345" t="s">
        <v>995</v>
      </c>
      <c r="D5345" t="s">
        <v>7118</v>
      </c>
      <c r="E5345">
        <v>90.60950626499547</v>
      </c>
    </row>
    <row r="5346" spans="1:5">
      <c r="A5346" t="s">
        <v>6949</v>
      </c>
      <c r="B5346" t="s">
        <v>977</v>
      </c>
      <c r="C5346" t="s">
        <v>995</v>
      </c>
      <c r="D5346" t="s">
        <v>7119</v>
      </c>
      <c r="E5346">
        <v>107.5262488671457</v>
      </c>
    </row>
    <row r="5347" spans="1:5">
      <c r="A5347" t="s">
        <v>6950</v>
      </c>
      <c r="B5347" t="s">
        <v>977</v>
      </c>
      <c r="C5347" t="s">
        <v>995</v>
      </c>
      <c r="D5347" t="s">
        <v>7120</v>
      </c>
      <c r="E5347">
        <v>133.0318195572558</v>
      </c>
    </row>
    <row r="5348" spans="1:5">
      <c r="A5348" t="s">
        <v>6951</v>
      </c>
      <c r="B5348" t="s">
        <v>977</v>
      </c>
      <c r="C5348" t="s">
        <v>995</v>
      </c>
      <c r="D5348" t="s">
        <v>7006</v>
      </c>
      <c r="E5348">
        <v>6.721825219535519</v>
      </c>
    </row>
    <row r="5349" spans="1:5">
      <c r="A5349" t="s">
        <v>6952</v>
      </c>
      <c r="B5349" t="s">
        <v>977</v>
      </c>
      <c r="C5349" t="s">
        <v>995</v>
      </c>
      <c r="D5349" t="s">
        <v>7121</v>
      </c>
      <c r="E5349">
        <v>40.87893286531079</v>
      </c>
    </row>
    <row r="5350" spans="1:5">
      <c r="A5350" t="s">
        <v>6953</v>
      </c>
      <c r="B5350" t="s">
        <v>977</v>
      </c>
      <c r="C5350" t="s">
        <v>995</v>
      </c>
      <c r="D5350" t="s">
        <v>7122</v>
      </c>
      <c r="E5350">
        <v>221.4281332627594</v>
      </c>
    </row>
    <row r="5351" spans="1:5">
      <c r="A5351" t="s">
        <v>6954</v>
      </c>
      <c r="B5351" t="s">
        <v>977</v>
      </c>
      <c r="C5351" t="s">
        <v>995</v>
      </c>
      <c r="D5351" t="s">
        <v>7123</v>
      </c>
      <c r="E5351">
        <v>9.817707671564893</v>
      </c>
    </row>
    <row r="5352" spans="1:5">
      <c r="A5352" t="s">
        <v>6955</v>
      </c>
      <c r="B5352" t="s">
        <v>977</v>
      </c>
      <c r="C5352" t="s">
        <v>995</v>
      </c>
      <c r="D5352" t="s">
        <v>7124</v>
      </c>
      <c r="E5352">
        <v>0.1216077371102904</v>
      </c>
    </row>
    <row r="5353" spans="1:5">
      <c r="A5353" t="s">
        <v>6956</v>
      </c>
      <c r="B5353" t="s">
        <v>977</v>
      </c>
      <c r="C5353" t="s">
        <v>995</v>
      </c>
      <c r="D5353" t="s">
        <v>7125</v>
      </c>
      <c r="E5353">
        <v>7.098031309384716</v>
      </c>
    </row>
    <row r="5354" spans="1:5">
      <c r="A5354" t="s">
        <v>6957</v>
      </c>
      <c r="B5354" t="s">
        <v>977</v>
      </c>
      <c r="C5354" t="s">
        <v>995</v>
      </c>
      <c r="D5354" t="s">
        <v>7126</v>
      </c>
      <c r="E5354">
        <v>0.08672507374681714</v>
      </c>
    </row>
    <row r="5355" spans="1:5">
      <c r="A5355" t="s">
        <v>6958</v>
      </c>
      <c r="B5355" t="s">
        <v>977</v>
      </c>
      <c r="C5355" t="s">
        <v>995</v>
      </c>
      <c r="D5355" t="s">
        <v>998</v>
      </c>
      <c r="E5355">
        <v>317.1753863266893</v>
      </c>
    </row>
    <row r="5356" spans="1:5">
      <c r="A5356" t="s">
        <v>6959</v>
      </c>
      <c r="B5356" t="s">
        <v>977</v>
      </c>
      <c r="C5356" t="s">
        <v>995</v>
      </c>
      <c r="D5356" t="s">
        <v>7127</v>
      </c>
      <c r="E5356">
        <v>7.886544182319679</v>
      </c>
    </row>
    <row r="5357" spans="1:5">
      <c r="A5357" t="s">
        <v>6960</v>
      </c>
      <c r="B5357" t="s">
        <v>977</v>
      </c>
      <c r="C5357" t="s">
        <v>995</v>
      </c>
      <c r="D5357" t="s">
        <v>7128</v>
      </c>
      <c r="E5357">
        <v>0.02620656348126046</v>
      </c>
    </row>
    <row r="5358" spans="1:5">
      <c r="A5358" t="s">
        <v>6961</v>
      </c>
      <c r="B5358" t="s">
        <v>977</v>
      </c>
      <c r="C5358" t="s">
        <v>995</v>
      </c>
      <c r="D5358" t="s">
        <v>7129</v>
      </c>
      <c r="E5358">
        <v>0.4301455381804612</v>
      </c>
    </row>
    <row r="5359" spans="1:5">
      <c r="A5359" t="s">
        <v>6962</v>
      </c>
      <c r="B5359" t="s">
        <v>977</v>
      </c>
      <c r="C5359" t="s">
        <v>995</v>
      </c>
      <c r="D5359" t="s">
        <v>7130</v>
      </c>
      <c r="E5359">
        <v>0.01209501235334496</v>
      </c>
    </row>
    <row r="5360" spans="1:5">
      <c r="A5360" t="s">
        <v>6963</v>
      </c>
      <c r="B5360" t="s">
        <v>977</v>
      </c>
      <c r="C5360" t="s">
        <v>995</v>
      </c>
      <c r="D5360" t="s">
        <v>7131</v>
      </c>
      <c r="E5360">
        <v>2.664190534407145</v>
      </c>
    </row>
    <row r="5361" spans="1:5">
      <c r="A5361" t="s">
        <v>6964</v>
      </c>
      <c r="B5361" t="s">
        <v>977</v>
      </c>
      <c r="C5361" t="s">
        <v>995</v>
      </c>
      <c r="D5361" t="s">
        <v>7132</v>
      </c>
      <c r="E5361">
        <v>117.1185617643735</v>
      </c>
    </row>
    <row r="5362" spans="1:5">
      <c r="A5362" t="s">
        <v>6965</v>
      </c>
      <c r="B5362" t="s">
        <v>977</v>
      </c>
      <c r="C5362" t="s">
        <v>995</v>
      </c>
      <c r="D5362" t="s">
        <v>7133</v>
      </c>
      <c r="E5362">
        <v>0.5529304786746693</v>
      </c>
    </row>
    <row r="5363" spans="1:5">
      <c r="A5363" t="s">
        <v>6966</v>
      </c>
      <c r="B5363" t="s">
        <v>977</v>
      </c>
      <c r="C5363" t="s">
        <v>995</v>
      </c>
      <c r="D5363" t="s">
        <v>7134</v>
      </c>
      <c r="E5363">
        <v>117.4723995488939</v>
      </c>
    </row>
    <row r="5364" spans="1:5">
      <c r="A5364" t="s">
        <v>6967</v>
      </c>
      <c r="B5364" t="s">
        <v>977</v>
      </c>
      <c r="C5364" t="s">
        <v>995</v>
      </c>
      <c r="D5364" t="s">
        <v>7135</v>
      </c>
      <c r="E5364">
        <v>177.1929818218947</v>
      </c>
    </row>
    <row r="5365" spans="1:5">
      <c r="A5365" t="s">
        <v>6968</v>
      </c>
      <c r="B5365" t="s">
        <v>977</v>
      </c>
      <c r="C5365" t="s">
        <v>995</v>
      </c>
      <c r="D5365" t="s">
        <v>7136</v>
      </c>
      <c r="E5365">
        <v>430.9939135394634</v>
      </c>
    </row>
    <row r="5366" spans="1:5">
      <c r="A5366" t="s">
        <v>6969</v>
      </c>
      <c r="B5366" t="s">
        <v>977</v>
      </c>
      <c r="C5366" t="s">
        <v>995</v>
      </c>
      <c r="D5366" t="s">
        <v>7137</v>
      </c>
      <c r="E5366">
        <v>0.5529304786746693</v>
      </c>
    </row>
    <row r="5367" spans="1:5">
      <c r="A5367" t="s">
        <v>6970</v>
      </c>
      <c r="B5367" t="s">
        <v>977</v>
      </c>
      <c r="C5367" t="s">
        <v>995</v>
      </c>
      <c r="D5367" t="s">
        <v>7138</v>
      </c>
      <c r="E5367">
        <v>3.039407853719036</v>
      </c>
    </row>
    <row r="5368" spans="1:5">
      <c r="A5368" t="s">
        <v>6971</v>
      </c>
      <c r="B5368" t="s">
        <v>977</v>
      </c>
      <c r="C5368" t="s">
        <v>995</v>
      </c>
      <c r="D5368" t="s">
        <v>7139</v>
      </c>
      <c r="E5368">
        <v>1.329994853850042</v>
      </c>
    </row>
    <row r="5369" spans="1:5">
      <c r="A5369" t="s">
        <v>6972</v>
      </c>
      <c r="B5369" t="s">
        <v>977</v>
      </c>
      <c r="C5369" t="s">
        <v>995</v>
      </c>
      <c r="D5369" t="s">
        <v>7007</v>
      </c>
      <c r="E5369">
        <v>19.21725842484216</v>
      </c>
    </row>
    <row r="5370" spans="1:5">
      <c r="A5370" t="s">
        <v>6973</v>
      </c>
      <c r="B5370" t="s">
        <v>977</v>
      </c>
      <c r="C5370" t="s">
        <v>995</v>
      </c>
      <c r="D5370" t="s">
        <v>7140</v>
      </c>
      <c r="E5370">
        <v>17.42437867705273</v>
      </c>
    </row>
    <row r="5371" spans="1:5">
      <c r="A5371" t="s">
        <v>6974</v>
      </c>
      <c r="B5371" t="s">
        <v>977</v>
      </c>
      <c r="C5371" t="s">
        <v>995</v>
      </c>
      <c r="D5371" t="s">
        <v>7141</v>
      </c>
      <c r="E5371">
        <v>11.59437183327313</v>
      </c>
    </row>
    <row r="5372" spans="1:5">
      <c r="A5372" t="s">
        <v>6975</v>
      </c>
      <c r="B5372" t="s">
        <v>977</v>
      </c>
      <c r="C5372" t="s">
        <v>995</v>
      </c>
      <c r="D5372" t="s">
        <v>7142</v>
      </c>
      <c r="E5372">
        <v>11.59437183327313</v>
      </c>
    </row>
    <row r="5373" spans="1:5">
      <c r="A5373" t="s">
        <v>6811</v>
      </c>
      <c r="B5373" t="s">
        <v>977</v>
      </c>
      <c r="C5373" t="s">
        <v>995</v>
      </c>
      <c r="D5373" t="s">
        <v>996</v>
      </c>
      <c r="E5373">
        <v>362.698618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9.7109375" customWidth="1"/>
  </cols>
  <sheetData>
    <row r="1" spans="1:2">
      <c r="A1" s="5" t="s">
        <v>7143</v>
      </c>
      <c r="B1" s="5" t="s">
        <v>7144</v>
      </c>
    </row>
    <row r="2" spans="1:2">
      <c r="A2" t="s">
        <v>1636</v>
      </c>
      <c r="B2" t="s">
        <v>995</v>
      </c>
    </row>
    <row r="3" spans="1:2">
      <c r="A3" t="s">
        <v>7145</v>
      </c>
      <c r="B3" t="s">
        <v>7146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00_Dashboard</vt:lpstr>
      <vt:lpstr>01_Transactions</vt:lpstr>
      <vt:lpstr>02_TransactionSplits</vt:lpstr>
      <vt:lpstr>10_Accounts</vt:lpstr>
      <vt:lpstr>11_Assets</vt:lpstr>
      <vt:lpstr>12_Categories</vt:lpstr>
      <vt:lpstr>13_Tags</vt:lpstr>
      <vt:lpstr>14_Pockets</vt:lpstr>
      <vt:lpstr>15_Goals</vt:lpstr>
      <vt:lpstr>16_Budgets</vt:lpstr>
      <vt:lpstr>17_People</vt:lpstr>
      <vt:lpstr>20_Recurring</vt:lpstr>
      <vt:lpstr>21_Debts</vt:lpstr>
      <vt:lpstr>22_ExchangeRates</vt:lpstr>
      <vt:lpstr>99_Settings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2026-07-19T15:27:45Z</dcterms:created>
  <dcterms:modified xsi:type="dcterms:W3CDTF">2026-07-19T15:27:45Z</dcterms:modified>
</cp:coreProperties>
</file>