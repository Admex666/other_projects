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állítások" sheetId="1" r:id="rId1"/>
    <sheet name="Tranzakciók" sheetId="2" r:id="rId2"/>
    <sheet name="Dashboar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Kategóriák</v>
      </c>
      <c r="B1" t="str">
        <v>Számlák</v>
      </c>
      <c r="C1" t="str">
        <v>Zsebek</v>
      </c>
    </row>
    <row r="2">
      <c r="A2" t="str">
        <v>Fizetés</v>
      </c>
      <c r="B2" t="str">
        <v>OTP Készpénz</v>
      </c>
      <c r="C2" t="str">
        <v>Utazás</v>
      </c>
    </row>
    <row r="3">
      <c r="A3" t="str">
        <v>Ajándék</v>
      </c>
      <c r="B3" t="str">
        <v>Revolut HUF</v>
      </c>
      <c r="C3" t="str">
        <v>Autó fenntartás</v>
      </c>
    </row>
    <row r="4">
      <c r="A4" t="str">
        <v>Étel-ital</v>
      </c>
      <c r="B4" t="str">
        <v>Revolut EUR</v>
      </c>
      <c r="C4" t="str">
        <v>Vésztartalék</v>
      </c>
    </row>
    <row r="5">
      <c r="A5" t="str">
        <v>Közlekedés</v>
      </c>
      <c r="B5" t="str">
        <v>CIB Bank</v>
      </c>
      <c r="C5" t="str">
        <v>Technika</v>
      </c>
    </row>
    <row r="6">
      <c r="A6" t="str">
        <v>Egészség</v>
      </c>
      <c r="B6" t="str">
        <v>Készpénz</v>
      </c>
      <c r="C6" t="str">
        <v>Ruházkodás</v>
      </c>
    </row>
    <row r="7">
      <c r="A7" t="str">
        <v>Szórakozás</v>
      </c>
      <c r="B7" t="str">
        <v/>
      </c>
      <c r="C7" t="str">
        <v>Befektetések</v>
      </c>
    </row>
    <row r="8">
      <c r="A8" t="str">
        <v>Utazás</v>
      </c>
      <c r="B8" t="str">
        <v/>
      </c>
      <c r="C8" t="str">
        <v/>
      </c>
    </row>
    <row r="9">
      <c r="A9" t="str">
        <v>Lakhatás</v>
      </c>
      <c r="B9" t="str">
        <v/>
      </c>
      <c r="C9" t="str">
        <v/>
      </c>
    </row>
    <row r="10">
      <c r="A10" t="str">
        <v>Egyéb</v>
      </c>
      <c r="B10" t="str">
        <v/>
      </c>
      <c r="C10" t="str">
        <v/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2.83203125" customWidth="1"/>
  </cols>
  <sheetData>
    <row r="1">
      <c r="A1" t="str">
        <v>Dátum</v>
      </c>
      <c r="B1" t="str">
        <v>Típus</v>
      </c>
      <c r="C1" t="str">
        <v>Összeg</v>
      </c>
      <c r="D1" t="str">
        <v>Kategória</v>
      </c>
      <c r="E1" t="str">
        <v>Számla</v>
      </c>
      <c r="F1" t="str">
        <v>Zseb</v>
      </c>
      <c r="G1" t="str">
        <v>Megjegyzés</v>
      </c>
      <c r="H1" t="str">
        <v>VitaSteps?</v>
      </c>
    </row>
    <row r="2">
      <c r="A2" t="str">
        <v>2026-06-01</v>
      </c>
      <c r="B2" t="str">
        <v>Bevétel</v>
      </c>
      <c r="C2">
        <v>500000</v>
      </c>
      <c r="D2" t="str">
        <v>Fizetés</v>
      </c>
      <c r="E2" t="str">
        <v>OTP Készpénz</v>
      </c>
      <c r="F2" t="str">
        <v/>
      </c>
      <c r="G2" t="str">
        <v>Júniusi bér</v>
      </c>
      <c r="H2" t="str">
        <v>Nem</v>
      </c>
    </row>
    <row r="3">
      <c r="A3" t="str">
        <v>2026-06-02</v>
      </c>
      <c r="B3" t="str">
        <v>Átvezetés</v>
      </c>
      <c r="C3">
        <v>50000</v>
      </c>
      <c r="D3" t="str">
        <v/>
      </c>
      <c r="E3" t="str">
        <v/>
      </c>
      <c r="F3" t="str">
        <v>Vésztartalék</v>
      </c>
      <c r="G3" t="str">
        <v>Pénz félretétele</v>
      </c>
      <c r="H3" t="str">
        <v>Nem</v>
      </c>
    </row>
    <row r="4">
      <c r="A4" t="str">
        <v>2026-06-05</v>
      </c>
      <c r="B4" t="str">
        <v>Kiadás</v>
      </c>
      <c r="C4">
        <v>15000</v>
      </c>
      <c r="D4" t="str">
        <v>Étel-ital</v>
      </c>
      <c r="E4" t="str">
        <v>Revolut HUF</v>
      </c>
      <c r="F4" t="str">
        <v/>
      </c>
      <c r="G4" t="str">
        <v>Heti bevásárlás</v>
      </c>
      <c r="H4" t="str">
        <v>Nem</v>
      </c>
    </row>
    <row r="5">
      <c r="A5" t="str">
        <v>2026-06-10</v>
      </c>
      <c r="B5" t="str">
        <v>Bevétel</v>
      </c>
      <c r="C5">
        <v>120000</v>
      </c>
      <c r="D5" t="str">
        <v>Egyéb</v>
      </c>
      <c r="E5" t="str">
        <v>CIB Bank</v>
      </c>
      <c r="F5" t="str">
        <v/>
      </c>
      <c r="G5" t="str">
        <v>Projekt díj</v>
      </c>
      <c r="H5" t="str">
        <v>Igen</v>
      </c>
    </row>
    <row r="6">
      <c r="A6" t="str">
        <v>2026-06-12</v>
      </c>
      <c r="B6" t="str">
        <v>Kiadás</v>
      </c>
      <c r="C6">
        <v>20000</v>
      </c>
      <c r="D6" t="str">
        <v>Utazás</v>
      </c>
      <c r="E6" t="str">
        <v>Revolut HUF</v>
      </c>
      <c r="F6" t="str">
        <v>Utazás</v>
      </c>
      <c r="G6" t="str">
        <v>Repjegy</v>
      </c>
      <c r="H6" t="str">
        <v>Nem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💰 FŐ MUTATÓK</v>
      </c>
      <c r="B1" t="str">
        <v/>
      </c>
    </row>
    <row r="2">
      <c r="A2" t="str">
        <v>Összes Bevétel:</v>
      </c>
      <c r="B2">
        <f>SUMIF(Tranzakciók!B:B, "Bevétel", Tranzakciók!C:C)</f>
      </c>
    </row>
    <row r="3">
      <c r="A3" t="str">
        <v>Összes Kiadás:</v>
      </c>
      <c r="B3">
        <f>SUMIF(Tranzakciók!B:B, "Kiadás", Tranzakciók!C:C)</f>
      </c>
    </row>
    <row r="4">
      <c r="A4" t="str">
        <v>Teljes Vagyon:</v>
      </c>
      <c r="B4">
        <f>B2 - B3</f>
      </c>
    </row>
    <row r="5">
      <c r="A5" t="str">
        <v/>
      </c>
      <c r="B5" t="str">
        <v/>
      </c>
    </row>
    <row r="6">
      <c r="A6" t="str">
        <v>🎯 VIRTUÁLIS ZSEBEK</v>
      </c>
      <c r="B6" t="str">
        <v>Egyenleg</v>
      </c>
    </row>
    <row r="7">
      <c r="A7" t="str">
        <v>Utazás</v>
      </c>
      <c r="B7">
        <f>SUMIFS(Tranzakciók!C:C, Tranzakciók!B:B, "Átvezetés", Tranzakciók!F:F, A7) - SUMIFS(Tranzakciók!C:C, Tranzakciók!B:B, "Kiadás", Tranzakciók!F:F, A7)</f>
      </c>
    </row>
    <row r="8">
      <c r="A8" t="str">
        <v>Autó fenntartás</v>
      </c>
      <c r="B8">
        <f>SUMIFS(Tranzakciók!C:C, Tranzakciók!B:B, "Átvezetés", Tranzakciók!F:F, A8) - SUMIFS(Tranzakciók!C:C, Tranzakciók!B:B, "Kiadás", Tranzakciók!F:F, A8)</f>
      </c>
    </row>
    <row r="9">
      <c r="A9" t="str">
        <v>Vésztartalék</v>
      </c>
      <c r="B9">
        <f>SUMIFS(Tranzakciók!C:C, Tranzakciók!B:B, "Átvezetés", Tranzakciók!F:F, A9) - SUMIFS(Tranzakciók!C:C, Tranzakciók!B:B, "Kiadás", Tranzakciók!F:F, A9)</f>
      </c>
    </row>
    <row r="10">
      <c r="A10" t="str">
        <v>Technika</v>
      </c>
      <c r="B10">
        <f>SUMIFS(Tranzakciók!C:C, Tranzakciók!B:B, "Átvezetés", Tranzakciók!F:F, A10) - SUMIFS(Tranzakciók!C:C, Tranzakciók!B:B, "Kiadás", Tranzakciók!F:F, A10)</f>
      </c>
    </row>
    <row r="11">
      <c r="A11" t="str">
        <v>Ruházkodás</v>
      </c>
      <c r="B11">
        <f>SUMIFS(Tranzakciók!C:C, Tranzakciók!B:B, "Átvezetés", Tranzakciók!F:F, A11) - SUMIFS(Tranzakciók!C:C, Tranzakciók!B:B, "Kiadás", Tranzakciók!F:F, A11)</f>
      </c>
    </row>
    <row r="12">
      <c r="A12" t="str">
        <v>Befektetések</v>
      </c>
      <c r="B12">
        <f>SUMIFS(Tranzakciók!C:C, Tranzakciók!B:B, "Átvezetés", Tranzakciók!F:F, A12) - SUMIFS(Tranzakciók!C:C, Tranzakciók!B:B, "Kiadás", Tranzakciók!F:F, A12)</f>
      </c>
    </row>
    <row r="13">
      <c r="A13" t="str">
        <v>Zsebek Összesen:</v>
      </c>
      <c r="B13">
        <f>SUM(B7:B12)</f>
      </c>
    </row>
    <row r="14">
      <c r="A14" t="str">
        <v>Szabad Egyenleg:</v>
      </c>
      <c r="B14">
        <f>B4 - B13</f>
      </c>
    </row>
    <row r="15">
      <c r="A15" t="str">
        <v/>
      </c>
      <c r="B15" t="str">
        <v/>
      </c>
    </row>
    <row r="16">
      <c r="A16" t="str">
        <v>💼 VITASTEPS (ÜZLETI)</v>
      </c>
      <c r="B16" t="str">
        <v/>
      </c>
    </row>
    <row r="17">
      <c r="A17" t="str">
        <v>Üzleti Bevétel:</v>
      </c>
      <c r="B17">
        <f>SUMIFS(Tranzakciók!C:C, Tranzakciók!B:B, "Bevétel", Tranzakciók!H:H, "Igen")</f>
      </c>
    </row>
    <row r="18">
      <c r="A18" t="str">
        <v>Üzleti Kiadás:</v>
      </c>
      <c r="B18">
        <f>SUMIFS(Tranzakciók!C:C, Tranzakciók!B:B, "Kiadás", Tranzakciók!H:H, "Igen")</f>
      </c>
    </row>
    <row r="19">
      <c r="A19" t="str">
        <v>Üzleti Profit:</v>
      </c>
      <c r="B19">
        <f>B17 - B18</f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Beállítások</vt:lpstr>
      <vt:lpstr>Tranzakciók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