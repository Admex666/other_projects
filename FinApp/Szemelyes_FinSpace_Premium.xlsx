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állítások" state="visible" r:id="rId4"/>
    <sheet sheetId="2" name="Tranzakciók" state="visible" r:id="rId5"/>
    <sheet sheetId="3" name="Dashboard" state="visible" r:id="rId6"/>
  </sheets>
  <calcPr calcId="171027"/>
</workbook>
</file>

<file path=xl/sharedStrings.xml><?xml version="1.0" encoding="utf-8"?>
<sst xmlns="http://schemas.openxmlformats.org/spreadsheetml/2006/main" count="115" uniqueCount="66">
  <si>
    <t>Kategóriák</t>
  </si>
  <si>
    <t>Számlák</t>
  </si>
  <si>
    <t>Zsebek</t>
  </si>
  <si>
    <t>Típusok</t>
  </si>
  <si>
    <t>Igen/Nem</t>
  </si>
  <si>
    <t>Fizetés</t>
  </si>
  <si>
    <t>OTP Készpénz</t>
  </si>
  <si>
    <t>Utazás</t>
  </si>
  <si>
    <t>Bevétel</t>
  </si>
  <si>
    <t>Igen</t>
  </si>
  <si>
    <t>Ajándék</t>
  </si>
  <si>
    <t>Revolut HUF</t>
  </si>
  <si>
    <t>Autó fenntartás</t>
  </si>
  <si>
    <t>Kiadás</t>
  </si>
  <si>
    <t>Nem</t>
  </si>
  <si>
    <t>Étel-ital</t>
  </si>
  <si>
    <t>Revolut EUR</t>
  </si>
  <si>
    <t>Vésztartalék</t>
  </si>
  <si>
    <t>Átvezetés</t>
  </si>
  <si>
    <t/>
  </si>
  <si>
    <t>Közlekedés</t>
  </si>
  <si>
    <t>CIB Bank</t>
  </si>
  <si>
    <t>Technika</t>
  </si>
  <si>
    <t>Egészség</t>
  </si>
  <si>
    <t>Készpénz</t>
  </si>
  <si>
    <t>Ruházkodás</t>
  </si>
  <si>
    <t>Szórakozás</t>
  </si>
  <si>
    <t>Befektetések</t>
  </si>
  <si>
    <t>Lakhatás</t>
  </si>
  <si>
    <t>Egyéb</t>
  </si>
  <si>
    <t>Befektetés</t>
  </si>
  <si>
    <t>Dátum</t>
  </si>
  <si>
    <t>Típus</t>
  </si>
  <si>
    <t>Összeg</t>
  </si>
  <si>
    <t>Kategória</t>
  </si>
  <si>
    <t>Számla</t>
  </si>
  <si>
    <t>Zseb</t>
  </si>
  <si>
    <t>Megjegyzés</t>
  </si>
  <si>
    <t>VitaSteps?</t>
  </si>
  <si>
    <t>2026-06-01</t>
  </si>
  <si>
    <t>Júniusi bér</t>
  </si>
  <si>
    <t>2026-06-02</t>
  </si>
  <si>
    <t>Pénz félretétele</t>
  </si>
  <si>
    <t>2026-06-05</t>
  </si>
  <si>
    <t>Heti bevásárlás</t>
  </si>
  <si>
    <t>2026-06-10</t>
  </si>
  <si>
    <t>Projekt díj</t>
  </si>
  <si>
    <t>2026-06-12</t>
  </si>
  <si>
    <t>Repjegy</t>
  </si>
  <si>
    <t>💰 FŐ MUTATÓK (🔒 Auto)</t>
  </si>
  <si>
    <t>Összes Bevétel:</t>
  </si>
  <si>
    <t>Összes Kiadás:</t>
  </si>
  <si>
    <t>Teljes Vagyon:</t>
  </si>
  <si>
    <t>🎯 VIRTUÁLIS ZSEBEK (🔒 Auto)</t>
  </si>
  <si>
    <t>Utazás:</t>
  </si>
  <si>
    <t>Autó fenntartás:</t>
  </si>
  <si>
    <t>Vésztartalék:</t>
  </si>
  <si>
    <t>Technika:</t>
  </si>
  <si>
    <t>Ruházkodás:</t>
  </si>
  <si>
    <t>Befektetések:</t>
  </si>
  <si>
    <t>Zsebek Összesen:</t>
  </si>
  <si>
    <t>Szabad Egyenleg:</t>
  </si>
  <si>
    <t>💼 VITASTEPS (🔒 Auto)</t>
  </si>
  <si>
    <t>Üzleti Bevétel:</t>
  </si>
  <si>
    <t>Üzleti Kiadás:</t>
  </si>
  <si>
    <t>Üzleti Profit: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</si>
</sst>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t&quot;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4"/>
    </font>
    <font>
      <sz val="12"/>
    </font>
    <font>
      <b/>
      <sz val="12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164" fontId="0" fillId="4" borderId="1" xfId="0" applyNumberFormat="1" applyFill="1" applyBorder="1"/>
    <xf numFmtId="0" fontId="4" fillId="0" borderId="0" xfId="0" applyFont="1"/>
    <xf numFmtId="164" fontId="5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3" width="2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19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19</v>
      </c>
      <c r="E6" t="s">
        <v>19</v>
      </c>
    </row>
    <row r="7" spans="1:5" x14ac:dyDescent="0.25">
      <c r="A7" t="s">
        <v>26</v>
      </c>
      <c r="B7" t="s">
        <v>19</v>
      </c>
      <c r="C7" t="s">
        <v>27</v>
      </c>
      <c r="D7" t="s">
        <v>19</v>
      </c>
      <c r="E7" t="s">
        <v>19</v>
      </c>
    </row>
    <row r="8" spans="1:5" x14ac:dyDescent="0.25">
      <c r="A8" t="s">
        <v>7</v>
      </c>
      <c r="B8" t="s">
        <v>19</v>
      </c>
      <c r="C8" t="s">
        <v>19</v>
      </c>
      <c r="D8" t="s">
        <v>19</v>
      </c>
      <c r="E8" t="s">
        <v>19</v>
      </c>
    </row>
    <row r="9" spans="1:5" x14ac:dyDescent="0.25">
      <c r="A9" t="s">
        <v>28</v>
      </c>
      <c r="B9" t="s">
        <v>19</v>
      </c>
      <c r="C9" t="s">
        <v>19</v>
      </c>
      <c r="D9" t="s">
        <v>19</v>
      </c>
      <c r="E9" t="s">
        <v>19</v>
      </c>
    </row>
    <row r="10" spans="1:5" x14ac:dyDescent="0.25">
      <c r="A10" t="s">
        <v>29</v>
      </c>
      <c r="B10" t="s">
        <v>19</v>
      </c>
      <c r="C10" t="s">
        <v>19</v>
      </c>
      <c r="D10" t="s">
        <v>19</v>
      </c>
      <c r="E10" t="s">
        <v>19</v>
      </c>
    </row>
    <row r="11" spans="1:5" x14ac:dyDescent="0.25">
      <c r="A11" t="s">
        <v>30</v>
      </c>
      <c r="B11" t="s">
        <v>19</v>
      </c>
      <c r="C11" t="s">
        <v>19</v>
      </c>
      <c r="D11" t="s">
        <v>19</v>
      </c>
      <c r="E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5" style="2" customWidth="1"/>
    <col min="4" max="6" width="20" customWidth="1"/>
    <col min="7" max="7" width="40" customWidth="1"/>
    <col min="8" max="8" width="15" customWidth="1"/>
  </cols>
  <sheetData>
    <row r="1" spans="1:8" s="3" customFormat="1" x14ac:dyDescent="0.25">
      <c r="A1" s="3" t="s">
        <v>31</v>
      </c>
      <c r="B1" s="3" t="s">
        <v>32</v>
      </c>
      <c r="C1" s="4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s="5" customFormat="1" x14ac:dyDescent="0.25">
      <c r="A2" s="5" t="s">
        <v>39</v>
      </c>
      <c r="B2" s="5" t="s">
        <v>8</v>
      </c>
      <c r="C2" s="6">
        <v>500000</v>
      </c>
      <c r="D2" s="5" t="s">
        <v>5</v>
      </c>
      <c r="E2" s="5" t="s">
        <v>6</v>
      </c>
      <c r="F2" s="5" t="s">
        <v>19</v>
      </c>
      <c r="G2" s="5" t="s">
        <v>40</v>
      </c>
      <c r="H2" s="5" t="s">
        <v>14</v>
      </c>
    </row>
    <row r="3" spans="1:8" x14ac:dyDescent="0.25">
      <c r="A3" t="s">
        <v>41</v>
      </c>
      <c r="B3" t="s">
        <v>18</v>
      </c>
      <c r="C3" s="2">
        <v>50000</v>
      </c>
      <c r="D3" t="s">
        <v>19</v>
      </c>
      <c r="E3" t="s">
        <v>19</v>
      </c>
      <c r="F3" t="s">
        <v>17</v>
      </c>
      <c r="G3" t="s">
        <v>42</v>
      </c>
      <c r="H3" t="s">
        <v>14</v>
      </c>
    </row>
    <row r="4" spans="1:8" s="5" customFormat="1" x14ac:dyDescent="0.25">
      <c r="A4" s="5" t="s">
        <v>43</v>
      </c>
      <c r="B4" s="5" t="s">
        <v>13</v>
      </c>
      <c r="C4" s="6">
        <v>15000</v>
      </c>
      <c r="D4" s="5" t="s">
        <v>15</v>
      </c>
      <c r="E4" s="5" t="s">
        <v>11</v>
      </c>
      <c r="F4" s="5" t="s">
        <v>19</v>
      </c>
      <c r="G4" s="5" t="s">
        <v>44</v>
      </c>
      <c r="H4" s="5" t="s">
        <v>14</v>
      </c>
    </row>
    <row r="5" spans="1:8" x14ac:dyDescent="0.25">
      <c r="A5" t="s">
        <v>45</v>
      </c>
      <c r="B5" t="s">
        <v>8</v>
      </c>
      <c r="C5" s="2">
        <v>120000</v>
      </c>
      <c r="D5" t="s">
        <v>29</v>
      </c>
      <c r="E5" t="s">
        <v>21</v>
      </c>
      <c r="F5" t="s">
        <v>19</v>
      </c>
      <c r="G5" t="s">
        <v>46</v>
      </c>
      <c r="H5" t="s">
        <v>9</v>
      </c>
    </row>
    <row r="6" spans="1:8" s="5" customFormat="1" x14ac:dyDescent="0.25">
      <c r="A6" s="5" t="s">
        <v>47</v>
      </c>
      <c r="B6" s="5" t="s">
        <v>13</v>
      </c>
      <c r="C6" s="6">
        <v>20000</v>
      </c>
      <c r="D6" s="5" t="s">
        <v>7</v>
      </c>
      <c r="E6" s="5" t="s">
        <v>11</v>
      </c>
      <c r="F6" s="5" t="s">
        <v>7</v>
      </c>
      <c r="G6" s="5" t="s">
        <v>48</v>
      </c>
      <c r="H6" s="5" t="s">
        <v>14</v>
      </c>
    </row>
    <row r="7" spans="2:8" x14ac:dyDescent="0.25"/>
    <row r="8" spans="2:8" s="5" customFormat="1" x14ac:dyDescent="0.25">
      <c r="B8" s="5"/>
      <c r="D8" s="5"/>
      <c r="E8" s="5"/>
      <c r="F8" s="5"/>
      <c r="H8" s="5"/>
    </row>
    <row r="9" spans="2:8" x14ac:dyDescent="0.25"/>
    <row r="10" spans="2:8" s="5" customFormat="1" x14ac:dyDescent="0.25">
      <c r="B10" s="5"/>
      <c r="D10" s="5"/>
      <c r="E10" s="5"/>
      <c r="F10" s="5"/>
      <c r="H10" s="5"/>
    </row>
    <row r="11" spans="2:8" x14ac:dyDescent="0.25"/>
    <row r="12" spans="2:8" s="5" customFormat="1" x14ac:dyDescent="0.25">
      <c r="B12" s="5"/>
      <c r="D12" s="5"/>
      <c r="E12" s="5"/>
      <c r="F12" s="5"/>
      <c r="H12" s="5"/>
    </row>
    <row r="13" spans="2:8" x14ac:dyDescent="0.25"/>
    <row r="14" spans="2:8" s="5" customFormat="1" x14ac:dyDescent="0.25">
      <c r="B14" s="5"/>
      <c r="D14" s="5"/>
      <c r="E14" s="5"/>
      <c r="F14" s="5"/>
      <c r="H14" s="5"/>
    </row>
    <row r="15" spans="2:8" x14ac:dyDescent="0.25"/>
    <row r="16" spans="2:8" s="5" customFormat="1" x14ac:dyDescent="0.25">
      <c r="B16" s="5"/>
      <c r="D16" s="5"/>
      <c r="E16" s="5"/>
      <c r="F16" s="5"/>
      <c r="H16" s="5"/>
    </row>
    <row r="17" spans="2:8" x14ac:dyDescent="0.25"/>
    <row r="18" spans="2:8" s="5" customFormat="1" x14ac:dyDescent="0.25">
      <c r="B18" s="5"/>
      <c r="D18" s="5"/>
      <c r="E18" s="5"/>
      <c r="F18" s="5"/>
      <c r="H18" s="5"/>
    </row>
    <row r="19" spans="2:8" x14ac:dyDescent="0.25"/>
    <row r="20" spans="2:8" s="5" customFormat="1" x14ac:dyDescent="0.25">
      <c r="B20" s="5"/>
      <c r="D20" s="5"/>
      <c r="E20" s="5"/>
      <c r="F20" s="5"/>
      <c r="H20" s="5"/>
    </row>
    <row r="21" spans="2:8" x14ac:dyDescent="0.25"/>
    <row r="22" spans="2:8" s="5" customFormat="1" x14ac:dyDescent="0.25">
      <c r="B22" s="5"/>
      <c r="D22" s="5"/>
      <c r="E22" s="5"/>
      <c r="F22" s="5"/>
      <c r="H22" s="5"/>
    </row>
    <row r="23" spans="2:8" x14ac:dyDescent="0.25"/>
    <row r="24" spans="2:8" s="5" customFormat="1" x14ac:dyDescent="0.25">
      <c r="B24" s="5"/>
      <c r="D24" s="5"/>
      <c r="E24" s="5"/>
      <c r="F24" s="5"/>
      <c r="H24" s="5"/>
    </row>
    <row r="25" spans="2:8" x14ac:dyDescent="0.25"/>
    <row r="26" spans="2:8" s="5" customFormat="1" x14ac:dyDescent="0.25">
      <c r="B26" s="5"/>
      <c r="D26" s="5"/>
      <c r="E26" s="5"/>
      <c r="F26" s="5"/>
      <c r="H26" s="5"/>
    </row>
    <row r="27" spans="2:8" x14ac:dyDescent="0.25"/>
    <row r="28" spans="2:8" s="5" customFormat="1" x14ac:dyDescent="0.25">
      <c r="B28" s="5"/>
      <c r="D28" s="5"/>
      <c r="E28" s="5"/>
      <c r="F28" s="5"/>
      <c r="H28" s="5"/>
    </row>
    <row r="29" spans="2:8" x14ac:dyDescent="0.25"/>
    <row r="30" spans="2:8" s="5" customFormat="1" x14ac:dyDescent="0.25">
      <c r="B30" s="5"/>
      <c r="D30" s="5"/>
      <c r="E30" s="5"/>
      <c r="F30" s="5"/>
      <c r="H30" s="5"/>
    </row>
    <row r="31" spans="2:8" x14ac:dyDescent="0.25"/>
    <row r="32" spans="2:8" s="5" customFormat="1" x14ac:dyDescent="0.25">
      <c r="B32" s="5"/>
      <c r="D32" s="5"/>
      <c r="E32" s="5"/>
      <c r="F32" s="5"/>
      <c r="H32" s="5"/>
    </row>
    <row r="33" spans="2:8" x14ac:dyDescent="0.25"/>
    <row r="34" spans="2:8" s="5" customFormat="1" x14ac:dyDescent="0.25">
      <c r="B34" s="5"/>
      <c r="D34" s="5"/>
      <c r="E34" s="5"/>
      <c r="F34" s="5"/>
      <c r="H34" s="5"/>
    </row>
    <row r="35" spans="2:8" x14ac:dyDescent="0.25"/>
    <row r="36" spans="2:8" s="5" customFormat="1" x14ac:dyDescent="0.25">
      <c r="B36" s="5"/>
      <c r="D36" s="5"/>
      <c r="E36" s="5"/>
      <c r="F36" s="5"/>
      <c r="H36" s="5"/>
    </row>
    <row r="37" spans="2:8" x14ac:dyDescent="0.25"/>
    <row r="38" spans="2:8" s="5" customFormat="1" x14ac:dyDescent="0.25">
      <c r="B38" s="5"/>
      <c r="D38" s="5"/>
      <c r="E38" s="5"/>
      <c r="F38" s="5"/>
      <c r="H38" s="5"/>
    </row>
    <row r="39" spans="2:8" x14ac:dyDescent="0.25"/>
    <row r="40" spans="2:8" s="5" customFormat="1" x14ac:dyDescent="0.25">
      <c r="B40" s="5"/>
      <c r="D40" s="5"/>
      <c r="E40" s="5"/>
      <c r="F40" s="5"/>
      <c r="H40" s="5"/>
    </row>
    <row r="41" spans="2:8" x14ac:dyDescent="0.25"/>
    <row r="42" spans="2:8" s="5" customFormat="1" x14ac:dyDescent="0.25">
      <c r="B42" s="5"/>
      <c r="D42" s="5"/>
      <c r="E42" s="5"/>
      <c r="F42" s="5"/>
      <c r="H42" s="5"/>
    </row>
    <row r="43" spans="2:8" x14ac:dyDescent="0.25"/>
    <row r="44" spans="2:8" s="5" customFormat="1" x14ac:dyDescent="0.25">
      <c r="B44" s="5"/>
      <c r="D44" s="5"/>
      <c r="E44" s="5"/>
      <c r="F44" s="5"/>
      <c r="H44" s="5"/>
    </row>
    <row r="45" spans="2:8" x14ac:dyDescent="0.25"/>
    <row r="46" spans="2:8" s="5" customFormat="1" x14ac:dyDescent="0.25">
      <c r="B46" s="5"/>
      <c r="D46" s="5"/>
      <c r="E46" s="5"/>
      <c r="F46" s="5"/>
      <c r="H46" s="5"/>
    </row>
    <row r="47" spans="2:8" x14ac:dyDescent="0.25"/>
    <row r="48" spans="2:8" s="5" customFormat="1" x14ac:dyDescent="0.25">
      <c r="B48" s="5"/>
      <c r="D48" s="5"/>
      <c r="E48" s="5"/>
      <c r="F48" s="5"/>
      <c r="H48" s="5"/>
    </row>
    <row r="49" spans="2:8" x14ac:dyDescent="0.25"/>
    <row r="50" spans="2:8" s="5" customFormat="1" x14ac:dyDescent="0.25">
      <c r="B50" s="5"/>
      <c r="D50" s="5"/>
      <c r="E50" s="5"/>
      <c r="F50" s="5"/>
      <c r="H50" s="5"/>
    </row>
    <row r="51" spans="2:8" x14ac:dyDescent="0.25"/>
    <row r="52" spans="2:8" s="5" customFormat="1" x14ac:dyDescent="0.25">
      <c r="B52" s="5"/>
      <c r="D52" s="5"/>
      <c r="E52" s="5"/>
      <c r="F52" s="5"/>
      <c r="H52" s="5"/>
    </row>
    <row r="53" spans="2:8" x14ac:dyDescent="0.25"/>
    <row r="54" spans="2:8" s="5" customFormat="1" x14ac:dyDescent="0.25">
      <c r="B54" s="5"/>
      <c r="D54" s="5"/>
      <c r="E54" s="5"/>
      <c r="F54" s="5"/>
      <c r="H54" s="5"/>
    </row>
    <row r="55" spans="2:8" x14ac:dyDescent="0.25"/>
    <row r="56" spans="2:8" s="5" customFormat="1" x14ac:dyDescent="0.25">
      <c r="B56" s="5"/>
      <c r="D56" s="5"/>
      <c r="E56" s="5"/>
      <c r="F56" s="5"/>
      <c r="H56" s="5"/>
    </row>
    <row r="57" spans="2:8" x14ac:dyDescent="0.25"/>
    <row r="58" spans="2:8" s="5" customFormat="1" x14ac:dyDescent="0.25">
      <c r="B58" s="5"/>
      <c r="D58" s="5"/>
      <c r="E58" s="5"/>
      <c r="F58" s="5"/>
      <c r="H58" s="5"/>
    </row>
    <row r="59" spans="2:8" x14ac:dyDescent="0.25"/>
    <row r="60" spans="2:8" s="5" customFormat="1" x14ac:dyDescent="0.25">
      <c r="B60" s="5"/>
      <c r="D60" s="5"/>
      <c r="E60" s="5"/>
      <c r="F60" s="5"/>
      <c r="H60" s="5"/>
    </row>
    <row r="61" spans="2:8" x14ac:dyDescent="0.25"/>
    <row r="62" spans="2:8" s="5" customFormat="1" x14ac:dyDescent="0.25">
      <c r="B62" s="5"/>
      <c r="D62" s="5"/>
      <c r="E62" s="5"/>
      <c r="F62" s="5"/>
      <c r="H62" s="5"/>
    </row>
    <row r="63" spans="2:8" x14ac:dyDescent="0.25"/>
    <row r="64" spans="2:8" s="5" customFormat="1" x14ac:dyDescent="0.25">
      <c r="B64" s="5"/>
      <c r="D64" s="5"/>
      <c r="E64" s="5"/>
      <c r="F64" s="5"/>
      <c r="H64" s="5"/>
    </row>
    <row r="65" spans="2:8" x14ac:dyDescent="0.25"/>
    <row r="66" spans="2:8" s="5" customFormat="1" x14ac:dyDescent="0.25">
      <c r="B66" s="5"/>
      <c r="D66" s="5"/>
      <c r="E66" s="5"/>
      <c r="F66" s="5"/>
      <c r="H66" s="5"/>
    </row>
    <row r="67" spans="2:8" x14ac:dyDescent="0.25"/>
    <row r="68" spans="2:8" s="5" customFormat="1" x14ac:dyDescent="0.25">
      <c r="B68" s="5"/>
      <c r="D68" s="5"/>
      <c r="E68" s="5"/>
      <c r="F68" s="5"/>
      <c r="H68" s="5"/>
    </row>
    <row r="69" spans="2:8" x14ac:dyDescent="0.25"/>
    <row r="70" spans="2:8" s="5" customFormat="1" x14ac:dyDescent="0.25">
      <c r="B70" s="5"/>
      <c r="D70" s="5"/>
      <c r="E70" s="5"/>
      <c r="F70" s="5"/>
      <c r="H70" s="5"/>
    </row>
    <row r="71" spans="2:8" x14ac:dyDescent="0.25"/>
    <row r="72" spans="2:8" s="5" customFormat="1" x14ac:dyDescent="0.25">
      <c r="B72" s="5"/>
      <c r="D72" s="5"/>
      <c r="E72" s="5"/>
      <c r="F72" s="5"/>
      <c r="H72" s="5"/>
    </row>
    <row r="73" spans="2:8" x14ac:dyDescent="0.25"/>
    <row r="74" spans="2:8" s="5" customFormat="1" x14ac:dyDescent="0.25">
      <c r="B74" s="5"/>
      <c r="D74" s="5"/>
      <c r="E74" s="5"/>
      <c r="F74" s="5"/>
      <c r="H74" s="5"/>
    </row>
    <row r="75" spans="2:8" x14ac:dyDescent="0.25"/>
    <row r="76" spans="2:8" s="5" customFormat="1" x14ac:dyDescent="0.25">
      <c r="B76" s="5"/>
      <c r="D76" s="5"/>
      <c r="E76" s="5"/>
      <c r="F76" s="5"/>
      <c r="H76" s="5"/>
    </row>
    <row r="77" spans="2:8" x14ac:dyDescent="0.25"/>
    <row r="78" spans="2:8" s="5" customFormat="1" x14ac:dyDescent="0.25">
      <c r="B78" s="5"/>
      <c r="D78" s="5"/>
      <c r="E78" s="5"/>
      <c r="F78" s="5"/>
      <c r="H78" s="5"/>
    </row>
    <row r="79" spans="2:8" x14ac:dyDescent="0.25"/>
    <row r="80" spans="2:8" s="5" customFormat="1" x14ac:dyDescent="0.25">
      <c r="B80" s="5"/>
      <c r="D80" s="5"/>
      <c r="E80" s="5"/>
      <c r="F80" s="5"/>
      <c r="H80" s="5"/>
    </row>
    <row r="81" spans="2:8" x14ac:dyDescent="0.25"/>
    <row r="82" spans="2:8" s="5" customFormat="1" x14ac:dyDescent="0.25">
      <c r="B82" s="5"/>
      <c r="D82" s="5"/>
      <c r="E82" s="5"/>
      <c r="F82" s="5"/>
      <c r="H82" s="5"/>
    </row>
    <row r="83" spans="2:8" x14ac:dyDescent="0.25"/>
    <row r="84" spans="2:8" s="5" customFormat="1" x14ac:dyDescent="0.25">
      <c r="B84" s="5"/>
      <c r="D84" s="5"/>
      <c r="E84" s="5"/>
      <c r="F84" s="5"/>
      <c r="H84" s="5"/>
    </row>
    <row r="85" spans="2:8" x14ac:dyDescent="0.25"/>
    <row r="86" spans="2:8" s="5" customFormat="1" x14ac:dyDescent="0.25">
      <c r="B86" s="5"/>
      <c r="D86" s="5"/>
      <c r="E86" s="5"/>
      <c r="F86" s="5"/>
      <c r="H86" s="5"/>
    </row>
    <row r="87" spans="2:8" x14ac:dyDescent="0.25"/>
    <row r="88" spans="2:8" s="5" customFormat="1" x14ac:dyDescent="0.25">
      <c r="B88" s="5"/>
      <c r="D88" s="5"/>
      <c r="E88" s="5"/>
      <c r="F88" s="5"/>
      <c r="H88" s="5"/>
    </row>
    <row r="89" spans="2:8" x14ac:dyDescent="0.25"/>
    <row r="90" spans="2:8" s="5" customFormat="1" x14ac:dyDescent="0.25">
      <c r="B90" s="5"/>
      <c r="D90" s="5"/>
      <c r="E90" s="5"/>
      <c r="F90" s="5"/>
      <c r="H90" s="5"/>
    </row>
    <row r="91" spans="2:8" x14ac:dyDescent="0.25"/>
    <row r="92" spans="2:8" s="5" customFormat="1" x14ac:dyDescent="0.25">
      <c r="B92" s="5"/>
      <c r="D92" s="5"/>
      <c r="E92" s="5"/>
      <c r="F92" s="5"/>
      <c r="H92" s="5"/>
    </row>
    <row r="93" spans="2:8" x14ac:dyDescent="0.25"/>
    <row r="94" spans="2:8" s="5" customFormat="1" x14ac:dyDescent="0.25">
      <c r="B94" s="5"/>
      <c r="D94" s="5"/>
      <c r="E94" s="5"/>
      <c r="F94" s="5"/>
      <c r="H94" s="5"/>
    </row>
    <row r="95" spans="2:8" x14ac:dyDescent="0.25"/>
    <row r="96" spans="2:8" s="5" customFormat="1" x14ac:dyDescent="0.25">
      <c r="B96" s="5"/>
      <c r="D96" s="5"/>
      <c r="E96" s="5"/>
      <c r="F96" s="5"/>
      <c r="H96" s="5"/>
    </row>
    <row r="97" spans="2:8" x14ac:dyDescent="0.25"/>
    <row r="98" spans="2:8" s="5" customFormat="1" x14ac:dyDescent="0.25">
      <c r="B98" s="5"/>
      <c r="D98" s="5"/>
      <c r="E98" s="5"/>
      <c r="F98" s="5"/>
      <c r="H98" s="5"/>
    </row>
    <row r="99" spans="2:8" x14ac:dyDescent="0.25"/>
    <row r="100" spans="2:8" s="5" customFormat="1" x14ac:dyDescent="0.25">
      <c r="B100" s="5"/>
      <c r="D100" s="5"/>
      <c r="E100" s="5"/>
      <c r="F100" s="5"/>
      <c r="H100" s="5"/>
    </row>
    <row r="101" spans="2:8" x14ac:dyDescent="0.25"/>
    <row r="102" spans="2:8" s="5" customFormat="1" x14ac:dyDescent="0.25">
      <c r="B102" s="5"/>
      <c r="D102" s="5"/>
      <c r="E102" s="5"/>
      <c r="F102" s="5"/>
      <c r="H102" s="5"/>
    </row>
    <row r="103" spans="2:8" x14ac:dyDescent="0.25"/>
    <row r="104" spans="2:8" s="5" customFormat="1" x14ac:dyDescent="0.25">
      <c r="B104" s="5"/>
      <c r="D104" s="5"/>
      <c r="E104" s="5"/>
      <c r="F104" s="5"/>
      <c r="H104" s="5"/>
    </row>
    <row r="105" spans="2:8" x14ac:dyDescent="0.25"/>
    <row r="106" spans="2:8" s="5" customFormat="1" x14ac:dyDescent="0.25">
      <c r="B106" s="5"/>
      <c r="D106" s="5"/>
      <c r="E106" s="5"/>
      <c r="F106" s="5"/>
      <c r="H106" s="5"/>
    </row>
    <row r="107" spans="2:8" x14ac:dyDescent="0.25"/>
    <row r="108" spans="2:8" s="5" customFormat="1" x14ac:dyDescent="0.25">
      <c r="B108" s="5"/>
      <c r="D108" s="5"/>
      <c r="E108" s="5"/>
      <c r="F108" s="5"/>
      <c r="H108" s="5"/>
    </row>
    <row r="109" spans="2:8" x14ac:dyDescent="0.25"/>
    <row r="110" spans="2:8" s="5" customFormat="1" x14ac:dyDescent="0.25">
      <c r="B110" s="5"/>
      <c r="D110" s="5"/>
      <c r="E110" s="5"/>
      <c r="F110" s="5"/>
      <c r="H110" s="5"/>
    </row>
    <row r="111" spans="2:8" x14ac:dyDescent="0.25"/>
    <row r="112" spans="2:8" s="5" customFormat="1" x14ac:dyDescent="0.25">
      <c r="B112" s="5"/>
      <c r="D112" s="5"/>
      <c r="E112" s="5"/>
      <c r="F112" s="5"/>
      <c r="H112" s="5"/>
    </row>
    <row r="113" spans="2:8" x14ac:dyDescent="0.25"/>
    <row r="114" spans="2:8" s="5" customFormat="1" x14ac:dyDescent="0.25">
      <c r="B114" s="5"/>
      <c r="D114" s="5"/>
      <c r="E114" s="5"/>
      <c r="F114" s="5"/>
      <c r="H114" s="5"/>
    </row>
    <row r="115" spans="2:8" x14ac:dyDescent="0.25"/>
    <row r="116" spans="2:8" s="5" customFormat="1" x14ac:dyDescent="0.25">
      <c r="B116" s="5"/>
      <c r="D116" s="5"/>
      <c r="E116" s="5"/>
      <c r="F116" s="5"/>
      <c r="H116" s="5"/>
    </row>
    <row r="117" spans="2:8" x14ac:dyDescent="0.25"/>
    <row r="118" spans="2:8" s="5" customFormat="1" x14ac:dyDescent="0.25">
      <c r="B118" s="5"/>
      <c r="D118" s="5"/>
      <c r="E118" s="5"/>
      <c r="F118" s="5"/>
      <c r="H118" s="5"/>
    </row>
    <row r="119" spans="2:8" x14ac:dyDescent="0.25"/>
    <row r="120" spans="2:8" s="5" customFormat="1" x14ac:dyDescent="0.25">
      <c r="B120" s="5"/>
      <c r="D120" s="5"/>
      <c r="E120" s="5"/>
      <c r="F120" s="5"/>
      <c r="H120" s="5"/>
    </row>
    <row r="121" spans="2:8" x14ac:dyDescent="0.25"/>
    <row r="122" spans="2:8" s="5" customFormat="1" x14ac:dyDescent="0.25">
      <c r="B122" s="5"/>
      <c r="D122" s="5"/>
      <c r="E122" s="5"/>
      <c r="F122" s="5"/>
      <c r="H122" s="5"/>
    </row>
    <row r="123" spans="2:8" x14ac:dyDescent="0.25"/>
    <row r="124" spans="2:8" s="5" customFormat="1" x14ac:dyDescent="0.25">
      <c r="B124" s="5"/>
      <c r="D124" s="5"/>
      <c r="E124" s="5"/>
      <c r="F124" s="5"/>
      <c r="H124" s="5"/>
    </row>
    <row r="125" spans="2:8" x14ac:dyDescent="0.25"/>
    <row r="126" spans="2:8" s="5" customFormat="1" x14ac:dyDescent="0.25">
      <c r="B126" s="5"/>
      <c r="D126" s="5"/>
      <c r="E126" s="5"/>
      <c r="F126" s="5"/>
      <c r="H126" s="5"/>
    </row>
    <row r="127" spans="2:8" x14ac:dyDescent="0.25"/>
    <row r="128" spans="2:8" s="5" customFormat="1" x14ac:dyDescent="0.25">
      <c r="B128" s="5"/>
      <c r="D128" s="5"/>
      <c r="E128" s="5"/>
      <c r="F128" s="5"/>
      <c r="H128" s="5"/>
    </row>
    <row r="129" spans="2:8" x14ac:dyDescent="0.25"/>
    <row r="130" spans="2:8" s="5" customFormat="1" x14ac:dyDescent="0.25">
      <c r="B130" s="5"/>
      <c r="D130" s="5"/>
      <c r="E130" s="5"/>
      <c r="F130" s="5"/>
      <c r="H130" s="5"/>
    </row>
    <row r="131" spans="2:8" x14ac:dyDescent="0.25"/>
    <row r="132" spans="2:8" s="5" customFormat="1" x14ac:dyDescent="0.25">
      <c r="B132" s="5"/>
      <c r="D132" s="5"/>
      <c r="E132" s="5"/>
      <c r="F132" s="5"/>
      <c r="H132" s="5"/>
    </row>
    <row r="133" spans="2:8" x14ac:dyDescent="0.25"/>
    <row r="134" spans="2:8" s="5" customFormat="1" x14ac:dyDescent="0.25">
      <c r="B134" s="5"/>
      <c r="D134" s="5"/>
      <c r="E134" s="5"/>
      <c r="F134" s="5"/>
      <c r="H134" s="5"/>
    </row>
    <row r="135" spans="2:8" x14ac:dyDescent="0.25"/>
    <row r="136" spans="2:8" s="5" customFormat="1" x14ac:dyDescent="0.25">
      <c r="B136" s="5"/>
      <c r="D136" s="5"/>
      <c r="E136" s="5"/>
      <c r="F136" s="5"/>
      <c r="H136" s="5"/>
    </row>
    <row r="137" spans="2:8" x14ac:dyDescent="0.25"/>
    <row r="138" spans="2:8" s="5" customFormat="1" x14ac:dyDescent="0.25">
      <c r="B138" s="5"/>
      <c r="D138" s="5"/>
      <c r="E138" s="5"/>
      <c r="F138" s="5"/>
      <c r="H138" s="5"/>
    </row>
    <row r="139" spans="2:8" x14ac:dyDescent="0.25"/>
    <row r="140" spans="2:8" s="5" customFormat="1" x14ac:dyDescent="0.25">
      <c r="B140" s="5"/>
      <c r="D140" s="5"/>
      <c r="E140" s="5"/>
      <c r="F140" s="5"/>
      <c r="H140" s="5"/>
    </row>
    <row r="141" spans="2:8" x14ac:dyDescent="0.25"/>
    <row r="142" spans="2:8" s="5" customFormat="1" x14ac:dyDescent="0.25">
      <c r="B142" s="5"/>
      <c r="D142" s="5"/>
      <c r="E142" s="5"/>
      <c r="F142" s="5"/>
      <c r="H142" s="5"/>
    </row>
    <row r="143" spans="2:8" x14ac:dyDescent="0.25"/>
    <row r="144" spans="2:8" s="5" customFormat="1" x14ac:dyDescent="0.25">
      <c r="B144" s="5"/>
      <c r="D144" s="5"/>
      <c r="E144" s="5"/>
      <c r="F144" s="5"/>
      <c r="H144" s="5"/>
    </row>
    <row r="145" spans="2:8" x14ac:dyDescent="0.25"/>
    <row r="146" spans="2:8" s="5" customFormat="1" x14ac:dyDescent="0.25">
      <c r="B146" s="5"/>
      <c r="D146" s="5"/>
      <c r="E146" s="5"/>
      <c r="F146" s="5"/>
      <c r="H146" s="5"/>
    </row>
    <row r="147" spans="2:8" x14ac:dyDescent="0.25"/>
    <row r="148" spans="2:8" s="5" customFormat="1" x14ac:dyDescent="0.25">
      <c r="B148" s="5"/>
      <c r="D148" s="5"/>
      <c r="E148" s="5"/>
      <c r="F148" s="5"/>
      <c r="H148" s="5"/>
    </row>
    <row r="149" spans="2:8" x14ac:dyDescent="0.25"/>
    <row r="150" spans="2:8" s="5" customFormat="1" x14ac:dyDescent="0.25">
      <c r="B150" s="5"/>
      <c r="D150" s="5"/>
      <c r="E150" s="5"/>
      <c r="F150" s="5"/>
      <c r="H150" s="5"/>
    </row>
    <row r="151" spans="2:8" x14ac:dyDescent="0.25"/>
    <row r="152" spans="2:8" s="5" customFormat="1" x14ac:dyDescent="0.25">
      <c r="B152" s="5"/>
      <c r="D152" s="5"/>
      <c r="E152" s="5"/>
      <c r="F152" s="5"/>
      <c r="H152" s="5"/>
    </row>
    <row r="153" spans="2:8" x14ac:dyDescent="0.25"/>
    <row r="154" spans="2:8" s="5" customFormat="1" x14ac:dyDescent="0.25">
      <c r="B154" s="5"/>
      <c r="D154" s="5"/>
      <c r="E154" s="5"/>
      <c r="F154" s="5"/>
      <c r="H154" s="5"/>
    </row>
    <row r="155" spans="2:8" x14ac:dyDescent="0.25"/>
    <row r="156" spans="2:8" s="5" customFormat="1" x14ac:dyDescent="0.25">
      <c r="B156" s="5"/>
      <c r="D156" s="5"/>
      <c r="E156" s="5"/>
      <c r="F156" s="5"/>
      <c r="H156" s="5"/>
    </row>
    <row r="157" spans="2:8" x14ac:dyDescent="0.25"/>
    <row r="158" spans="2:8" s="5" customFormat="1" x14ac:dyDescent="0.25">
      <c r="B158" s="5"/>
      <c r="D158" s="5"/>
      <c r="E158" s="5"/>
      <c r="F158" s="5"/>
      <c r="H158" s="5"/>
    </row>
    <row r="159" spans="2:8" x14ac:dyDescent="0.25"/>
    <row r="160" spans="2:8" s="5" customFormat="1" x14ac:dyDescent="0.25">
      <c r="B160" s="5"/>
      <c r="D160" s="5"/>
      <c r="E160" s="5"/>
      <c r="F160" s="5"/>
      <c r="H160" s="5"/>
    </row>
    <row r="161" spans="2:8" x14ac:dyDescent="0.25"/>
    <row r="162" spans="2:8" s="5" customFormat="1" x14ac:dyDescent="0.25">
      <c r="B162" s="5"/>
      <c r="D162" s="5"/>
      <c r="E162" s="5"/>
      <c r="F162" s="5"/>
      <c r="H162" s="5"/>
    </row>
    <row r="163" spans="2:8" x14ac:dyDescent="0.25"/>
    <row r="164" spans="2:8" s="5" customFormat="1" x14ac:dyDescent="0.25">
      <c r="B164" s="5"/>
      <c r="D164" s="5"/>
      <c r="E164" s="5"/>
      <c r="F164" s="5"/>
      <c r="H164" s="5"/>
    </row>
    <row r="165" spans="2:8" x14ac:dyDescent="0.25"/>
    <row r="166" spans="2:8" s="5" customFormat="1" x14ac:dyDescent="0.25">
      <c r="B166" s="5"/>
      <c r="D166" s="5"/>
      <c r="E166" s="5"/>
      <c r="F166" s="5"/>
      <c r="H166" s="5"/>
    </row>
    <row r="167" spans="2:8" x14ac:dyDescent="0.25"/>
    <row r="168" spans="2:8" s="5" customFormat="1" x14ac:dyDescent="0.25">
      <c r="B168" s="5"/>
      <c r="D168" s="5"/>
      <c r="E168" s="5"/>
      <c r="F168" s="5"/>
      <c r="H168" s="5"/>
    </row>
    <row r="169" spans="2:8" x14ac:dyDescent="0.25"/>
    <row r="170" spans="2:8" s="5" customFormat="1" x14ac:dyDescent="0.25">
      <c r="B170" s="5"/>
      <c r="D170" s="5"/>
      <c r="E170" s="5"/>
      <c r="F170" s="5"/>
      <c r="H170" s="5"/>
    </row>
    <row r="171" spans="2:8" x14ac:dyDescent="0.25"/>
    <row r="172" spans="2:8" s="5" customFormat="1" x14ac:dyDescent="0.25">
      <c r="B172" s="5"/>
      <c r="D172" s="5"/>
      <c r="E172" s="5"/>
      <c r="F172" s="5"/>
      <c r="H172" s="5"/>
    </row>
    <row r="173" spans="2:8" x14ac:dyDescent="0.25"/>
    <row r="174" spans="2:8" s="5" customFormat="1" x14ac:dyDescent="0.25">
      <c r="B174" s="5"/>
      <c r="D174" s="5"/>
      <c r="E174" s="5"/>
      <c r="F174" s="5"/>
      <c r="H174" s="5"/>
    </row>
    <row r="175" spans="2:8" x14ac:dyDescent="0.25"/>
    <row r="176" spans="2:8" s="5" customFormat="1" x14ac:dyDescent="0.25">
      <c r="B176" s="5"/>
      <c r="D176" s="5"/>
      <c r="E176" s="5"/>
      <c r="F176" s="5"/>
      <c r="H176" s="5"/>
    </row>
    <row r="177" spans="2:8" x14ac:dyDescent="0.25"/>
    <row r="178" spans="2:8" s="5" customFormat="1" x14ac:dyDescent="0.25">
      <c r="B178" s="5"/>
      <c r="D178" s="5"/>
      <c r="E178" s="5"/>
      <c r="F178" s="5"/>
      <c r="H178" s="5"/>
    </row>
    <row r="179" spans="2:8" x14ac:dyDescent="0.25"/>
    <row r="180" spans="2:8" s="5" customFormat="1" x14ac:dyDescent="0.25">
      <c r="B180" s="5"/>
      <c r="D180" s="5"/>
      <c r="E180" s="5"/>
      <c r="F180" s="5"/>
      <c r="H180" s="5"/>
    </row>
    <row r="181" spans="2:8" x14ac:dyDescent="0.25"/>
    <row r="182" spans="2:8" s="5" customFormat="1" x14ac:dyDescent="0.25">
      <c r="B182" s="5"/>
      <c r="D182" s="5"/>
      <c r="E182" s="5"/>
      <c r="F182" s="5"/>
      <c r="H182" s="5"/>
    </row>
    <row r="183" spans="2:8" x14ac:dyDescent="0.25"/>
    <row r="184" spans="2:8" s="5" customFormat="1" x14ac:dyDescent="0.25">
      <c r="B184" s="5"/>
      <c r="D184" s="5"/>
      <c r="E184" s="5"/>
      <c r="F184" s="5"/>
      <c r="H184" s="5"/>
    </row>
    <row r="185" spans="2:8" x14ac:dyDescent="0.25"/>
    <row r="186" spans="2:8" s="5" customFormat="1" x14ac:dyDescent="0.25">
      <c r="B186" s="5"/>
      <c r="D186" s="5"/>
      <c r="E186" s="5"/>
      <c r="F186" s="5"/>
      <c r="H186" s="5"/>
    </row>
    <row r="187" spans="2:8" x14ac:dyDescent="0.25"/>
    <row r="188" spans="2:8" s="5" customFormat="1" x14ac:dyDescent="0.25">
      <c r="B188" s="5"/>
      <c r="D188" s="5"/>
      <c r="E188" s="5"/>
      <c r="F188" s="5"/>
      <c r="H188" s="5"/>
    </row>
    <row r="189" spans="2:8" x14ac:dyDescent="0.25"/>
    <row r="190" spans="2:8" s="5" customFormat="1" x14ac:dyDescent="0.25">
      <c r="B190" s="5"/>
      <c r="D190" s="5"/>
      <c r="E190" s="5"/>
      <c r="F190" s="5"/>
      <c r="H190" s="5"/>
    </row>
    <row r="191" spans="2:8" x14ac:dyDescent="0.25"/>
    <row r="192" spans="2:8" s="5" customFormat="1" x14ac:dyDescent="0.25">
      <c r="B192" s="5"/>
      <c r="D192" s="5"/>
      <c r="E192" s="5"/>
      <c r="F192" s="5"/>
      <c r="H192" s="5"/>
    </row>
    <row r="193" spans="2:8" x14ac:dyDescent="0.25"/>
    <row r="194" spans="2:8" s="5" customFormat="1" x14ac:dyDescent="0.25">
      <c r="B194" s="5"/>
      <c r="D194" s="5"/>
      <c r="E194" s="5"/>
      <c r="F194" s="5"/>
      <c r="H194" s="5"/>
    </row>
    <row r="195" spans="2:8" x14ac:dyDescent="0.25"/>
    <row r="196" spans="2:8" s="5" customFormat="1" x14ac:dyDescent="0.25">
      <c r="B196" s="5"/>
      <c r="D196" s="5"/>
      <c r="E196" s="5"/>
      <c r="F196" s="5"/>
      <c r="H196" s="5"/>
    </row>
    <row r="197" spans="2:8" x14ac:dyDescent="0.25"/>
    <row r="198" spans="2:8" s="5" customFormat="1" x14ac:dyDescent="0.25">
      <c r="B198" s="5"/>
      <c r="D198" s="5"/>
      <c r="E198" s="5"/>
      <c r="F198" s="5"/>
      <c r="H198" s="5"/>
    </row>
    <row r="199" spans="2:8" x14ac:dyDescent="0.25"/>
    <row r="200" spans="2:8" s="5" customFormat="1" x14ac:dyDescent="0.25">
      <c r="B200" s="5"/>
      <c r="D200" s="5"/>
      <c r="E200" s="5"/>
      <c r="F200" s="5"/>
      <c r="H200" s="5"/>
    </row>
    <row r="201" spans="2:8" x14ac:dyDescent="0.25"/>
    <row r="202" spans="2:8" s="5" customFormat="1" x14ac:dyDescent="0.25">
      <c r="B202" s="5"/>
      <c r="D202" s="5"/>
      <c r="E202" s="5"/>
      <c r="F202" s="5"/>
      <c r="H202" s="5"/>
    </row>
    <row r="203" spans="2:8" x14ac:dyDescent="0.25"/>
    <row r="204" spans="2:8" s="5" customFormat="1" x14ac:dyDescent="0.25">
      <c r="B204" s="5"/>
      <c r="D204" s="5"/>
      <c r="E204" s="5"/>
      <c r="F204" s="5"/>
      <c r="H204" s="5"/>
    </row>
    <row r="205" spans="2:8" x14ac:dyDescent="0.25"/>
    <row r="206" spans="2:8" s="5" customFormat="1" x14ac:dyDescent="0.25">
      <c r="B206" s="5"/>
      <c r="D206" s="5"/>
      <c r="E206" s="5"/>
      <c r="F206" s="5"/>
      <c r="H206" s="5"/>
    </row>
    <row r="207" spans="2:8" x14ac:dyDescent="0.25"/>
    <row r="208" spans="2:8" s="5" customFormat="1" x14ac:dyDescent="0.25">
      <c r="B208" s="5"/>
      <c r="D208" s="5"/>
      <c r="E208" s="5"/>
      <c r="F208" s="5"/>
      <c r="H208" s="5"/>
    </row>
    <row r="209" spans="2:8" x14ac:dyDescent="0.25"/>
    <row r="210" spans="2:8" s="5" customFormat="1" x14ac:dyDescent="0.25">
      <c r="B210" s="5"/>
      <c r="D210" s="5"/>
      <c r="E210" s="5"/>
      <c r="F210" s="5"/>
      <c r="H210" s="5"/>
    </row>
    <row r="211" spans="2:8" x14ac:dyDescent="0.25"/>
    <row r="212" spans="2:8" s="5" customFormat="1" x14ac:dyDescent="0.25">
      <c r="B212" s="5"/>
      <c r="D212" s="5"/>
      <c r="E212" s="5"/>
      <c r="F212" s="5"/>
      <c r="H212" s="5"/>
    </row>
    <row r="213" spans="2:8" x14ac:dyDescent="0.25"/>
    <row r="214" spans="2:8" s="5" customFormat="1" x14ac:dyDescent="0.25">
      <c r="B214" s="5"/>
      <c r="D214" s="5"/>
      <c r="E214" s="5"/>
      <c r="F214" s="5"/>
      <c r="H214" s="5"/>
    </row>
    <row r="215" spans="2:8" x14ac:dyDescent="0.25"/>
    <row r="216" spans="2:8" s="5" customFormat="1" x14ac:dyDescent="0.25">
      <c r="B216" s="5"/>
      <c r="D216" s="5"/>
      <c r="E216" s="5"/>
      <c r="F216" s="5"/>
      <c r="H216" s="5"/>
    </row>
    <row r="217" spans="2:8" x14ac:dyDescent="0.25"/>
    <row r="218" spans="2:8" s="5" customFormat="1" x14ac:dyDescent="0.25">
      <c r="B218" s="5"/>
      <c r="D218" s="5"/>
      <c r="E218" s="5"/>
      <c r="F218" s="5"/>
      <c r="H218" s="5"/>
    </row>
    <row r="219" spans="2:8" x14ac:dyDescent="0.25"/>
    <row r="220" spans="2:8" s="5" customFormat="1" x14ac:dyDescent="0.25">
      <c r="B220" s="5"/>
      <c r="D220" s="5"/>
      <c r="E220" s="5"/>
      <c r="F220" s="5"/>
      <c r="H220" s="5"/>
    </row>
    <row r="221" spans="2:8" x14ac:dyDescent="0.25"/>
    <row r="222" spans="2:8" s="5" customFormat="1" x14ac:dyDescent="0.25">
      <c r="B222" s="5"/>
      <c r="D222" s="5"/>
      <c r="E222" s="5"/>
      <c r="F222" s="5"/>
      <c r="H222" s="5"/>
    </row>
    <row r="223" spans="2:8" x14ac:dyDescent="0.25"/>
    <row r="224" spans="2:8" s="5" customFormat="1" x14ac:dyDescent="0.25">
      <c r="B224" s="5"/>
      <c r="D224" s="5"/>
      <c r="E224" s="5"/>
      <c r="F224" s="5"/>
      <c r="H224" s="5"/>
    </row>
    <row r="225" spans="2:8" x14ac:dyDescent="0.25"/>
    <row r="226" spans="2:8" s="5" customFormat="1" x14ac:dyDescent="0.25">
      <c r="B226" s="5"/>
      <c r="D226" s="5"/>
      <c r="E226" s="5"/>
      <c r="F226" s="5"/>
      <c r="H226" s="5"/>
    </row>
    <row r="227" spans="2:8" x14ac:dyDescent="0.25"/>
    <row r="228" spans="2:8" s="5" customFormat="1" x14ac:dyDescent="0.25">
      <c r="B228" s="5"/>
      <c r="D228" s="5"/>
      <c r="E228" s="5"/>
      <c r="F228" s="5"/>
      <c r="H228" s="5"/>
    </row>
    <row r="229" spans="2:8" x14ac:dyDescent="0.25"/>
    <row r="230" spans="2:8" s="5" customFormat="1" x14ac:dyDescent="0.25">
      <c r="B230" s="5"/>
      <c r="D230" s="5"/>
      <c r="E230" s="5"/>
      <c r="F230" s="5"/>
      <c r="H230" s="5"/>
    </row>
    <row r="231" spans="2:8" x14ac:dyDescent="0.25"/>
    <row r="232" spans="2:8" s="5" customFormat="1" x14ac:dyDescent="0.25">
      <c r="B232" s="5"/>
      <c r="D232" s="5"/>
      <c r="E232" s="5"/>
      <c r="F232" s="5"/>
      <c r="H232" s="5"/>
    </row>
    <row r="233" spans="2:8" x14ac:dyDescent="0.25"/>
    <row r="234" spans="2:8" s="5" customFormat="1" x14ac:dyDescent="0.25">
      <c r="B234" s="5"/>
      <c r="D234" s="5"/>
      <c r="E234" s="5"/>
      <c r="F234" s="5"/>
      <c r="H234" s="5"/>
    </row>
    <row r="235" spans="2:8" x14ac:dyDescent="0.25"/>
    <row r="236" spans="2:8" s="5" customFormat="1" x14ac:dyDescent="0.25">
      <c r="B236" s="5"/>
      <c r="D236" s="5"/>
      <c r="E236" s="5"/>
      <c r="F236" s="5"/>
      <c r="H236" s="5"/>
    </row>
    <row r="237" spans="2:8" x14ac:dyDescent="0.25"/>
    <row r="238" spans="2:8" s="5" customFormat="1" x14ac:dyDescent="0.25">
      <c r="B238" s="5"/>
      <c r="D238" s="5"/>
      <c r="E238" s="5"/>
      <c r="F238" s="5"/>
      <c r="H238" s="5"/>
    </row>
    <row r="239" spans="2:8" x14ac:dyDescent="0.25"/>
    <row r="240" spans="2:8" s="5" customFormat="1" x14ac:dyDescent="0.25">
      <c r="B240" s="5"/>
      <c r="D240" s="5"/>
      <c r="E240" s="5"/>
      <c r="F240" s="5"/>
      <c r="H240" s="5"/>
    </row>
    <row r="241" spans="2:8" x14ac:dyDescent="0.25"/>
    <row r="242" spans="2:8" s="5" customFormat="1" x14ac:dyDescent="0.25">
      <c r="B242" s="5"/>
      <c r="D242" s="5"/>
      <c r="E242" s="5"/>
      <c r="F242" s="5"/>
      <c r="H242" s="5"/>
    </row>
    <row r="243" spans="2:8" x14ac:dyDescent="0.25"/>
    <row r="244" spans="2:8" s="5" customFormat="1" x14ac:dyDescent="0.25">
      <c r="B244" s="5"/>
      <c r="D244" s="5"/>
      <c r="E244" s="5"/>
      <c r="F244" s="5"/>
      <c r="H244" s="5"/>
    </row>
    <row r="245" spans="2:8" x14ac:dyDescent="0.25"/>
    <row r="246" spans="2:8" s="5" customFormat="1" x14ac:dyDescent="0.25">
      <c r="B246" s="5"/>
      <c r="D246" s="5"/>
      <c r="E246" s="5"/>
      <c r="F246" s="5"/>
      <c r="H246" s="5"/>
    </row>
    <row r="247" spans="2:8" x14ac:dyDescent="0.25"/>
    <row r="248" spans="2:8" s="5" customFormat="1" x14ac:dyDescent="0.25">
      <c r="B248" s="5"/>
      <c r="D248" s="5"/>
      <c r="E248" s="5"/>
      <c r="F248" s="5"/>
      <c r="H248" s="5"/>
    </row>
    <row r="249" spans="2:8" x14ac:dyDescent="0.25"/>
    <row r="250" spans="2:8" s="5" customFormat="1" x14ac:dyDescent="0.25">
      <c r="B250" s="5"/>
      <c r="D250" s="5"/>
      <c r="E250" s="5"/>
      <c r="F250" s="5"/>
      <c r="H250" s="5"/>
    </row>
    <row r="251" spans="2:8" x14ac:dyDescent="0.25"/>
    <row r="252" spans="2:8" s="5" customFormat="1" x14ac:dyDescent="0.25">
      <c r="B252" s="5"/>
      <c r="D252" s="5"/>
      <c r="E252" s="5"/>
      <c r="F252" s="5"/>
      <c r="H252" s="5"/>
    </row>
    <row r="253" spans="2:8" x14ac:dyDescent="0.25"/>
    <row r="254" spans="2:8" s="5" customFormat="1" x14ac:dyDescent="0.25">
      <c r="B254" s="5"/>
      <c r="D254" s="5"/>
      <c r="E254" s="5"/>
      <c r="F254" s="5"/>
      <c r="H254" s="5"/>
    </row>
    <row r="255" spans="2:8" x14ac:dyDescent="0.25"/>
    <row r="256" spans="2:8" s="5" customFormat="1" x14ac:dyDescent="0.25">
      <c r="B256" s="5"/>
      <c r="D256" s="5"/>
      <c r="E256" s="5"/>
      <c r="F256" s="5"/>
      <c r="H256" s="5"/>
    </row>
    <row r="257" spans="2:8" x14ac:dyDescent="0.25"/>
    <row r="258" spans="2:8" s="5" customFormat="1" x14ac:dyDescent="0.25">
      <c r="B258" s="5"/>
      <c r="D258" s="5"/>
      <c r="E258" s="5"/>
      <c r="F258" s="5"/>
      <c r="H258" s="5"/>
    </row>
    <row r="259" spans="2:8" x14ac:dyDescent="0.25"/>
    <row r="260" spans="2:8" s="5" customFormat="1" x14ac:dyDescent="0.25">
      <c r="B260" s="5"/>
      <c r="D260" s="5"/>
      <c r="E260" s="5"/>
      <c r="F260" s="5"/>
      <c r="H260" s="5"/>
    </row>
    <row r="261" spans="2:8" x14ac:dyDescent="0.25"/>
    <row r="262" spans="2:8" s="5" customFormat="1" x14ac:dyDescent="0.25">
      <c r="B262" s="5"/>
      <c r="D262" s="5"/>
      <c r="E262" s="5"/>
      <c r="F262" s="5"/>
      <c r="H262" s="5"/>
    </row>
    <row r="263" spans="2:8" x14ac:dyDescent="0.25"/>
    <row r="264" spans="2:8" s="5" customFormat="1" x14ac:dyDescent="0.25">
      <c r="B264" s="5"/>
      <c r="D264" s="5"/>
      <c r="E264" s="5"/>
      <c r="F264" s="5"/>
      <c r="H264" s="5"/>
    </row>
    <row r="265" spans="2:8" x14ac:dyDescent="0.25"/>
    <row r="266" spans="2:8" s="5" customFormat="1" x14ac:dyDescent="0.25">
      <c r="B266" s="5"/>
      <c r="D266" s="5"/>
      <c r="E266" s="5"/>
      <c r="F266" s="5"/>
      <c r="H266" s="5"/>
    </row>
    <row r="267" spans="2:8" x14ac:dyDescent="0.25"/>
    <row r="268" spans="2:8" s="5" customFormat="1" x14ac:dyDescent="0.25">
      <c r="B268" s="5"/>
      <c r="D268" s="5"/>
      <c r="E268" s="5"/>
      <c r="F268" s="5"/>
      <c r="H268" s="5"/>
    </row>
    <row r="269" spans="2:8" x14ac:dyDescent="0.25"/>
    <row r="270" spans="2:8" s="5" customFormat="1" x14ac:dyDescent="0.25">
      <c r="B270" s="5"/>
      <c r="D270" s="5"/>
      <c r="E270" s="5"/>
      <c r="F270" s="5"/>
      <c r="H270" s="5"/>
    </row>
    <row r="271" spans="2:8" x14ac:dyDescent="0.25"/>
    <row r="272" spans="2:8" s="5" customFormat="1" x14ac:dyDescent="0.25">
      <c r="B272" s="5"/>
      <c r="D272" s="5"/>
      <c r="E272" s="5"/>
      <c r="F272" s="5"/>
      <c r="H272" s="5"/>
    </row>
    <row r="273" spans="2:8" x14ac:dyDescent="0.25"/>
    <row r="274" spans="2:8" s="5" customFormat="1" x14ac:dyDescent="0.25">
      <c r="B274" s="5"/>
      <c r="D274" s="5"/>
      <c r="E274" s="5"/>
      <c r="F274" s="5"/>
      <c r="H274" s="5"/>
    </row>
    <row r="275" spans="2:8" x14ac:dyDescent="0.25"/>
    <row r="276" spans="2:8" s="5" customFormat="1" x14ac:dyDescent="0.25">
      <c r="B276" s="5"/>
      <c r="D276" s="5"/>
      <c r="E276" s="5"/>
      <c r="F276" s="5"/>
      <c r="H276" s="5"/>
    </row>
    <row r="277" spans="2:8" x14ac:dyDescent="0.25"/>
    <row r="278" spans="2:8" s="5" customFormat="1" x14ac:dyDescent="0.25">
      <c r="B278" s="5"/>
      <c r="D278" s="5"/>
      <c r="E278" s="5"/>
      <c r="F278" s="5"/>
      <c r="H278" s="5"/>
    </row>
    <row r="279" spans="2:8" x14ac:dyDescent="0.25"/>
    <row r="280" spans="2:8" s="5" customFormat="1" x14ac:dyDescent="0.25">
      <c r="B280" s="5"/>
      <c r="D280" s="5"/>
      <c r="E280" s="5"/>
      <c r="F280" s="5"/>
      <c r="H280" s="5"/>
    </row>
    <row r="281" spans="2:8" x14ac:dyDescent="0.25"/>
    <row r="282" spans="2:8" s="5" customFormat="1" x14ac:dyDescent="0.25">
      <c r="B282" s="5"/>
      <c r="D282" s="5"/>
      <c r="E282" s="5"/>
      <c r="F282" s="5"/>
      <c r="H282" s="5"/>
    </row>
    <row r="283" spans="2:8" x14ac:dyDescent="0.25"/>
    <row r="284" spans="2:8" s="5" customFormat="1" x14ac:dyDescent="0.25">
      <c r="B284" s="5"/>
      <c r="D284" s="5"/>
      <c r="E284" s="5"/>
      <c r="F284" s="5"/>
      <c r="H284" s="5"/>
    </row>
    <row r="285" spans="2:8" x14ac:dyDescent="0.25"/>
    <row r="286" spans="2:8" s="5" customFormat="1" x14ac:dyDescent="0.25">
      <c r="B286" s="5"/>
      <c r="D286" s="5"/>
      <c r="E286" s="5"/>
      <c r="F286" s="5"/>
      <c r="H286" s="5"/>
    </row>
    <row r="287" spans="2:8" x14ac:dyDescent="0.25"/>
    <row r="288" spans="2:8" s="5" customFormat="1" x14ac:dyDescent="0.25">
      <c r="B288" s="5"/>
      <c r="D288" s="5"/>
      <c r="E288" s="5"/>
      <c r="F288" s="5"/>
      <c r="H288" s="5"/>
    </row>
    <row r="289" spans="2:8" x14ac:dyDescent="0.25"/>
    <row r="290" spans="2:8" s="5" customFormat="1" x14ac:dyDescent="0.25">
      <c r="B290" s="5"/>
      <c r="D290" s="5"/>
      <c r="E290" s="5"/>
      <c r="F290" s="5"/>
      <c r="H290" s="5"/>
    </row>
    <row r="291" spans="2:8" x14ac:dyDescent="0.25"/>
    <row r="292" spans="2:8" s="5" customFormat="1" x14ac:dyDescent="0.25">
      <c r="B292" s="5"/>
      <c r="D292" s="5"/>
      <c r="E292" s="5"/>
      <c r="F292" s="5"/>
      <c r="H292" s="5"/>
    </row>
    <row r="293" spans="2:8" x14ac:dyDescent="0.25"/>
    <row r="294" spans="2:8" s="5" customFormat="1" x14ac:dyDescent="0.25">
      <c r="B294" s="5"/>
      <c r="D294" s="5"/>
      <c r="E294" s="5"/>
      <c r="F294" s="5"/>
      <c r="H294" s="5"/>
    </row>
    <row r="295" spans="2:8" x14ac:dyDescent="0.25"/>
    <row r="296" spans="2:8" s="5" customFormat="1" x14ac:dyDescent="0.25">
      <c r="B296" s="5"/>
      <c r="D296" s="5"/>
      <c r="E296" s="5"/>
      <c r="F296" s="5"/>
      <c r="H296" s="5"/>
    </row>
    <row r="297" spans="2:8" x14ac:dyDescent="0.25"/>
    <row r="298" spans="2:8" s="5" customFormat="1" x14ac:dyDescent="0.25">
      <c r="B298" s="5"/>
      <c r="D298" s="5"/>
      <c r="E298" s="5"/>
      <c r="F298" s="5"/>
      <c r="H298" s="5"/>
    </row>
    <row r="299" spans="2:8" x14ac:dyDescent="0.25"/>
    <row r="300" spans="2:8" s="5" customFormat="1" x14ac:dyDescent="0.25">
      <c r="B300" s="5"/>
      <c r="D300" s="5"/>
      <c r="E300" s="5"/>
      <c r="F300" s="5"/>
      <c r="H300" s="5"/>
    </row>
    <row r="301" spans="2:8" x14ac:dyDescent="0.25"/>
    <row r="302" spans="2:8" s="5" customFormat="1" x14ac:dyDescent="0.25">
      <c r="B302" s="5"/>
      <c r="D302" s="5"/>
      <c r="E302" s="5"/>
      <c r="F302" s="5"/>
      <c r="H302" s="5"/>
    </row>
    <row r="303" spans="2:8" x14ac:dyDescent="0.25"/>
    <row r="304" spans="2:8" s="5" customFormat="1" x14ac:dyDescent="0.25">
      <c r="B304" s="5"/>
      <c r="D304" s="5"/>
      <c r="E304" s="5"/>
      <c r="F304" s="5"/>
      <c r="H304" s="5"/>
    </row>
    <row r="305" spans="2:8" x14ac:dyDescent="0.25"/>
    <row r="306" spans="2:8" s="5" customFormat="1" x14ac:dyDescent="0.25">
      <c r="B306" s="5"/>
      <c r="D306" s="5"/>
      <c r="E306" s="5"/>
      <c r="F306" s="5"/>
      <c r="H306" s="5"/>
    </row>
    <row r="307" spans="2:8" x14ac:dyDescent="0.25"/>
    <row r="308" spans="2:8" s="5" customFormat="1" x14ac:dyDescent="0.25">
      <c r="B308" s="5"/>
      <c r="D308" s="5"/>
      <c r="E308" s="5"/>
      <c r="F308" s="5"/>
      <c r="H308" s="5"/>
    </row>
    <row r="309" spans="2:8" x14ac:dyDescent="0.25"/>
    <row r="310" spans="2:8" s="5" customFormat="1" x14ac:dyDescent="0.25">
      <c r="B310" s="5"/>
      <c r="D310" s="5"/>
      <c r="E310" s="5"/>
      <c r="F310" s="5"/>
      <c r="H310" s="5"/>
    </row>
    <row r="311" spans="2:8" x14ac:dyDescent="0.25"/>
    <row r="312" spans="2:8" s="5" customFormat="1" x14ac:dyDescent="0.25">
      <c r="B312" s="5"/>
      <c r="D312" s="5"/>
      <c r="E312" s="5"/>
      <c r="F312" s="5"/>
      <c r="H312" s="5"/>
    </row>
    <row r="313" spans="2:8" x14ac:dyDescent="0.25"/>
    <row r="314" spans="2:8" s="5" customFormat="1" x14ac:dyDescent="0.25">
      <c r="B314" s="5"/>
      <c r="D314" s="5"/>
      <c r="E314" s="5"/>
      <c r="F314" s="5"/>
      <c r="H314" s="5"/>
    </row>
    <row r="315" spans="2:8" x14ac:dyDescent="0.25"/>
    <row r="316" spans="2:8" s="5" customFormat="1" x14ac:dyDescent="0.25">
      <c r="B316" s="5"/>
      <c r="D316" s="5"/>
      <c r="E316" s="5"/>
      <c r="F316" s="5"/>
      <c r="H316" s="5"/>
    </row>
    <row r="317" spans="2:8" x14ac:dyDescent="0.25"/>
    <row r="318" spans="2:8" s="5" customFormat="1" x14ac:dyDescent="0.25">
      <c r="B318" s="5"/>
      <c r="D318" s="5"/>
      <c r="E318" s="5"/>
      <c r="F318" s="5"/>
      <c r="H318" s="5"/>
    </row>
    <row r="319" spans="2:8" x14ac:dyDescent="0.25"/>
    <row r="320" spans="2:8" s="5" customFormat="1" x14ac:dyDescent="0.25">
      <c r="B320" s="5"/>
      <c r="D320" s="5"/>
      <c r="E320" s="5"/>
      <c r="F320" s="5"/>
      <c r="H320" s="5"/>
    </row>
    <row r="321" spans="2:8" x14ac:dyDescent="0.25"/>
    <row r="322" spans="2:8" s="5" customFormat="1" x14ac:dyDescent="0.25">
      <c r="B322" s="5"/>
      <c r="D322" s="5"/>
      <c r="E322" s="5"/>
      <c r="F322" s="5"/>
      <c r="H322" s="5"/>
    </row>
    <row r="323" spans="2:8" x14ac:dyDescent="0.25"/>
    <row r="324" spans="2:8" s="5" customFormat="1" x14ac:dyDescent="0.25">
      <c r="B324" s="5"/>
      <c r="D324" s="5"/>
      <c r="E324" s="5"/>
      <c r="F324" s="5"/>
      <c r="H324" s="5"/>
    </row>
    <row r="325" spans="2:8" x14ac:dyDescent="0.25"/>
    <row r="326" spans="2:8" s="5" customFormat="1" x14ac:dyDescent="0.25">
      <c r="B326" s="5"/>
      <c r="D326" s="5"/>
      <c r="E326" s="5"/>
      <c r="F326" s="5"/>
      <c r="H326" s="5"/>
    </row>
    <row r="327" spans="2:8" x14ac:dyDescent="0.25"/>
    <row r="328" spans="2:8" s="5" customFormat="1" x14ac:dyDescent="0.25">
      <c r="B328" s="5"/>
      <c r="D328" s="5"/>
      <c r="E328" s="5"/>
      <c r="F328" s="5"/>
      <c r="H328" s="5"/>
    </row>
    <row r="329" spans="2:8" x14ac:dyDescent="0.25"/>
    <row r="330" spans="2:8" s="5" customFormat="1" x14ac:dyDescent="0.25">
      <c r="B330" s="5"/>
      <c r="D330" s="5"/>
      <c r="E330" s="5"/>
      <c r="F330" s="5"/>
      <c r="H330" s="5"/>
    </row>
    <row r="331" spans="2:8" x14ac:dyDescent="0.25"/>
    <row r="332" spans="2:8" s="5" customFormat="1" x14ac:dyDescent="0.25">
      <c r="B332" s="5"/>
      <c r="D332" s="5"/>
      <c r="E332" s="5"/>
      <c r="F332" s="5"/>
      <c r="H332" s="5"/>
    </row>
    <row r="333" spans="2:8" x14ac:dyDescent="0.25"/>
    <row r="334" spans="2:8" s="5" customFormat="1" x14ac:dyDescent="0.25">
      <c r="B334" s="5"/>
      <c r="D334" s="5"/>
      <c r="E334" s="5"/>
      <c r="F334" s="5"/>
      <c r="H334" s="5"/>
    </row>
    <row r="335" spans="2:8" x14ac:dyDescent="0.25"/>
    <row r="336" spans="2:8" s="5" customFormat="1" x14ac:dyDescent="0.25">
      <c r="B336" s="5"/>
      <c r="D336" s="5"/>
      <c r="E336" s="5"/>
      <c r="F336" s="5"/>
      <c r="H336" s="5"/>
    </row>
    <row r="337" spans="2:8" x14ac:dyDescent="0.25"/>
    <row r="338" spans="2:8" s="5" customFormat="1" x14ac:dyDescent="0.25">
      <c r="B338" s="5"/>
      <c r="D338" s="5"/>
      <c r="E338" s="5"/>
      <c r="F338" s="5"/>
      <c r="H338" s="5"/>
    </row>
    <row r="339" spans="2:8" x14ac:dyDescent="0.25"/>
    <row r="340" spans="2:8" s="5" customFormat="1" x14ac:dyDescent="0.25">
      <c r="B340" s="5"/>
      <c r="D340" s="5"/>
      <c r="E340" s="5"/>
      <c r="F340" s="5"/>
      <c r="H340" s="5"/>
    </row>
    <row r="341" spans="2:8" x14ac:dyDescent="0.25"/>
    <row r="342" spans="2:8" s="5" customFormat="1" x14ac:dyDescent="0.25">
      <c r="B342" s="5"/>
      <c r="D342" s="5"/>
      <c r="E342" s="5"/>
      <c r="F342" s="5"/>
      <c r="H342" s="5"/>
    </row>
    <row r="343" spans="2:8" x14ac:dyDescent="0.25"/>
    <row r="344" spans="2:8" s="5" customFormat="1" x14ac:dyDescent="0.25">
      <c r="B344" s="5"/>
      <c r="D344" s="5"/>
      <c r="E344" s="5"/>
      <c r="F344" s="5"/>
      <c r="H344" s="5"/>
    </row>
    <row r="345" spans="2:8" x14ac:dyDescent="0.25"/>
    <row r="346" spans="2:8" s="5" customFormat="1" x14ac:dyDescent="0.25">
      <c r="B346" s="5"/>
      <c r="D346" s="5"/>
      <c r="E346" s="5"/>
      <c r="F346" s="5"/>
      <c r="H346" s="5"/>
    </row>
    <row r="347" spans="2:8" x14ac:dyDescent="0.25"/>
    <row r="348" spans="2:8" s="5" customFormat="1" x14ac:dyDescent="0.25">
      <c r="B348" s="5"/>
      <c r="D348" s="5"/>
      <c r="E348" s="5"/>
      <c r="F348" s="5"/>
      <c r="H348" s="5"/>
    </row>
    <row r="349" spans="2:8" x14ac:dyDescent="0.25"/>
    <row r="350" spans="2:8" s="5" customFormat="1" x14ac:dyDescent="0.25">
      <c r="B350" s="5"/>
      <c r="D350" s="5"/>
      <c r="E350" s="5"/>
      <c r="F350" s="5"/>
      <c r="H350" s="5"/>
    </row>
    <row r="351" spans="2:8" x14ac:dyDescent="0.25"/>
    <row r="352" spans="2:8" s="5" customFormat="1" x14ac:dyDescent="0.25">
      <c r="B352" s="5"/>
      <c r="D352" s="5"/>
      <c r="E352" s="5"/>
      <c r="F352" s="5"/>
      <c r="H352" s="5"/>
    </row>
    <row r="353" spans="2:8" x14ac:dyDescent="0.25"/>
    <row r="354" spans="2:8" s="5" customFormat="1" x14ac:dyDescent="0.25">
      <c r="B354" s="5"/>
      <c r="D354" s="5"/>
      <c r="E354" s="5"/>
      <c r="F354" s="5"/>
      <c r="H354" s="5"/>
    </row>
    <row r="355" spans="2:8" x14ac:dyDescent="0.25"/>
    <row r="356" spans="2:8" s="5" customFormat="1" x14ac:dyDescent="0.25">
      <c r="B356" s="5"/>
      <c r="D356" s="5"/>
      <c r="E356" s="5"/>
      <c r="F356" s="5"/>
      <c r="H356" s="5"/>
    </row>
    <row r="357" spans="2:8" x14ac:dyDescent="0.25"/>
    <row r="358" spans="2:8" s="5" customFormat="1" x14ac:dyDescent="0.25">
      <c r="B358" s="5"/>
      <c r="D358" s="5"/>
      <c r="E358" s="5"/>
      <c r="F358" s="5"/>
      <c r="H358" s="5"/>
    </row>
    <row r="359" spans="2:8" x14ac:dyDescent="0.25"/>
    <row r="360" spans="2:8" s="5" customFormat="1" x14ac:dyDescent="0.25">
      <c r="B360" s="5"/>
      <c r="D360" s="5"/>
      <c r="E360" s="5"/>
      <c r="F360" s="5"/>
      <c r="H360" s="5"/>
    </row>
    <row r="361" spans="2:8" x14ac:dyDescent="0.25"/>
    <row r="362" spans="2:8" s="5" customFormat="1" x14ac:dyDescent="0.25">
      <c r="B362" s="5"/>
      <c r="D362" s="5"/>
      <c r="E362" s="5"/>
      <c r="F362" s="5"/>
      <c r="H362" s="5"/>
    </row>
    <row r="363" spans="2:8" x14ac:dyDescent="0.25"/>
    <row r="364" spans="2:8" s="5" customFormat="1" x14ac:dyDescent="0.25">
      <c r="B364" s="5"/>
      <c r="D364" s="5"/>
      <c r="E364" s="5"/>
      <c r="F364" s="5"/>
      <c r="H364" s="5"/>
    </row>
    <row r="365" spans="2:8" x14ac:dyDescent="0.25"/>
    <row r="366" spans="2:8" s="5" customFormat="1" x14ac:dyDescent="0.25">
      <c r="B366" s="5"/>
      <c r="D366" s="5"/>
      <c r="E366" s="5"/>
      <c r="F366" s="5"/>
      <c r="H366" s="5"/>
    </row>
    <row r="367" spans="2:8" x14ac:dyDescent="0.25"/>
    <row r="368" spans="2:8" s="5" customFormat="1" x14ac:dyDescent="0.25">
      <c r="B368" s="5"/>
      <c r="D368" s="5"/>
      <c r="E368" s="5"/>
      <c r="F368" s="5"/>
      <c r="H368" s="5"/>
    </row>
    <row r="369" spans="2:8" x14ac:dyDescent="0.25"/>
    <row r="370" spans="2:8" s="5" customFormat="1" x14ac:dyDescent="0.25">
      <c r="B370" s="5"/>
      <c r="D370" s="5"/>
      <c r="E370" s="5"/>
      <c r="F370" s="5"/>
      <c r="H370" s="5"/>
    </row>
    <row r="371" spans="2:8" x14ac:dyDescent="0.25"/>
    <row r="372" spans="2:8" s="5" customFormat="1" x14ac:dyDescent="0.25">
      <c r="B372" s="5"/>
      <c r="D372" s="5"/>
      <c r="E372" s="5"/>
      <c r="F372" s="5"/>
      <c r="H372" s="5"/>
    </row>
    <row r="373" spans="2:8" x14ac:dyDescent="0.25"/>
    <row r="374" spans="2:8" s="5" customFormat="1" x14ac:dyDescent="0.25">
      <c r="B374" s="5"/>
      <c r="D374" s="5"/>
      <c r="E374" s="5"/>
      <c r="F374" s="5"/>
      <c r="H374" s="5"/>
    </row>
    <row r="375" spans="2:8" x14ac:dyDescent="0.25"/>
    <row r="376" spans="2:8" s="5" customFormat="1" x14ac:dyDescent="0.25">
      <c r="B376" s="5"/>
      <c r="D376" s="5"/>
      <c r="E376" s="5"/>
      <c r="F376" s="5"/>
      <c r="H376" s="5"/>
    </row>
    <row r="377" spans="2:8" x14ac:dyDescent="0.25"/>
    <row r="378" spans="2:8" s="5" customFormat="1" x14ac:dyDescent="0.25">
      <c r="B378" s="5"/>
      <c r="D378" s="5"/>
      <c r="E378" s="5"/>
      <c r="F378" s="5"/>
      <c r="H378" s="5"/>
    </row>
    <row r="379" spans="2:8" x14ac:dyDescent="0.25"/>
    <row r="380" spans="2:8" s="5" customFormat="1" x14ac:dyDescent="0.25">
      <c r="B380" s="5"/>
      <c r="D380" s="5"/>
      <c r="E380" s="5"/>
      <c r="F380" s="5"/>
      <c r="H380" s="5"/>
    </row>
    <row r="381" spans="2:8" x14ac:dyDescent="0.25"/>
    <row r="382" spans="2:8" s="5" customFormat="1" x14ac:dyDescent="0.25">
      <c r="B382" s="5"/>
      <c r="D382" s="5"/>
      <c r="E382" s="5"/>
      <c r="F382" s="5"/>
      <c r="H382" s="5"/>
    </row>
    <row r="383" spans="2:8" x14ac:dyDescent="0.25"/>
    <row r="384" spans="2:8" s="5" customFormat="1" x14ac:dyDescent="0.25">
      <c r="B384" s="5"/>
      <c r="D384" s="5"/>
      <c r="E384" s="5"/>
      <c r="F384" s="5"/>
      <c r="H384" s="5"/>
    </row>
    <row r="385" spans="2:8" x14ac:dyDescent="0.25"/>
    <row r="386" spans="2:8" s="5" customFormat="1" x14ac:dyDescent="0.25">
      <c r="B386" s="5"/>
      <c r="D386" s="5"/>
      <c r="E386" s="5"/>
      <c r="F386" s="5"/>
      <c r="H386" s="5"/>
    </row>
    <row r="387" spans="2:8" x14ac:dyDescent="0.25"/>
    <row r="388" spans="2:8" s="5" customFormat="1" x14ac:dyDescent="0.25">
      <c r="B388" s="5"/>
      <c r="D388" s="5"/>
      <c r="E388" s="5"/>
      <c r="F388" s="5"/>
      <c r="H388" s="5"/>
    </row>
    <row r="389" spans="2:8" x14ac:dyDescent="0.25"/>
    <row r="390" spans="2:8" s="5" customFormat="1" x14ac:dyDescent="0.25">
      <c r="B390" s="5"/>
      <c r="D390" s="5"/>
      <c r="E390" s="5"/>
      <c r="F390" s="5"/>
      <c r="H390" s="5"/>
    </row>
    <row r="391" spans="2:8" x14ac:dyDescent="0.25"/>
    <row r="392" spans="2:8" s="5" customFormat="1" x14ac:dyDescent="0.25">
      <c r="B392" s="5"/>
      <c r="D392" s="5"/>
      <c r="E392" s="5"/>
      <c r="F392" s="5"/>
      <c r="H392" s="5"/>
    </row>
    <row r="393" spans="2:8" x14ac:dyDescent="0.25"/>
    <row r="394" spans="2:8" s="5" customFormat="1" x14ac:dyDescent="0.25">
      <c r="B394" s="5"/>
      <c r="D394" s="5"/>
      <c r="E394" s="5"/>
      <c r="F394" s="5"/>
      <c r="H394" s="5"/>
    </row>
    <row r="395" spans="2:8" x14ac:dyDescent="0.25"/>
    <row r="396" spans="2:8" s="5" customFormat="1" x14ac:dyDescent="0.25">
      <c r="B396" s="5"/>
      <c r="D396" s="5"/>
      <c r="E396" s="5"/>
      <c r="F396" s="5"/>
      <c r="H396" s="5"/>
    </row>
    <row r="397" spans="2:8" x14ac:dyDescent="0.25"/>
    <row r="398" spans="2:8" s="5" customFormat="1" x14ac:dyDescent="0.25">
      <c r="B398" s="5"/>
      <c r="D398" s="5"/>
      <c r="E398" s="5"/>
      <c r="F398" s="5"/>
      <c r="H398" s="5"/>
    </row>
    <row r="399" spans="2:8" x14ac:dyDescent="0.25"/>
    <row r="400" spans="2:8" s="5" customFormat="1" x14ac:dyDescent="0.25">
      <c r="B400" s="5"/>
      <c r="D400" s="5"/>
      <c r="E400" s="5"/>
      <c r="F400" s="5"/>
      <c r="H400" s="5"/>
    </row>
    <row r="401" spans="2:8" x14ac:dyDescent="0.25"/>
    <row r="402" spans="2:8" s="5" customFormat="1" x14ac:dyDescent="0.25">
      <c r="B402" s="5"/>
      <c r="D402" s="5"/>
      <c r="E402" s="5"/>
      <c r="F402" s="5"/>
      <c r="H402" s="5"/>
    </row>
    <row r="403" spans="2:8" x14ac:dyDescent="0.25"/>
    <row r="404" spans="2:8" s="5" customFormat="1" x14ac:dyDescent="0.25">
      <c r="B404" s="5"/>
      <c r="D404" s="5"/>
      <c r="E404" s="5"/>
      <c r="F404" s="5"/>
      <c r="H404" s="5"/>
    </row>
    <row r="405" spans="2:8" x14ac:dyDescent="0.25"/>
    <row r="406" spans="2:8" s="5" customFormat="1" x14ac:dyDescent="0.25">
      <c r="B406" s="5"/>
      <c r="D406" s="5"/>
      <c r="E406" s="5"/>
      <c r="F406" s="5"/>
      <c r="H406" s="5"/>
    </row>
    <row r="407" spans="2:8" x14ac:dyDescent="0.25"/>
    <row r="408" spans="2:8" s="5" customFormat="1" x14ac:dyDescent="0.25">
      <c r="B408" s="5"/>
      <c r="D408" s="5"/>
      <c r="E408" s="5"/>
      <c r="F408" s="5"/>
      <c r="H408" s="5"/>
    </row>
    <row r="409" spans="2:8" x14ac:dyDescent="0.25"/>
    <row r="410" spans="2:8" s="5" customFormat="1" x14ac:dyDescent="0.25">
      <c r="B410" s="5"/>
      <c r="D410" s="5"/>
      <c r="E410" s="5"/>
      <c r="F410" s="5"/>
      <c r="H410" s="5"/>
    </row>
    <row r="411" spans="2:8" x14ac:dyDescent="0.25"/>
    <row r="412" spans="2:8" s="5" customFormat="1" x14ac:dyDescent="0.25">
      <c r="B412" s="5"/>
      <c r="D412" s="5"/>
      <c r="E412" s="5"/>
      <c r="F412" s="5"/>
      <c r="H412" s="5"/>
    </row>
    <row r="413" spans="2:8" x14ac:dyDescent="0.25"/>
    <row r="414" spans="2:8" s="5" customFormat="1" x14ac:dyDescent="0.25">
      <c r="B414" s="5"/>
      <c r="D414" s="5"/>
      <c r="E414" s="5"/>
      <c r="F414" s="5"/>
      <c r="H414" s="5"/>
    </row>
    <row r="415" spans="2:8" x14ac:dyDescent="0.25"/>
    <row r="416" spans="2:8" s="5" customFormat="1" x14ac:dyDescent="0.25">
      <c r="B416" s="5"/>
      <c r="D416" s="5"/>
      <c r="E416" s="5"/>
      <c r="F416" s="5"/>
      <c r="H416" s="5"/>
    </row>
    <row r="417" spans="2:8" x14ac:dyDescent="0.25"/>
    <row r="418" spans="2:8" s="5" customFormat="1" x14ac:dyDescent="0.25">
      <c r="B418" s="5"/>
      <c r="D418" s="5"/>
      <c r="E418" s="5"/>
      <c r="F418" s="5"/>
      <c r="H418" s="5"/>
    </row>
    <row r="419" spans="2:8" x14ac:dyDescent="0.25"/>
    <row r="420" spans="2:8" s="5" customFormat="1" x14ac:dyDescent="0.25">
      <c r="B420" s="5"/>
      <c r="D420" s="5"/>
      <c r="E420" s="5"/>
      <c r="F420" s="5"/>
      <c r="H420" s="5"/>
    </row>
    <row r="421" spans="2:8" x14ac:dyDescent="0.25"/>
    <row r="422" spans="2:8" s="5" customFormat="1" x14ac:dyDescent="0.25">
      <c r="B422" s="5"/>
      <c r="D422" s="5"/>
      <c r="E422" s="5"/>
      <c r="F422" s="5"/>
      <c r="H422" s="5"/>
    </row>
    <row r="423" spans="2:8" x14ac:dyDescent="0.25"/>
    <row r="424" spans="2:8" s="5" customFormat="1" x14ac:dyDescent="0.25">
      <c r="B424" s="5"/>
      <c r="D424" s="5"/>
      <c r="E424" s="5"/>
      <c r="F424" s="5"/>
      <c r="H424" s="5"/>
    </row>
    <row r="425" spans="2:8" x14ac:dyDescent="0.25"/>
    <row r="426" spans="2:8" s="5" customFormat="1" x14ac:dyDescent="0.25">
      <c r="B426" s="5"/>
      <c r="D426" s="5"/>
      <c r="E426" s="5"/>
      <c r="F426" s="5"/>
      <c r="H426" s="5"/>
    </row>
    <row r="427" spans="2:8" x14ac:dyDescent="0.25"/>
    <row r="428" spans="2:8" s="5" customFormat="1" x14ac:dyDescent="0.25">
      <c r="B428" s="5"/>
      <c r="D428" s="5"/>
      <c r="E428" s="5"/>
      <c r="F428" s="5"/>
      <c r="H428" s="5"/>
    </row>
    <row r="429" spans="2:8" x14ac:dyDescent="0.25"/>
    <row r="430" spans="2:8" s="5" customFormat="1" x14ac:dyDescent="0.25">
      <c r="B430" s="5"/>
      <c r="D430" s="5"/>
      <c r="E430" s="5"/>
      <c r="F430" s="5"/>
      <c r="H430" s="5"/>
    </row>
    <row r="431" spans="2:8" x14ac:dyDescent="0.25"/>
    <row r="432" spans="2:8" s="5" customFormat="1" x14ac:dyDescent="0.25">
      <c r="B432" s="5"/>
      <c r="D432" s="5"/>
      <c r="E432" s="5"/>
      <c r="F432" s="5"/>
      <c r="H432" s="5"/>
    </row>
    <row r="433" spans="2:8" x14ac:dyDescent="0.25"/>
    <row r="434" spans="2:8" s="5" customFormat="1" x14ac:dyDescent="0.25">
      <c r="B434" s="5"/>
      <c r="D434" s="5"/>
      <c r="E434" s="5"/>
      <c r="F434" s="5"/>
      <c r="H434" s="5"/>
    </row>
    <row r="435" spans="2:8" x14ac:dyDescent="0.25"/>
    <row r="436" spans="2:8" s="5" customFormat="1" x14ac:dyDescent="0.25">
      <c r="B436" s="5"/>
      <c r="D436" s="5"/>
      <c r="E436" s="5"/>
      <c r="F436" s="5"/>
      <c r="H436" s="5"/>
    </row>
    <row r="437" spans="2:8" x14ac:dyDescent="0.25"/>
    <row r="438" spans="2:8" s="5" customFormat="1" x14ac:dyDescent="0.25">
      <c r="B438" s="5"/>
      <c r="D438" s="5"/>
      <c r="E438" s="5"/>
      <c r="F438" s="5"/>
      <c r="H438" s="5"/>
    </row>
    <row r="439" spans="2:8" x14ac:dyDescent="0.25"/>
    <row r="440" spans="2:8" s="5" customFormat="1" x14ac:dyDescent="0.25">
      <c r="B440" s="5"/>
      <c r="D440" s="5"/>
      <c r="E440" s="5"/>
      <c r="F440" s="5"/>
      <c r="H440" s="5"/>
    </row>
    <row r="441" spans="2:8" x14ac:dyDescent="0.25"/>
    <row r="442" spans="2:8" s="5" customFormat="1" x14ac:dyDescent="0.25">
      <c r="B442" s="5"/>
      <c r="D442" s="5"/>
      <c r="E442" s="5"/>
      <c r="F442" s="5"/>
      <c r="H442" s="5"/>
    </row>
    <row r="443" spans="2:8" x14ac:dyDescent="0.25"/>
    <row r="444" spans="2:8" s="5" customFormat="1" x14ac:dyDescent="0.25">
      <c r="B444" s="5"/>
      <c r="D444" s="5"/>
      <c r="E444" s="5"/>
      <c r="F444" s="5"/>
      <c r="H444" s="5"/>
    </row>
    <row r="445" spans="2:8" x14ac:dyDescent="0.25"/>
    <row r="446" spans="2:8" s="5" customFormat="1" x14ac:dyDescent="0.25">
      <c r="B446" s="5"/>
      <c r="D446" s="5"/>
      <c r="E446" s="5"/>
      <c r="F446" s="5"/>
      <c r="H446" s="5"/>
    </row>
    <row r="447" spans="2:8" x14ac:dyDescent="0.25"/>
    <row r="448" spans="2:8" s="5" customFormat="1" x14ac:dyDescent="0.25">
      <c r="B448" s="5"/>
      <c r="D448" s="5"/>
      <c r="E448" s="5"/>
      <c r="F448" s="5"/>
      <c r="H448" s="5"/>
    </row>
    <row r="449" spans="2:8" x14ac:dyDescent="0.25"/>
    <row r="450" spans="2:8" s="5" customFormat="1" x14ac:dyDescent="0.25">
      <c r="B450" s="5"/>
      <c r="D450" s="5"/>
      <c r="E450" s="5"/>
      <c r="F450" s="5"/>
      <c r="H450" s="5"/>
    </row>
    <row r="451" spans="2:8" x14ac:dyDescent="0.25"/>
    <row r="452" spans="2:8" s="5" customFormat="1" x14ac:dyDescent="0.25">
      <c r="B452" s="5"/>
      <c r="D452" s="5"/>
      <c r="E452" s="5"/>
      <c r="F452" s="5"/>
      <c r="H452" s="5"/>
    </row>
    <row r="453" spans="2:8" x14ac:dyDescent="0.25"/>
    <row r="454" spans="2:8" s="5" customFormat="1" x14ac:dyDescent="0.25">
      <c r="B454" s="5"/>
      <c r="D454" s="5"/>
      <c r="E454" s="5"/>
      <c r="F454" s="5"/>
      <c r="H454" s="5"/>
    </row>
    <row r="455" spans="2:8" x14ac:dyDescent="0.25"/>
    <row r="456" spans="2:8" s="5" customFormat="1" x14ac:dyDescent="0.25">
      <c r="B456" s="5"/>
      <c r="D456" s="5"/>
      <c r="E456" s="5"/>
      <c r="F456" s="5"/>
      <c r="H456" s="5"/>
    </row>
    <row r="457" spans="2:8" x14ac:dyDescent="0.25"/>
    <row r="458" spans="2:8" s="5" customFormat="1" x14ac:dyDescent="0.25">
      <c r="B458" s="5"/>
      <c r="D458" s="5"/>
      <c r="E458" s="5"/>
      <c r="F458" s="5"/>
      <c r="H458" s="5"/>
    </row>
    <row r="459" spans="2:8" x14ac:dyDescent="0.25"/>
    <row r="460" spans="2:8" s="5" customFormat="1" x14ac:dyDescent="0.25">
      <c r="B460" s="5"/>
      <c r="D460" s="5"/>
      <c r="E460" s="5"/>
      <c r="F460" s="5"/>
      <c r="H460" s="5"/>
    </row>
    <row r="461" spans="2:8" x14ac:dyDescent="0.25"/>
    <row r="462" spans="2:8" s="5" customFormat="1" x14ac:dyDescent="0.25">
      <c r="B462" s="5"/>
      <c r="D462" s="5"/>
      <c r="E462" s="5"/>
      <c r="F462" s="5"/>
      <c r="H462" s="5"/>
    </row>
    <row r="463" spans="2:8" x14ac:dyDescent="0.25"/>
    <row r="464" spans="2:8" s="5" customFormat="1" x14ac:dyDescent="0.25">
      <c r="B464" s="5"/>
      <c r="D464" s="5"/>
      <c r="E464" s="5"/>
      <c r="F464" s="5"/>
      <c r="H464" s="5"/>
    </row>
    <row r="465" spans="2:8" x14ac:dyDescent="0.25"/>
    <row r="466" spans="2:8" s="5" customFormat="1" x14ac:dyDescent="0.25">
      <c r="B466" s="5"/>
      <c r="D466" s="5"/>
      <c r="E466" s="5"/>
      <c r="F466" s="5"/>
      <c r="H466" s="5"/>
    </row>
    <row r="467" spans="2:8" x14ac:dyDescent="0.25"/>
    <row r="468" spans="2:8" s="5" customFormat="1" x14ac:dyDescent="0.25">
      <c r="B468" s="5"/>
      <c r="D468" s="5"/>
      <c r="E468" s="5"/>
      <c r="F468" s="5"/>
      <c r="H468" s="5"/>
    </row>
    <row r="469" spans="2:8" x14ac:dyDescent="0.25"/>
    <row r="470" spans="2:8" s="5" customFormat="1" x14ac:dyDescent="0.25">
      <c r="B470" s="5"/>
      <c r="D470" s="5"/>
      <c r="E470" s="5"/>
      <c r="F470" s="5"/>
      <c r="H470" s="5"/>
    </row>
    <row r="471" spans="2:8" x14ac:dyDescent="0.25"/>
    <row r="472" spans="2:8" s="5" customFormat="1" x14ac:dyDescent="0.25">
      <c r="B472" s="5"/>
      <c r="D472" s="5"/>
      <c r="E472" s="5"/>
      <c r="F472" s="5"/>
      <c r="H472" s="5"/>
    </row>
    <row r="473" spans="2:8" x14ac:dyDescent="0.25"/>
    <row r="474" spans="2:8" s="5" customFormat="1" x14ac:dyDescent="0.25">
      <c r="B474" s="5"/>
      <c r="D474" s="5"/>
      <c r="E474" s="5"/>
      <c r="F474" s="5"/>
      <c r="H474" s="5"/>
    </row>
    <row r="475" spans="2:8" x14ac:dyDescent="0.25"/>
    <row r="476" spans="2:8" s="5" customFormat="1" x14ac:dyDescent="0.25">
      <c r="B476" s="5"/>
      <c r="D476" s="5"/>
      <c r="E476" s="5"/>
      <c r="F476" s="5"/>
      <c r="H476" s="5"/>
    </row>
    <row r="477" spans="2:8" x14ac:dyDescent="0.25"/>
    <row r="478" spans="2:8" s="5" customFormat="1" x14ac:dyDescent="0.25">
      <c r="B478" s="5"/>
      <c r="D478" s="5"/>
      <c r="E478" s="5"/>
      <c r="F478" s="5"/>
      <c r="H478" s="5"/>
    </row>
    <row r="479" spans="2:8" x14ac:dyDescent="0.25"/>
    <row r="480" spans="2:8" s="5" customFormat="1" x14ac:dyDescent="0.25">
      <c r="B480" s="5"/>
      <c r="D480" s="5"/>
      <c r="E480" s="5"/>
      <c r="F480" s="5"/>
      <c r="H480" s="5"/>
    </row>
    <row r="481" spans="2:8" x14ac:dyDescent="0.25"/>
    <row r="482" spans="2:8" s="5" customFormat="1" x14ac:dyDescent="0.25">
      <c r="B482" s="5"/>
      <c r="D482" s="5"/>
      <c r="E482" s="5"/>
      <c r="F482" s="5"/>
      <c r="H482" s="5"/>
    </row>
    <row r="483" spans="2:8" x14ac:dyDescent="0.25"/>
    <row r="484" spans="2:8" s="5" customFormat="1" x14ac:dyDescent="0.25">
      <c r="B484" s="5"/>
      <c r="D484" s="5"/>
      <c r="E484" s="5"/>
      <c r="F484" s="5"/>
      <c r="H484" s="5"/>
    </row>
    <row r="485" spans="2:8" x14ac:dyDescent="0.25"/>
    <row r="486" spans="2:8" s="5" customFormat="1" x14ac:dyDescent="0.25">
      <c r="B486" s="5"/>
      <c r="D486" s="5"/>
      <c r="E486" s="5"/>
      <c r="F486" s="5"/>
      <c r="H486" s="5"/>
    </row>
    <row r="487" spans="2:8" x14ac:dyDescent="0.25"/>
    <row r="488" spans="2:8" s="5" customFormat="1" x14ac:dyDescent="0.25">
      <c r="B488" s="5"/>
      <c r="D488" s="5"/>
      <c r="E488" s="5"/>
      <c r="F488" s="5"/>
      <c r="H488" s="5"/>
    </row>
    <row r="489" spans="2:8" x14ac:dyDescent="0.25"/>
    <row r="490" spans="2:8" s="5" customFormat="1" x14ac:dyDescent="0.25">
      <c r="B490" s="5"/>
      <c r="D490" s="5"/>
      <c r="E490" s="5"/>
      <c r="F490" s="5"/>
      <c r="H490" s="5"/>
    </row>
    <row r="491" spans="2:8" x14ac:dyDescent="0.25"/>
    <row r="492" spans="2:8" s="5" customFormat="1" x14ac:dyDescent="0.25">
      <c r="B492" s="5"/>
      <c r="D492" s="5"/>
      <c r="E492" s="5"/>
      <c r="F492" s="5"/>
      <c r="H492" s="5"/>
    </row>
    <row r="493" spans="2:8" x14ac:dyDescent="0.25"/>
    <row r="494" spans="2:8" s="5" customFormat="1" x14ac:dyDescent="0.25">
      <c r="B494" s="5"/>
      <c r="D494" s="5"/>
      <c r="E494" s="5"/>
      <c r="F494" s="5"/>
      <c r="H494" s="5"/>
    </row>
    <row r="495" spans="2:8" x14ac:dyDescent="0.25"/>
    <row r="496" spans="2:8" s="5" customFormat="1" x14ac:dyDescent="0.25">
      <c r="B496" s="5"/>
      <c r="D496" s="5"/>
      <c r="E496" s="5"/>
      <c r="F496" s="5"/>
      <c r="H496" s="5"/>
    </row>
    <row r="497" spans="2:8" x14ac:dyDescent="0.25"/>
    <row r="498" spans="2:8" s="5" customFormat="1" x14ac:dyDescent="0.25">
      <c r="B498" s="5"/>
      <c r="D498" s="5"/>
      <c r="E498" s="5"/>
      <c r="F498" s="5"/>
      <c r="H498" s="5"/>
    </row>
    <row r="499" spans="2:8" x14ac:dyDescent="0.25"/>
    <row r="500" spans="2:8" s="5" customFormat="1" x14ac:dyDescent="0.25">
      <c r="B500" s="5"/>
      <c r="D500" s="5"/>
      <c r="E500" s="5"/>
      <c r="F500" s="5"/>
      <c r="H500" s="5"/>
    </row>
    <row r="501" spans="2:8" x14ac:dyDescent="0.25"/>
    <row r="502" spans="2:8" s="5" customFormat="1" x14ac:dyDescent="0.25">
      <c r="B502" s="5"/>
      <c r="D502" s="5"/>
      <c r="E502" s="5"/>
      <c r="F502" s="5"/>
      <c r="H502" s="5"/>
    </row>
    <row r="503" spans="2:8" x14ac:dyDescent="0.25"/>
    <row r="504" spans="2:8" s="5" customFormat="1" x14ac:dyDescent="0.25">
      <c r="B504" s="5"/>
      <c r="D504" s="5"/>
      <c r="E504" s="5"/>
      <c r="F504" s="5"/>
      <c r="H504" s="5"/>
    </row>
    <row r="505" spans="2:8" x14ac:dyDescent="0.25"/>
    <row r="506" spans="2:8" s="5" customFormat="1" x14ac:dyDescent="0.25">
      <c r="B506" s="5"/>
      <c r="D506" s="5"/>
      <c r="E506" s="5"/>
      <c r="F506" s="5"/>
      <c r="H506" s="5"/>
    </row>
    <row r="507" spans="2:8" x14ac:dyDescent="0.25"/>
    <row r="508" spans="2:8" s="5" customFormat="1" x14ac:dyDescent="0.25">
      <c r="B508" s="5"/>
      <c r="D508" s="5"/>
      <c r="E508" s="5"/>
      <c r="F508" s="5"/>
      <c r="H508" s="5"/>
    </row>
    <row r="509" spans="2:8" x14ac:dyDescent="0.25"/>
    <row r="510" spans="2:8" s="5" customFormat="1" x14ac:dyDescent="0.25">
      <c r="B510" s="5"/>
      <c r="D510" s="5"/>
      <c r="E510" s="5"/>
      <c r="F510" s="5"/>
      <c r="H510" s="5"/>
    </row>
    <row r="511" spans="2:8" x14ac:dyDescent="0.25"/>
    <row r="512" spans="2:8" s="5" customFormat="1" x14ac:dyDescent="0.25">
      <c r="B512" s="5"/>
      <c r="D512" s="5"/>
      <c r="E512" s="5"/>
      <c r="F512" s="5"/>
      <c r="H512" s="5"/>
    </row>
    <row r="513" spans="2:8" x14ac:dyDescent="0.25"/>
    <row r="514" spans="2:8" s="5" customFormat="1" x14ac:dyDescent="0.25">
      <c r="B514" s="5"/>
      <c r="D514" s="5"/>
      <c r="E514" s="5"/>
      <c r="F514" s="5"/>
      <c r="H514" s="5"/>
    </row>
    <row r="515" spans="2:8" x14ac:dyDescent="0.25"/>
    <row r="516" spans="2:8" s="5" customFormat="1" x14ac:dyDescent="0.25">
      <c r="B516" s="5"/>
      <c r="D516" s="5"/>
      <c r="E516" s="5"/>
      <c r="F516" s="5"/>
      <c r="H516" s="5"/>
    </row>
    <row r="517" spans="2:8" x14ac:dyDescent="0.25"/>
    <row r="518" spans="2:8" s="5" customFormat="1" x14ac:dyDescent="0.25">
      <c r="B518" s="5"/>
      <c r="D518" s="5"/>
      <c r="E518" s="5"/>
      <c r="F518" s="5"/>
      <c r="H518" s="5"/>
    </row>
    <row r="519" spans="2:8" x14ac:dyDescent="0.25"/>
    <row r="520" spans="2:8" s="5" customFormat="1" x14ac:dyDescent="0.25">
      <c r="B520" s="5"/>
      <c r="D520" s="5"/>
      <c r="E520" s="5"/>
      <c r="F520" s="5"/>
      <c r="H520" s="5"/>
    </row>
    <row r="521" spans="2:8" x14ac:dyDescent="0.25"/>
    <row r="522" spans="2:8" s="5" customFormat="1" x14ac:dyDescent="0.25">
      <c r="B522" s="5"/>
      <c r="D522" s="5"/>
      <c r="E522" s="5"/>
      <c r="F522" s="5"/>
      <c r="H522" s="5"/>
    </row>
    <row r="523" spans="2:8" x14ac:dyDescent="0.25"/>
    <row r="524" spans="2:8" s="5" customFormat="1" x14ac:dyDescent="0.25">
      <c r="B524" s="5"/>
      <c r="D524" s="5"/>
      <c r="E524" s="5"/>
      <c r="F524" s="5"/>
      <c r="H524" s="5"/>
    </row>
    <row r="525" spans="2:8" x14ac:dyDescent="0.25"/>
    <row r="526" spans="2:8" s="5" customFormat="1" x14ac:dyDescent="0.25">
      <c r="B526" s="5"/>
      <c r="D526" s="5"/>
      <c r="E526" s="5"/>
      <c r="F526" s="5"/>
      <c r="H526" s="5"/>
    </row>
    <row r="527" spans="2:8" x14ac:dyDescent="0.25"/>
    <row r="528" spans="2:8" s="5" customFormat="1" x14ac:dyDescent="0.25">
      <c r="B528" s="5"/>
      <c r="D528" s="5"/>
      <c r="E528" s="5"/>
      <c r="F528" s="5"/>
      <c r="H528" s="5"/>
    </row>
    <row r="529" spans="2:8" x14ac:dyDescent="0.25"/>
    <row r="530" spans="2:8" s="5" customFormat="1" x14ac:dyDescent="0.25">
      <c r="B530" s="5"/>
      <c r="D530" s="5"/>
      <c r="E530" s="5"/>
      <c r="F530" s="5"/>
      <c r="H530" s="5"/>
    </row>
    <row r="531" spans="2:8" x14ac:dyDescent="0.25"/>
    <row r="532" spans="2:8" s="5" customFormat="1" x14ac:dyDescent="0.25">
      <c r="B532" s="5"/>
      <c r="D532" s="5"/>
      <c r="E532" s="5"/>
      <c r="F532" s="5"/>
      <c r="H532" s="5"/>
    </row>
    <row r="533" spans="2:8" x14ac:dyDescent="0.25"/>
    <row r="534" spans="2:8" s="5" customFormat="1" x14ac:dyDescent="0.25">
      <c r="B534" s="5"/>
      <c r="D534" s="5"/>
      <c r="E534" s="5"/>
      <c r="F534" s="5"/>
      <c r="H534" s="5"/>
    </row>
    <row r="535" spans="2:8" x14ac:dyDescent="0.25"/>
    <row r="536" spans="2:8" s="5" customFormat="1" x14ac:dyDescent="0.25">
      <c r="B536" s="5"/>
      <c r="D536" s="5"/>
      <c r="E536" s="5"/>
      <c r="F536" s="5"/>
      <c r="H536" s="5"/>
    </row>
    <row r="537" spans="2:8" x14ac:dyDescent="0.25"/>
    <row r="538" spans="2:8" s="5" customFormat="1" x14ac:dyDescent="0.25">
      <c r="B538" s="5"/>
      <c r="D538" s="5"/>
      <c r="E538" s="5"/>
      <c r="F538" s="5"/>
      <c r="H538" s="5"/>
    </row>
    <row r="539" spans="2:8" x14ac:dyDescent="0.25"/>
    <row r="540" spans="2:8" s="5" customFormat="1" x14ac:dyDescent="0.25">
      <c r="B540" s="5"/>
      <c r="D540" s="5"/>
      <c r="E540" s="5"/>
      <c r="F540" s="5"/>
      <c r="H540" s="5"/>
    </row>
    <row r="541" spans="2:8" x14ac:dyDescent="0.25"/>
    <row r="542" spans="2:8" s="5" customFormat="1" x14ac:dyDescent="0.25">
      <c r="B542" s="5"/>
      <c r="D542" s="5"/>
      <c r="E542" s="5"/>
      <c r="F542" s="5"/>
      <c r="H542" s="5"/>
    </row>
    <row r="543" spans="2:8" x14ac:dyDescent="0.25"/>
    <row r="544" spans="2:8" s="5" customFormat="1" x14ac:dyDescent="0.25">
      <c r="B544" s="5"/>
      <c r="D544" s="5"/>
      <c r="E544" s="5"/>
      <c r="F544" s="5"/>
      <c r="H544" s="5"/>
    </row>
    <row r="545" spans="2:8" x14ac:dyDescent="0.25"/>
    <row r="546" spans="2:8" s="5" customFormat="1" x14ac:dyDescent="0.25">
      <c r="B546" s="5"/>
      <c r="D546" s="5"/>
      <c r="E546" s="5"/>
      <c r="F546" s="5"/>
      <c r="H546" s="5"/>
    </row>
    <row r="547" spans="2:8" x14ac:dyDescent="0.25"/>
    <row r="548" spans="2:8" s="5" customFormat="1" x14ac:dyDescent="0.25">
      <c r="B548" s="5"/>
      <c r="D548" s="5"/>
      <c r="E548" s="5"/>
      <c r="F548" s="5"/>
      <c r="H548" s="5"/>
    </row>
    <row r="549" spans="2:8" x14ac:dyDescent="0.25"/>
    <row r="550" spans="2:8" s="5" customFormat="1" x14ac:dyDescent="0.25">
      <c r="B550" s="5"/>
      <c r="D550" s="5"/>
      <c r="E550" s="5"/>
      <c r="F550" s="5"/>
      <c r="H550" s="5"/>
    </row>
    <row r="551" spans="2:8" x14ac:dyDescent="0.25"/>
    <row r="552" spans="2:8" s="5" customFormat="1" x14ac:dyDescent="0.25">
      <c r="B552" s="5"/>
      <c r="D552" s="5"/>
      <c r="E552" s="5"/>
      <c r="F552" s="5"/>
      <c r="H552" s="5"/>
    </row>
    <row r="553" spans="2:8" x14ac:dyDescent="0.25"/>
    <row r="554" spans="2:8" s="5" customFormat="1" x14ac:dyDescent="0.25">
      <c r="B554" s="5"/>
      <c r="D554" s="5"/>
      <c r="E554" s="5"/>
      <c r="F554" s="5"/>
      <c r="H554" s="5"/>
    </row>
    <row r="555" spans="2:8" x14ac:dyDescent="0.25"/>
    <row r="556" spans="2:8" s="5" customFormat="1" x14ac:dyDescent="0.25">
      <c r="B556" s="5"/>
      <c r="D556" s="5"/>
      <c r="E556" s="5"/>
      <c r="F556" s="5"/>
      <c r="H556" s="5"/>
    </row>
    <row r="557" spans="2:8" x14ac:dyDescent="0.25"/>
    <row r="558" spans="2:8" s="5" customFormat="1" x14ac:dyDescent="0.25">
      <c r="B558" s="5"/>
      <c r="D558" s="5"/>
      <c r="E558" s="5"/>
      <c r="F558" s="5"/>
      <c r="H558" s="5"/>
    </row>
    <row r="559" spans="2:8" x14ac:dyDescent="0.25"/>
    <row r="560" spans="2:8" s="5" customFormat="1" x14ac:dyDescent="0.25">
      <c r="B560" s="5"/>
      <c r="D560" s="5"/>
      <c r="E560" s="5"/>
      <c r="F560" s="5"/>
      <c r="H560" s="5"/>
    </row>
    <row r="561" spans="2:8" x14ac:dyDescent="0.25"/>
    <row r="562" spans="2:8" s="5" customFormat="1" x14ac:dyDescent="0.25">
      <c r="B562" s="5"/>
      <c r="D562" s="5"/>
      <c r="E562" s="5"/>
      <c r="F562" s="5"/>
      <c r="H562" s="5"/>
    </row>
    <row r="563" spans="2:8" x14ac:dyDescent="0.25"/>
    <row r="564" spans="2:8" s="5" customFormat="1" x14ac:dyDescent="0.25">
      <c r="B564" s="5"/>
      <c r="D564" s="5"/>
      <c r="E564" s="5"/>
      <c r="F564" s="5"/>
      <c r="H564" s="5"/>
    </row>
    <row r="565" spans="2:8" x14ac:dyDescent="0.25"/>
    <row r="566" spans="2:8" s="5" customFormat="1" x14ac:dyDescent="0.25">
      <c r="B566" s="5"/>
      <c r="D566" s="5"/>
      <c r="E566" s="5"/>
      <c r="F566" s="5"/>
      <c r="H566" s="5"/>
    </row>
    <row r="567" spans="2:8" x14ac:dyDescent="0.25"/>
    <row r="568" spans="2:8" s="5" customFormat="1" x14ac:dyDescent="0.25">
      <c r="B568" s="5"/>
      <c r="D568" s="5"/>
      <c r="E568" s="5"/>
      <c r="F568" s="5"/>
      <c r="H568" s="5"/>
    </row>
    <row r="569" spans="2:8" x14ac:dyDescent="0.25"/>
    <row r="570" spans="2:8" s="5" customFormat="1" x14ac:dyDescent="0.25">
      <c r="B570" s="5"/>
      <c r="D570" s="5"/>
      <c r="E570" s="5"/>
      <c r="F570" s="5"/>
      <c r="H570" s="5"/>
    </row>
    <row r="571" spans="2:8" x14ac:dyDescent="0.25"/>
    <row r="572" spans="2:8" s="5" customFormat="1" x14ac:dyDescent="0.25">
      <c r="B572" s="5"/>
      <c r="D572" s="5"/>
      <c r="E572" s="5"/>
      <c r="F572" s="5"/>
      <c r="H572" s="5"/>
    </row>
    <row r="573" spans="2:8" x14ac:dyDescent="0.25"/>
    <row r="574" spans="2:8" s="5" customFormat="1" x14ac:dyDescent="0.25">
      <c r="B574" s="5"/>
      <c r="D574" s="5"/>
      <c r="E574" s="5"/>
      <c r="F574" s="5"/>
      <c r="H574" s="5"/>
    </row>
    <row r="575" spans="2:8" x14ac:dyDescent="0.25"/>
    <row r="576" spans="2:8" s="5" customFormat="1" x14ac:dyDescent="0.25">
      <c r="B576" s="5"/>
      <c r="D576" s="5"/>
      <c r="E576" s="5"/>
      <c r="F576" s="5"/>
      <c r="H576" s="5"/>
    </row>
    <row r="577" spans="2:8" x14ac:dyDescent="0.25"/>
    <row r="578" spans="2:8" s="5" customFormat="1" x14ac:dyDescent="0.25">
      <c r="B578" s="5"/>
      <c r="D578" s="5"/>
      <c r="E578" s="5"/>
      <c r="F578" s="5"/>
      <c r="H578" s="5"/>
    </row>
    <row r="579" spans="2:8" x14ac:dyDescent="0.25"/>
    <row r="580" spans="2:8" s="5" customFormat="1" x14ac:dyDescent="0.25">
      <c r="B580" s="5"/>
      <c r="D580" s="5"/>
      <c r="E580" s="5"/>
      <c r="F580" s="5"/>
      <c r="H580" s="5"/>
    </row>
    <row r="581" spans="2:8" x14ac:dyDescent="0.25"/>
    <row r="582" spans="2:8" s="5" customFormat="1" x14ac:dyDescent="0.25">
      <c r="B582" s="5"/>
      <c r="D582" s="5"/>
      <c r="E582" s="5"/>
      <c r="F582" s="5"/>
      <c r="H582" s="5"/>
    </row>
    <row r="583" spans="2:8" x14ac:dyDescent="0.25"/>
    <row r="584" spans="2:8" s="5" customFormat="1" x14ac:dyDescent="0.25">
      <c r="B584" s="5"/>
      <c r="D584" s="5"/>
      <c r="E584" s="5"/>
      <c r="F584" s="5"/>
      <c r="H584" s="5"/>
    </row>
    <row r="585" spans="2:8" x14ac:dyDescent="0.25"/>
    <row r="586" spans="2:8" s="5" customFormat="1" x14ac:dyDescent="0.25">
      <c r="B586" s="5"/>
      <c r="D586" s="5"/>
      <c r="E586" s="5"/>
      <c r="F586" s="5"/>
      <c r="H586" s="5"/>
    </row>
    <row r="587" spans="2:8" x14ac:dyDescent="0.25"/>
    <row r="588" spans="2:8" s="5" customFormat="1" x14ac:dyDescent="0.25">
      <c r="B588" s="5"/>
      <c r="D588" s="5"/>
      <c r="E588" s="5"/>
      <c r="F588" s="5"/>
      <c r="H588" s="5"/>
    </row>
    <row r="589" spans="2:8" x14ac:dyDescent="0.25"/>
    <row r="590" spans="2:8" s="5" customFormat="1" x14ac:dyDescent="0.25">
      <c r="B590" s="5"/>
      <c r="D590" s="5"/>
      <c r="E590" s="5"/>
      <c r="F590" s="5"/>
      <c r="H590" s="5"/>
    </row>
    <row r="591" spans="2:8" x14ac:dyDescent="0.25"/>
    <row r="592" spans="2:8" s="5" customFormat="1" x14ac:dyDescent="0.25">
      <c r="B592" s="5"/>
      <c r="D592" s="5"/>
      <c r="E592" s="5"/>
      <c r="F592" s="5"/>
      <c r="H592" s="5"/>
    </row>
    <row r="593" spans="2:8" x14ac:dyDescent="0.25"/>
    <row r="594" spans="2:8" s="5" customFormat="1" x14ac:dyDescent="0.25">
      <c r="B594" s="5"/>
      <c r="D594" s="5"/>
      <c r="E594" s="5"/>
      <c r="F594" s="5"/>
      <c r="H594" s="5"/>
    </row>
    <row r="595" spans="2:8" x14ac:dyDescent="0.25"/>
    <row r="596" spans="2:8" s="5" customFormat="1" x14ac:dyDescent="0.25">
      <c r="B596" s="5"/>
      <c r="D596" s="5"/>
      <c r="E596" s="5"/>
      <c r="F596" s="5"/>
      <c r="H596" s="5"/>
    </row>
    <row r="597" spans="2:8" x14ac:dyDescent="0.25"/>
    <row r="598" spans="2:8" s="5" customFormat="1" x14ac:dyDescent="0.25">
      <c r="B598" s="5"/>
      <c r="D598" s="5"/>
      <c r="E598" s="5"/>
      <c r="F598" s="5"/>
      <c r="H598" s="5"/>
    </row>
    <row r="599" spans="2:8" x14ac:dyDescent="0.25"/>
    <row r="600" spans="2:8" s="5" customFormat="1" x14ac:dyDescent="0.25">
      <c r="B600" s="5"/>
      <c r="D600" s="5"/>
      <c r="E600" s="5"/>
      <c r="F600" s="5"/>
      <c r="H600" s="5"/>
    </row>
    <row r="601" spans="2:8" x14ac:dyDescent="0.25"/>
    <row r="602" spans="2:8" s="5" customFormat="1" x14ac:dyDescent="0.25">
      <c r="B602" s="5"/>
      <c r="D602" s="5"/>
      <c r="E602" s="5"/>
      <c r="F602" s="5"/>
      <c r="H602" s="5"/>
    </row>
    <row r="603" spans="2:8" x14ac:dyDescent="0.25"/>
    <row r="604" spans="2:8" s="5" customFormat="1" x14ac:dyDescent="0.25">
      <c r="B604" s="5"/>
      <c r="D604" s="5"/>
      <c r="E604" s="5"/>
      <c r="F604" s="5"/>
      <c r="H604" s="5"/>
    </row>
    <row r="605" spans="2:8" x14ac:dyDescent="0.25"/>
    <row r="606" spans="2:8" s="5" customFormat="1" x14ac:dyDescent="0.25">
      <c r="B606" s="5"/>
      <c r="D606" s="5"/>
      <c r="E606" s="5"/>
      <c r="F606" s="5"/>
      <c r="H606" s="5"/>
    </row>
    <row r="607" spans="2:8" x14ac:dyDescent="0.25"/>
    <row r="608" spans="2:8" s="5" customFormat="1" x14ac:dyDescent="0.25">
      <c r="B608" s="5"/>
      <c r="D608" s="5"/>
      <c r="E608" s="5"/>
      <c r="F608" s="5"/>
      <c r="H608" s="5"/>
    </row>
    <row r="609" spans="2:8" x14ac:dyDescent="0.25"/>
    <row r="610" spans="2:8" s="5" customFormat="1" x14ac:dyDescent="0.25">
      <c r="B610" s="5"/>
      <c r="D610" s="5"/>
      <c r="E610" s="5"/>
      <c r="F610" s="5"/>
      <c r="H610" s="5"/>
    </row>
    <row r="611" spans="2:8" x14ac:dyDescent="0.25"/>
    <row r="612" spans="2:8" s="5" customFormat="1" x14ac:dyDescent="0.25">
      <c r="B612" s="5"/>
      <c r="D612" s="5"/>
      <c r="E612" s="5"/>
      <c r="F612" s="5"/>
      <c r="H612" s="5"/>
    </row>
    <row r="613" spans="2:8" x14ac:dyDescent="0.25"/>
    <row r="614" spans="2:8" s="5" customFormat="1" x14ac:dyDescent="0.25">
      <c r="B614" s="5"/>
      <c r="D614" s="5"/>
      <c r="E614" s="5"/>
      <c r="F614" s="5"/>
      <c r="H614" s="5"/>
    </row>
    <row r="615" spans="2:8" x14ac:dyDescent="0.25"/>
    <row r="616" spans="2:8" s="5" customFormat="1" x14ac:dyDescent="0.25">
      <c r="B616" s="5"/>
      <c r="D616" s="5"/>
      <c r="E616" s="5"/>
      <c r="F616" s="5"/>
      <c r="H616" s="5"/>
    </row>
    <row r="617" spans="2:8" x14ac:dyDescent="0.25"/>
    <row r="618" spans="2:8" s="5" customFormat="1" x14ac:dyDescent="0.25">
      <c r="B618" s="5"/>
      <c r="D618" s="5"/>
      <c r="E618" s="5"/>
      <c r="F618" s="5"/>
      <c r="H618" s="5"/>
    </row>
    <row r="619" spans="2:8" x14ac:dyDescent="0.25"/>
    <row r="620" spans="2:8" s="5" customFormat="1" x14ac:dyDescent="0.25">
      <c r="B620" s="5"/>
      <c r="D620" s="5"/>
      <c r="E620" s="5"/>
      <c r="F620" s="5"/>
      <c r="H620" s="5"/>
    </row>
    <row r="621" spans="2:8" x14ac:dyDescent="0.25"/>
    <row r="622" spans="2:8" s="5" customFormat="1" x14ac:dyDescent="0.25">
      <c r="B622" s="5"/>
      <c r="D622" s="5"/>
      <c r="E622" s="5"/>
      <c r="F622" s="5"/>
      <c r="H622" s="5"/>
    </row>
    <row r="623" spans="2:8" x14ac:dyDescent="0.25"/>
    <row r="624" spans="2:8" s="5" customFormat="1" x14ac:dyDescent="0.25">
      <c r="B624" s="5"/>
      <c r="D624" s="5"/>
      <c r="E624" s="5"/>
      <c r="F624" s="5"/>
      <c r="H624" s="5"/>
    </row>
    <row r="625" spans="2:8" x14ac:dyDescent="0.25"/>
    <row r="626" spans="2:8" s="5" customFormat="1" x14ac:dyDescent="0.25">
      <c r="B626" s="5"/>
      <c r="D626" s="5"/>
      <c r="E626" s="5"/>
      <c r="F626" s="5"/>
      <c r="H626" s="5"/>
    </row>
    <row r="627" spans="2:8" x14ac:dyDescent="0.25"/>
    <row r="628" spans="2:8" s="5" customFormat="1" x14ac:dyDescent="0.25">
      <c r="B628" s="5"/>
      <c r="D628" s="5"/>
      <c r="E628" s="5"/>
      <c r="F628" s="5"/>
      <c r="H628" s="5"/>
    </row>
    <row r="629" spans="2:8" x14ac:dyDescent="0.25"/>
    <row r="630" spans="2:8" s="5" customFormat="1" x14ac:dyDescent="0.25">
      <c r="B630" s="5"/>
      <c r="D630" s="5"/>
      <c r="E630" s="5"/>
      <c r="F630" s="5"/>
      <c r="H630" s="5"/>
    </row>
    <row r="631" spans="2:8" x14ac:dyDescent="0.25"/>
    <row r="632" spans="2:8" s="5" customFormat="1" x14ac:dyDescent="0.25">
      <c r="B632" s="5"/>
      <c r="D632" s="5"/>
      <c r="E632" s="5"/>
      <c r="F632" s="5"/>
      <c r="H632" s="5"/>
    </row>
    <row r="633" spans="2:8" x14ac:dyDescent="0.25"/>
    <row r="634" spans="2:8" s="5" customFormat="1" x14ac:dyDescent="0.25">
      <c r="B634" s="5"/>
      <c r="D634" s="5"/>
      <c r="E634" s="5"/>
      <c r="F634" s="5"/>
      <c r="H634" s="5"/>
    </row>
    <row r="635" spans="2:8" x14ac:dyDescent="0.25"/>
    <row r="636" spans="2:8" s="5" customFormat="1" x14ac:dyDescent="0.25">
      <c r="B636" s="5"/>
      <c r="D636" s="5"/>
      <c r="E636" s="5"/>
      <c r="F636" s="5"/>
      <c r="H636" s="5"/>
    </row>
    <row r="637" spans="2:8" x14ac:dyDescent="0.25"/>
    <row r="638" spans="2:8" s="5" customFormat="1" x14ac:dyDescent="0.25">
      <c r="B638" s="5"/>
      <c r="D638" s="5"/>
      <c r="E638" s="5"/>
      <c r="F638" s="5"/>
      <c r="H638" s="5"/>
    </row>
    <row r="639" spans="2:8" x14ac:dyDescent="0.25"/>
    <row r="640" spans="2:8" s="5" customFormat="1" x14ac:dyDescent="0.25">
      <c r="B640" s="5"/>
      <c r="D640" s="5"/>
      <c r="E640" s="5"/>
      <c r="F640" s="5"/>
      <c r="H640" s="5"/>
    </row>
    <row r="641" spans="2:8" x14ac:dyDescent="0.25"/>
    <row r="642" spans="2:8" s="5" customFormat="1" x14ac:dyDescent="0.25">
      <c r="B642" s="5"/>
      <c r="D642" s="5"/>
      <c r="E642" s="5"/>
      <c r="F642" s="5"/>
      <c r="H642" s="5"/>
    </row>
    <row r="643" spans="2:8" x14ac:dyDescent="0.25"/>
    <row r="644" spans="2:8" s="5" customFormat="1" x14ac:dyDescent="0.25">
      <c r="B644" s="5"/>
      <c r="D644" s="5"/>
      <c r="E644" s="5"/>
      <c r="F644" s="5"/>
      <c r="H644" s="5"/>
    </row>
    <row r="645" spans="2:8" x14ac:dyDescent="0.25"/>
    <row r="646" spans="2:8" s="5" customFormat="1" x14ac:dyDescent="0.25">
      <c r="B646" s="5"/>
      <c r="D646" s="5"/>
      <c r="E646" s="5"/>
      <c r="F646" s="5"/>
      <c r="H646" s="5"/>
    </row>
    <row r="647" spans="2:8" x14ac:dyDescent="0.25"/>
    <row r="648" spans="2:8" s="5" customFormat="1" x14ac:dyDescent="0.25">
      <c r="B648" s="5"/>
      <c r="D648" s="5"/>
      <c r="E648" s="5"/>
      <c r="F648" s="5"/>
      <c r="H648" s="5"/>
    </row>
    <row r="649" spans="2:8" x14ac:dyDescent="0.25"/>
    <row r="650" spans="2:8" s="5" customFormat="1" x14ac:dyDescent="0.25">
      <c r="B650" s="5"/>
      <c r="D650" s="5"/>
      <c r="E650" s="5"/>
      <c r="F650" s="5"/>
      <c r="H650" s="5"/>
    </row>
    <row r="651" spans="2:8" x14ac:dyDescent="0.25"/>
    <row r="652" spans="2:8" s="5" customFormat="1" x14ac:dyDescent="0.25">
      <c r="B652" s="5"/>
      <c r="D652" s="5"/>
      <c r="E652" s="5"/>
      <c r="F652" s="5"/>
      <c r="H652" s="5"/>
    </row>
    <row r="653" spans="2:8" x14ac:dyDescent="0.25"/>
    <row r="654" spans="2:8" s="5" customFormat="1" x14ac:dyDescent="0.25">
      <c r="B654" s="5"/>
      <c r="D654" s="5"/>
      <c r="E654" s="5"/>
      <c r="F654" s="5"/>
      <c r="H654" s="5"/>
    </row>
    <row r="655" spans="2:8" x14ac:dyDescent="0.25"/>
    <row r="656" spans="2:8" s="5" customFormat="1" x14ac:dyDescent="0.25">
      <c r="B656" s="5"/>
      <c r="D656" s="5"/>
      <c r="E656" s="5"/>
      <c r="F656" s="5"/>
      <c r="H656" s="5"/>
    </row>
    <row r="657" spans="2:8" x14ac:dyDescent="0.25"/>
    <row r="658" spans="2:8" s="5" customFormat="1" x14ac:dyDescent="0.25">
      <c r="B658" s="5"/>
      <c r="D658" s="5"/>
      <c r="E658" s="5"/>
      <c r="F658" s="5"/>
      <c r="H658" s="5"/>
    </row>
    <row r="659" spans="2:8" x14ac:dyDescent="0.25"/>
    <row r="660" spans="2:8" s="5" customFormat="1" x14ac:dyDescent="0.25">
      <c r="B660" s="5"/>
      <c r="D660" s="5"/>
      <c r="E660" s="5"/>
      <c r="F660" s="5"/>
      <c r="H660" s="5"/>
    </row>
    <row r="661" spans="2:8" x14ac:dyDescent="0.25"/>
    <row r="662" spans="2:8" s="5" customFormat="1" x14ac:dyDescent="0.25">
      <c r="B662" s="5"/>
      <c r="D662" s="5"/>
      <c r="E662" s="5"/>
      <c r="F662" s="5"/>
      <c r="H662" s="5"/>
    </row>
    <row r="663" spans="2:8" x14ac:dyDescent="0.25"/>
    <row r="664" spans="2:8" s="5" customFormat="1" x14ac:dyDescent="0.25">
      <c r="B664" s="5"/>
      <c r="D664" s="5"/>
      <c r="E664" s="5"/>
      <c r="F664" s="5"/>
      <c r="H664" s="5"/>
    </row>
    <row r="665" spans="2:8" x14ac:dyDescent="0.25"/>
    <row r="666" spans="2:8" s="5" customFormat="1" x14ac:dyDescent="0.25">
      <c r="B666" s="5"/>
      <c r="D666" s="5"/>
      <c r="E666" s="5"/>
      <c r="F666" s="5"/>
      <c r="H666" s="5"/>
    </row>
    <row r="667" spans="2:8" x14ac:dyDescent="0.25"/>
    <row r="668" spans="2:8" s="5" customFormat="1" x14ac:dyDescent="0.25">
      <c r="B668" s="5"/>
      <c r="D668" s="5"/>
      <c r="E668" s="5"/>
      <c r="F668" s="5"/>
      <c r="H668" s="5"/>
    </row>
    <row r="669" spans="2:8" x14ac:dyDescent="0.25"/>
    <row r="670" spans="2:8" s="5" customFormat="1" x14ac:dyDescent="0.25">
      <c r="B670" s="5"/>
      <c r="D670" s="5"/>
      <c r="E670" s="5"/>
      <c r="F670" s="5"/>
      <c r="H670" s="5"/>
    </row>
    <row r="671" spans="2:8" x14ac:dyDescent="0.25"/>
    <row r="672" spans="2:8" s="5" customFormat="1" x14ac:dyDescent="0.25">
      <c r="B672" s="5"/>
      <c r="D672" s="5"/>
      <c r="E672" s="5"/>
      <c r="F672" s="5"/>
      <c r="H672" s="5"/>
    </row>
    <row r="673" spans="2:8" x14ac:dyDescent="0.25"/>
    <row r="674" spans="2:8" s="5" customFormat="1" x14ac:dyDescent="0.25">
      <c r="B674" s="5"/>
      <c r="D674" s="5"/>
      <c r="E674" s="5"/>
      <c r="F674" s="5"/>
      <c r="H674" s="5"/>
    </row>
    <row r="675" spans="2:8" x14ac:dyDescent="0.25"/>
    <row r="676" spans="2:8" s="5" customFormat="1" x14ac:dyDescent="0.25">
      <c r="B676" s="5"/>
      <c r="D676" s="5"/>
      <c r="E676" s="5"/>
      <c r="F676" s="5"/>
      <c r="H676" s="5"/>
    </row>
    <row r="677" spans="2:8" x14ac:dyDescent="0.25"/>
    <row r="678" spans="2:8" s="5" customFormat="1" x14ac:dyDescent="0.25">
      <c r="B678" s="5"/>
      <c r="D678" s="5"/>
      <c r="E678" s="5"/>
      <c r="F678" s="5"/>
      <c r="H678" s="5"/>
    </row>
    <row r="679" spans="2:8" x14ac:dyDescent="0.25"/>
    <row r="680" spans="2:8" s="5" customFormat="1" x14ac:dyDescent="0.25">
      <c r="B680" s="5"/>
      <c r="D680" s="5"/>
      <c r="E680" s="5"/>
      <c r="F680" s="5"/>
      <c r="H680" s="5"/>
    </row>
    <row r="681" spans="2:8" x14ac:dyDescent="0.25"/>
    <row r="682" spans="2:8" s="5" customFormat="1" x14ac:dyDescent="0.25">
      <c r="B682" s="5"/>
      <c r="D682" s="5"/>
      <c r="E682" s="5"/>
      <c r="F682" s="5"/>
      <c r="H682" s="5"/>
    </row>
    <row r="683" spans="2:8" x14ac:dyDescent="0.25"/>
    <row r="684" spans="2:8" s="5" customFormat="1" x14ac:dyDescent="0.25">
      <c r="B684" s="5"/>
      <c r="D684" s="5"/>
      <c r="E684" s="5"/>
      <c r="F684" s="5"/>
      <c r="H684" s="5"/>
    </row>
    <row r="685" spans="2:8" x14ac:dyDescent="0.25"/>
    <row r="686" spans="2:8" s="5" customFormat="1" x14ac:dyDescent="0.25">
      <c r="B686" s="5"/>
      <c r="D686" s="5"/>
      <c r="E686" s="5"/>
      <c r="F686" s="5"/>
      <c r="H686" s="5"/>
    </row>
    <row r="687" spans="2:8" x14ac:dyDescent="0.25"/>
    <row r="688" spans="2:8" s="5" customFormat="1" x14ac:dyDescent="0.25">
      <c r="B688" s="5"/>
      <c r="D688" s="5"/>
      <c r="E688" s="5"/>
      <c r="F688" s="5"/>
      <c r="H688" s="5"/>
    </row>
    <row r="689" spans="2:8" x14ac:dyDescent="0.25"/>
    <row r="690" spans="2:8" s="5" customFormat="1" x14ac:dyDescent="0.25">
      <c r="B690" s="5"/>
      <c r="D690" s="5"/>
      <c r="E690" s="5"/>
      <c r="F690" s="5"/>
      <c r="H690" s="5"/>
    </row>
    <row r="691" spans="2:8" x14ac:dyDescent="0.25"/>
    <row r="692" spans="2:8" s="5" customFormat="1" x14ac:dyDescent="0.25">
      <c r="B692" s="5"/>
      <c r="D692" s="5"/>
      <c r="E692" s="5"/>
      <c r="F692" s="5"/>
      <c r="H692" s="5"/>
    </row>
    <row r="693" spans="2:8" x14ac:dyDescent="0.25"/>
    <row r="694" spans="2:8" s="5" customFormat="1" x14ac:dyDescent="0.25">
      <c r="B694" s="5"/>
      <c r="D694" s="5"/>
      <c r="E694" s="5"/>
      <c r="F694" s="5"/>
      <c r="H694" s="5"/>
    </row>
    <row r="695" spans="2:8" x14ac:dyDescent="0.25"/>
    <row r="696" spans="2:8" s="5" customFormat="1" x14ac:dyDescent="0.25">
      <c r="B696" s="5"/>
      <c r="D696" s="5"/>
      <c r="E696" s="5"/>
      <c r="F696" s="5"/>
      <c r="H696" s="5"/>
    </row>
    <row r="697" spans="2:8" x14ac:dyDescent="0.25"/>
    <row r="698" spans="2:8" s="5" customFormat="1" x14ac:dyDescent="0.25">
      <c r="B698" s="5"/>
      <c r="D698" s="5"/>
      <c r="E698" s="5"/>
      <c r="F698" s="5"/>
      <c r="H698" s="5"/>
    </row>
    <row r="699" spans="2:8" x14ac:dyDescent="0.25"/>
    <row r="700" spans="2:8" s="5" customFormat="1" x14ac:dyDescent="0.25">
      <c r="B700" s="5"/>
      <c r="D700" s="5"/>
      <c r="E700" s="5"/>
      <c r="F700" s="5"/>
      <c r="H700" s="5"/>
    </row>
    <row r="701" spans="2:8" x14ac:dyDescent="0.25"/>
    <row r="702" spans="2:8" s="5" customFormat="1" x14ac:dyDescent="0.25">
      <c r="B702" s="5"/>
      <c r="D702" s="5"/>
      <c r="E702" s="5"/>
      <c r="F702" s="5"/>
      <c r="H702" s="5"/>
    </row>
    <row r="703" spans="2:8" x14ac:dyDescent="0.25"/>
    <row r="704" spans="2:8" s="5" customFormat="1" x14ac:dyDescent="0.25">
      <c r="B704" s="5"/>
      <c r="D704" s="5"/>
      <c r="E704" s="5"/>
      <c r="F704" s="5"/>
      <c r="H704" s="5"/>
    </row>
    <row r="705" spans="2:8" x14ac:dyDescent="0.25"/>
    <row r="706" spans="2:8" s="5" customFormat="1" x14ac:dyDescent="0.25">
      <c r="B706" s="5"/>
      <c r="D706" s="5"/>
      <c r="E706" s="5"/>
      <c r="F706" s="5"/>
      <c r="H706" s="5"/>
    </row>
    <row r="707" spans="2:8" x14ac:dyDescent="0.25"/>
    <row r="708" spans="2:8" s="5" customFormat="1" x14ac:dyDescent="0.25">
      <c r="B708" s="5"/>
      <c r="D708" s="5"/>
      <c r="E708" s="5"/>
      <c r="F708" s="5"/>
      <c r="H708" s="5"/>
    </row>
    <row r="709" spans="2:8" x14ac:dyDescent="0.25"/>
    <row r="710" spans="2:8" s="5" customFormat="1" x14ac:dyDescent="0.25">
      <c r="B710" s="5"/>
      <c r="D710" s="5"/>
      <c r="E710" s="5"/>
      <c r="F710" s="5"/>
      <c r="H710" s="5"/>
    </row>
    <row r="711" spans="2:8" x14ac:dyDescent="0.25"/>
    <row r="712" spans="2:8" s="5" customFormat="1" x14ac:dyDescent="0.25">
      <c r="B712" s="5"/>
      <c r="D712" s="5"/>
      <c r="E712" s="5"/>
      <c r="F712" s="5"/>
      <c r="H712" s="5"/>
    </row>
    <row r="713" spans="2:8" x14ac:dyDescent="0.25"/>
    <row r="714" spans="2:8" s="5" customFormat="1" x14ac:dyDescent="0.25">
      <c r="B714" s="5"/>
      <c r="D714" s="5"/>
      <c r="E714" s="5"/>
      <c r="F714" s="5"/>
      <c r="H714" s="5"/>
    </row>
    <row r="715" spans="2:8" x14ac:dyDescent="0.25"/>
    <row r="716" spans="2:8" s="5" customFormat="1" x14ac:dyDescent="0.25">
      <c r="B716" s="5"/>
      <c r="D716" s="5"/>
      <c r="E716" s="5"/>
      <c r="F716" s="5"/>
      <c r="H716" s="5"/>
    </row>
    <row r="717" spans="2:8" x14ac:dyDescent="0.25"/>
    <row r="718" spans="2:8" s="5" customFormat="1" x14ac:dyDescent="0.25">
      <c r="B718" s="5"/>
      <c r="D718" s="5"/>
      <c r="E718" s="5"/>
      <c r="F718" s="5"/>
      <c r="H718" s="5"/>
    </row>
    <row r="719" spans="2:8" x14ac:dyDescent="0.25"/>
    <row r="720" spans="2:8" s="5" customFormat="1" x14ac:dyDescent="0.25">
      <c r="B720" s="5"/>
      <c r="D720" s="5"/>
      <c r="E720" s="5"/>
      <c r="F720" s="5"/>
      <c r="H720" s="5"/>
    </row>
    <row r="721" spans="2:8" x14ac:dyDescent="0.25"/>
    <row r="722" spans="2:8" s="5" customFormat="1" x14ac:dyDescent="0.25">
      <c r="B722" s="5"/>
      <c r="D722" s="5"/>
      <c r="E722" s="5"/>
      <c r="F722" s="5"/>
      <c r="H722" s="5"/>
    </row>
    <row r="723" spans="2:8" x14ac:dyDescent="0.25"/>
    <row r="724" spans="2:8" s="5" customFormat="1" x14ac:dyDescent="0.25">
      <c r="B724" s="5"/>
      <c r="D724" s="5"/>
      <c r="E724" s="5"/>
      <c r="F724" s="5"/>
      <c r="H724" s="5"/>
    </row>
    <row r="725" spans="2:8" x14ac:dyDescent="0.25"/>
    <row r="726" spans="2:8" s="5" customFormat="1" x14ac:dyDescent="0.25">
      <c r="B726" s="5"/>
      <c r="D726" s="5"/>
      <c r="E726" s="5"/>
      <c r="F726" s="5"/>
      <c r="H726" s="5"/>
    </row>
    <row r="727" spans="2:8" x14ac:dyDescent="0.25"/>
    <row r="728" spans="2:8" s="5" customFormat="1" x14ac:dyDescent="0.25">
      <c r="B728" s="5"/>
      <c r="D728" s="5"/>
      <c r="E728" s="5"/>
      <c r="F728" s="5"/>
      <c r="H728" s="5"/>
    </row>
    <row r="729" spans="2:8" x14ac:dyDescent="0.25"/>
    <row r="730" spans="2:8" s="5" customFormat="1" x14ac:dyDescent="0.25">
      <c r="B730" s="5"/>
      <c r="D730" s="5"/>
      <c r="E730" s="5"/>
      <c r="F730" s="5"/>
      <c r="H730" s="5"/>
    </row>
    <row r="731" spans="2:8" x14ac:dyDescent="0.25"/>
    <row r="732" spans="2:8" s="5" customFormat="1" x14ac:dyDescent="0.25">
      <c r="B732" s="5"/>
      <c r="D732" s="5"/>
      <c r="E732" s="5"/>
      <c r="F732" s="5"/>
      <c r="H732" s="5"/>
    </row>
    <row r="733" spans="2:8" x14ac:dyDescent="0.25"/>
    <row r="734" spans="2:8" s="5" customFormat="1" x14ac:dyDescent="0.25">
      <c r="B734" s="5"/>
      <c r="D734" s="5"/>
      <c r="E734" s="5"/>
      <c r="F734" s="5"/>
      <c r="H734" s="5"/>
    </row>
    <row r="735" spans="2:8" x14ac:dyDescent="0.25"/>
    <row r="736" spans="2:8" s="5" customFormat="1" x14ac:dyDescent="0.25">
      <c r="B736" s="5"/>
      <c r="D736" s="5"/>
      <c r="E736" s="5"/>
      <c r="F736" s="5"/>
      <c r="H736" s="5"/>
    </row>
    <row r="737" spans="2:8" x14ac:dyDescent="0.25"/>
    <row r="738" spans="2:8" s="5" customFormat="1" x14ac:dyDescent="0.25">
      <c r="B738" s="5"/>
      <c r="D738" s="5"/>
      <c r="E738" s="5"/>
      <c r="F738" s="5"/>
      <c r="H738" s="5"/>
    </row>
    <row r="739" spans="2:8" x14ac:dyDescent="0.25"/>
    <row r="740" spans="2:8" s="5" customFormat="1" x14ac:dyDescent="0.25">
      <c r="B740" s="5"/>
      <c r="D740" s="5"/>
      <c r="E740" s="5"/>
      <c r="F740" s="5"/>
      <c r="H740" s="5"/>
    </row>
    <row r="741" spans="2:8" x14ac:dyDescent="0.25"/>
    <row r="742" spans="2:8" s="5" customFormat="1" x14ac:dyDescent="0.25">
      <c r="B742" s="5"/>
      <c r="D742" s="5"/>
      <c r="E742" s="5"/>
      <c r="F742" s="5"/>
      <c r="H742" s="5"/>
    </row>
    <row r="743" spans="2:8" x14ac:dyDescent="0.25"/>
    <row r="744" spans="2:8" s="5" customFormat="1" x14ac:dyDescent="0.25">
      <c r="B744" s="5"/>
      <c r="D744" s="5"/>
      <c r="E744" s="5"/>
      <c r="F744" s="5"/>
      <c r="H744" s="5"/>
    </row>
    <row r="745" spans="2:8" x14ac:dyDescent="0.25"/>
    <row r="746" spans="2:8" s="5" customFormat="1" x14ac:dyDescent="0.25">
      <c r="B746" s="5"/>
      <c r="D746" s="5"/>
      <c r="E746" s="5"/>
      <c r="F746" s="5"/>
      <c r="H746" s="5"/>
    </row>
    <row r="747" spans="2:8" x14ac:dyDescent="0.25"/>
    <row r="748" spans="2:8" s="5" customFormat="1" x14ac:dyDescent="0.25">
      <c r="B748" s="5"/>
      <c r="D748" s="5"/>
      <c r="E748" s="5"/>
      <c r="F748" s="5"/>
      <c r="H748" s="5"/>
    </row>
    <row r="749" spans="2:8" x14ac:dyDescent="0.25"/>
    <row r="750" spans="2:8" s="5" customFormat="1" x14ac:dyDescent="0.25">
      <c r="B750" s="5"/>
      <c r="D750" s="5"/>
      <c r="E750" s="5"/>
      <c r="F750" s="5"/>
      <c r="H750" s="5"/>
    </row>
    <row r="751" spans="2:8" x14ac:dyDescent="0.25"/>
    <row r="752" spans="2:8" s="5" customFormat="1" x14ac:dyDescent="0.25">
      <c r="B752" s="5"/>
      <c r="D752" s="5"/>
      <c r="E752" s="5"/>
      <c r="F752" s="5"/>
      <c r="H752" s="5"/>
    </row>
    <row r="753" spans="2:8" x14ac:dyDescent="0.25"/>
    <row r="754" spans="2:8" s="5" customFormat="1" x14ac:dyDescent="0.25">
      <c r="B754" s="5"/>
      <c r="D754" s="5"/>
      <c r="E754" s="5"/>
      <c r="F754" s="5"/>
      <c r="H754" s="5"/>
    </row>
    <row r="755" spans="2:8" x14ac:dyDescent="0.25"/>
    <row r="756" spans="2:8" s="5" customFormat="1" x14ac:dyDescent="0.25">
      <c r="B756" s="5"/>
      <c r="D756" s="5"/>
      <c r="E756" s="5"/>
      <c r="F756" s="5"/>
      <c r="H756" s="5"/>
    </row>
    <row r="757" spans="2:8" x14ac:dyDescent="0.25"/>
    <row r="758" spans="2:8" s="5" customFormat="1" x14ac:dyDescent="0.25">
      <c r="B758" s="5"/>
      <c r="D758" s="5"/>
      <c r="E758" s="5"/>
      <c r="F758" s="5"/>
      <c r="H758" s="5"/>
    </row>
    <row r="759" spans="2:8" x14ac:dyDescent="0.25"/>
    <row r="760" spans="2:8" s="5" customFormat="1" x14ac:dyDescent="0.25">
      <c r="B760" s="5"/>
      <c r="D760" s="5"/>
      <c r="E760" s="5"/>
      <c r="F760" s="5"/>
      <c r="H760" s="5"/>
    </row>
    <row r="761" spans="2:8" x14ac:dyDescent="0.25"/>
    <row r="762" spans="2:8" s="5" customFormat="1" x14ac:dyDescent="0.25">
      <c r="B762" s="5"/>
      <c r="D762" s="5"/>
      <c r="E762" s="5"/>
      <c r="F762" s="5"/>
      <c r="H762" s="5"/>
    </row>
    <row r="763" spans="2:8" x14ac:dyDescent="0.25"/>
    <row r="764" spans="2:8" s="5" customFormat="1" x14ac:dyDescent="0.25">
      <c r="B764" s="5"/>
      <c r="D764" s="5"/>
      <c r="E764" s="5"/>
      <c r="F764" s="5"/>
      <c r="H764" s="5"/>
    </row>
    <row r="765" spans="2:8" x14ac:dyDescent="0.25"/>
    <row r="766" spans="2:8" s="5" customFormat="1" x14ac:dyDescent="0.25">
      <c r="B766" s="5"/>
      <c r="D766" s="5"/>
      <c r="E766" s="5"/>
      <c r="F766" s="5"/>
      <c r="H766" s="5"/>
    </row>
    <row r="767" spans="2:8" x14ac:dyDescent="0.25"/>
    <row r="768" spans="2:8" s="5" customFormat="1" x14ac:dyDescent="0.25">
      <c r="B768" s="5"/>
      <c r="D768" s="5"/>
      <c r="E768" s="5"/>
      <c r="F768" s="5"/>
      <c r="H768" s="5"/>
    </row>
    <row r="769" spans="2:8" x14ac:dyDescent="0.25"/>
    <row r="770" spans="2:8" s="5" customFormat="1" x14ac:dyDescent="0.25">
      <c r="B770" s="5"/>
      <c r="D770" s="5"/>
      <c r="E770" s="5"/>
      <c r="F770" s="5"/>
      <c r="H770" s="5"/>
    </row>
    <row r="771" spans="2:8" x14ac:dyDescent="0.25"/>
    <row r="772" spans="2:8" s="5" customFormat="1" x14ac:dyDescent="0.25">
      <c r="B772" s="5"/>
      <c r="D772" s="5"/>
      <c r="E772" s="5"/>
      <c r="F772" s="5"/>
      <c r="H772" s="5"/>
    </row>
    <row r="773" spans="2:8" x14ac:dyDescent="0.25"/>
    <row r="774" spans="2:8" s="5" customFormat="1" x14ac:dyDescent="0.25">
      <c r="B774" s="5"/>
      <c r="D774" s="5"/>
      <c r="E774" s="5"/>
      <c r="F774" s="5"/>
      <c r="H774" s="5"/>
    </row>
    <row r="775" spans="2:8" x14ac:dyDescent="0.25"/>
    <row r="776" spans="2:8" s="5" customFormat="1" x14ac:dyDescent="0.25">
      <c r="B776" s="5"/>
      <c r="D776" s="5"/>
      <c r="E776" s="5"/>
      <c r="F776" s="5"/>
      <c r="H776" s="5"/>
    </row>
    <row r="777" spans="2:8" x14ac:dyDescent="0.25"/>
    <row r="778" spans="2:8" s="5" customFormat="1" x14ac:dyDescent="0.25">
      <c r="B778" s="5"/>
      <c r="D778" s="5"/>
      <c r="E778" s="5"/>
      <c r="F778" s="5"/>
      <c r="H778" s="5"/>
    </row>
    <row r="779" spans="2:8" x14ac:dyDescent="0.25"/>
    <row r="780" spans="2:8" s="5" customFormat="1" x14ac:dyDescent="0.25">
      <c r="B780" s="5"/>
      <c r="D780" s="5"/>
      <c r="E780" s="5"/>
      <c r="F780" s="5"/>
      <c r="H780" s="5"/>
    </row>
    <row r="781" spans="2:8" x14ac:dyDescent="0.25"/>
    <row r="782" spans="2:8" s="5" customFormat="1" x14ac:dyDescent="0.25">
      <c r="B782" s="5"/>
      <c r="D782" s="5"/>
      <c r="E782" s="5"/>
      <c r="F782" s="5"/>
      <c r="H782" s="5"/>
    </row>
    <row r="783" spans="2:8" x14ac:dyDescent="0.25"/>
    <row r="784" spans="2:8" s="5" customFormat="1" x14ac:dyDescent="0.25">
      <c r="B784" s="5"/>
      <c r="D784" s="5"/>
      <c r="E784" s="5"/>
      <c r="F784" s="5"/>
      <c r="H784" s="5"/>
    </row>
    <row r="785" spans="2:8" x14ac:dyDescent="0.25"/>
    <row r="786" spans="2:8" s="5" customFormat="1" x14ac:dyDescent="0.25">
      <c r="B786" s="5"/>
      <c r="D786" s="5"/>
      <c r="E786" s="5"/>
      <c r="F786" s="5"/>
      <c r="H786" s="5"/>
    </row>
    <row r="787" spans="2:8" x14ac:dyDescent="0.25"/>
    <row r="788" spans="2:8" s="5" customFormat="1" x14ac:dyDescent="0.25">
      <c r="B788" s="5"/>
      <c r="D788" s="5"/>
      <c r="E788" s="5"/>
      <c r="F788" s="5"/>
      <c r="H788" s="5"/>
    </row>
    <row r="789" spans="2:8" x14ac:dyDescent="0.25"/>
    <row r="790" spans="2:8" s="5" customFormat="1" x14ac:dyDescent="0.25">
      <c r="B790" s="5"/>
      <c r="D790" s="5"/>
      <c r="E790" s="5"/>
      <c r="F790" s="5"/>
      <c r="H790" s="5"/>
    </row>
    <row r="791" spans="2:8" x14ac:dyDescent="0.25"/>
    <row r="792" spans="2:8" s="5" customFormat="1" x14ac:dyDescent="0.25">
      <c r="B792" s="5"/>
      <c r="D792" s="5"/>
      <c r="E792" s="5"/>
      <c r="F792" s="5"/>
      <c r="H792" s="5"/>
    </row>
    <row r="793" spans="2:8" x14ac:dyDescent="0.25"/>
    <row r="794" spans="2:8" s="5" customFormat="1" x14ac:dyDescent="0.25">
      <c r="B794" s="5"/>
      <c r="D794" s="5"/>
      <c r="E794" s="5"/>
      <c r="F794" s="5"/>
      <c r="H794" s="5"/>
    </row>
    <row r="795" spans="2:8" x14ac:dyDescent="0.25"/>
    <row r="796" spans="2:8" s="5" customFormat="1" x14ac:dyDescent="0.25">
      <c r="B796" s="5"/>
      <c r="D796" s="5"/>
      <c r="E796" s="5"/>
      <c r="F796" s="5"/>
      <c r="H796" s="5"/>
    </row>
    <row r="797" spans="2:8" x14ac:dyDescent="0.25"/>
    <row r="798" spans="2:8" s="5" customFormat="1" x14ac:dyDescent="0.25">
      <c r="B798" s="5"/>
      <c r="D798" s="5"/>
      <c r="E798" s="5"/>
      <c r="F798" s="5"/>
      <c r="H798" s="5"/>
    </row>
    <row r="799" spans="2:8" x14ac:dyDescent="0.25"/>
    <row r="800" spans="2:8" s="5" customFormat="1" x14ac:dyDescent="0.25">
      <c r="B800" s="5"/>
      <c r="D800" s="5"/>
      <c r="E800" s="5"/>
      <c r="F800" s="5"/>
      <c r="H800" s="5"/>
    </row>
    <row r="801" spans="2:8" x14ac:dyDescent="0.25"/>
    <row r="802" spans="2:8" s="5" customFormat="1" x14ac:dyDescent="0.25">
      <c r="B802" s="5"/>
      <c r="D802" s="5"/>
      <c r="E802" s="5"/>
      <c r="F802" s="5"/>
      <c r="H802" s="5"/>
    </row>
    <row r="803" spans="2:8" x14ac:dyDescent="0.25"/>
    <row r="804" spans="2:8" s="5" customFormat="1" x14ac:dyDescent="0.25">
      <c r="B804" s="5"/>
      <c r="D804" s="5"/>
      <c r="E804" s="5"/>
      <c r="F804" s="5"/>
      <c r="H804" s="5"/>
    </row>
    <row r="805" spans="2:8" x14ac:dyDescent="0.25"/>
    <row r="806" spans="2:8" s="5" customFormat="1" x14ac:dyDescent="0.25">
      <c r="B806" s="5"/>
      <c r="D806" s="5"/>
      <c r="E806" s="5"/>
      <c r="F806" s="5"/>
      <c r="H806" s="5"/>
    </row>
    <row r="807" spans="2:8" x14ac:dyDescent="0.25"/>
    <row r="808" spans="2:8" s="5" customFormat="1" x14ac:dyDescent="0.25">
      <c r="B808" s="5"/>
      <c r="D808" s="5"/>
      <c r="E808" s="5"/>
      <c r="F808" s="5"/>
      <c r="H808" s="5"/>
    </row>
    <row r="809" spans="2:8" x14ac:dyDescent="0.25"/>
    <row r="810" spans="2:8" s="5" customFormat="1" x14ac:dyDescent="0.25">
      <c r="B810" s="5"/>
      <c r="D810" s="5"/>
      <c r="E810" s="5"/>
      <c r="F810" s="5"/>
      <c r="H810" s="5"/>
    </row>
    <row r="811" spans="2:8" x14ac:dyDescent="0.25"/>
    <row r="812" spans="2:8" s="5" customFormat="1" x14ac:dyDescent="0.25">
      <c r="B812" s="5"/>
      <c r="D812" s="5"/>
      <c r="E812" s="5"/>
      <c r="F812" s="5"/>
      <c r="H812" s="5"/>
    </row>
    <row r="813" spans="2:8" x14ac:dyDescent="0.25"/>
    <row r="814" spans="2:8" s="5" customFormat="1" x14ac:dyDescent="0.25">
      <c r="B814" s="5"/>
      <c r="D814" s="5"/>
      <c r="E814" s="5"/>
      <c r="F814" s="5"/>
      <c r="H814" s="5"/>
    </row>
    <row r="815" spans="2:8" x14ac:dyDescent="0.25"/>
    <row r="816" spans="2:8" s="5" customFormat="1" x14ac:dyDescent="0.25">
      <c r="B816" s="5"/>
      <c r="D816" s="5"/>
      <c r="E816" s="5"/>
      <c r="F816" s="5"/>
      <c r="H816" s="5"/>
    </row>
    <row r="817" spans="2:8" x14ac:dyDescent="0.25"/>
    <row r="818" spans="2:8" s="5" customFormat="1" x14ac:dyDescent="0.25">
      <c r="B818" s="5"/>
      <c r="D818" s="5"/>
      <c r="E818" s="5"/>
      <c r="F818" s="5"/>
      <c r="H818" s="5"/>
    </row>
    <row r="819" spans="2:8" x14ac:dyDescent="0.25"/>
    <row r="820" spans="2:8" s="5" customFormat="1" x14ac:dyDescent="0.25">
      <c r="B820" s="5"/>
      <c r="D820" s="5"/>
      <c r="E820" s="5"/>
      <c r="F820" s="5"/>
      <c r="H820" s="5"/>
    </row>
    <row r="821" spans="2:8" x14ac:dyDescent="0.25"/>
    <row r="822" spans="2:8" s="5" customFormat="1" x14ac:dyDescent="0.25">
      <c r="B822" s="5"/>
      <c r="D822" s="5"/>
      <c r="E822" s="5"/>
      <c r="F822" s="5"/>
      <c r="H822" s="5"/>
    </row>
    <row r="823" spans="2:8" x14ac:dyDescent="0.25"/>
    <row r="824" spans="2:8" s="5" customFormat="1" x14ac:dyDescent="0.25">
      <c r="B824" s="5"/>
      <c r="D824" s="5"/>
      <c r="E824" s="5"/>
      <c r="F824" s="5"/>
      <c r="H824" s="5"/>
    </row>
    <row r="825" spans="2:8" x14ac:dyDescent="0.25"/>
    <row r="826" spans="2:8" s="5" customFormat="1" x14ac:dyDescent="0.25">
      <c r="B826" s="5"/>
      <c r="D826" s="5"/>
      <c r="E826" s="5"/>
      <c r="F826" s="5"/>
      <c r="H826" s="5"/>
    </row>
    <row r="827" spans="2:8" x14ac:dyDescent="0.25"/>
    <row r="828" spans="2:8" s="5" customFormat="1" x14ac:dyDescent="0.25">
      <c r="B828" s="5"/>
      <c r="D828" s="5"/>
      <c r="E828" s="5"/>
      <c r="F828" s="5"/>
      <c r="H828" s="5"/>
    </row>
    <row r="829" spans="2:8" x14ac:dyDescent="0.25"/>
    <row r="830" spans="2:8" s="5" customFormat="1" x14ac:dyDescent="0.25">
      <c r="B830" s="5"/>
      <c r="D830" s="5"/>
      <c r="E830" s="5"/>
      <c r="F830" s="5"/>
      <c r="H830" s="5"/>
    </row>
    <row r="831" spans="2:8" x14ac:dyDescent="0.25"/>
    <row r="832" spans="2:8" s="5" customFormat="1" x14ac:dyDescent="0.25">
      <c r="B832" s="5"/>
      <c r="D832" s="5"/>
      <c r="E832" s="5"/>
      <c r="F832" s="5"/>
      <c r="H832" s="5"/>
    </row>
    <row r="833" spans="2:8" x14ac:dyDescent="0.25"/>
    <row r="834" spans="2:8" s="5" customFormat="1" x14ac:dyDescent="0.25">
      <c r="B834" s="5"/>
      <c r="D834" s="5"/>
      <c r="E834" s="5"/>
      <c r="F834" s="5"/>
      <c r="H834" s="5"/>
    </row>
    <row r="835" spans="2:8" x14ac:dyDescent="0.25"/>
    <row r="836" spans="2:8" s="5" customFormat="1" x14ac:dyDescent="0.25">
      <c r="B836" s="5"/>
      <c r="D836" s="5"/>
      <c r="E836" s="5"/>
      <c r="F836" s="5"/>
      <c r="H836" s="5"/>
    </row>
    <row r="837" spans="2:8" x14ac:dyDescent="0.25"/>
    <row r="838" spans="2:8" s="5" customFormat="1" x14ac:dyDescent="0.25">
      <c r="B838" s="5"/>
      <c r="D838" s="5"/>
      <c r="E838" s="5"/>
      <c r="F838" s="5"/>
      <c r="H838" s="5"/>
    </row>
    <row r="839" spans="2:8" x14ac:dyDescent="0.25"/>
    <row r="840" spans="2:8" s="5" customFormat="1" x14ac:dyDescent="0.25">
      <c r="B840" s="5"/>
      <c r="D840" s="5"/>
      <c r="E840" s="5"/>
      <c r="F840" s="5"/>
      <c r="H840" s="5"/>
    </row>
    <row r="841" spans="2:8" x14ac:dyDescent="0.25"/>
    <row r="842" spans="2:8" s="5" customFormat="1" x14ac:dyDescent="0.25">
      <c r="B842" s="5"/>
      <c r="D842" s="5"/>
      <c r="E842" s="5"/>
      <c r="F842" s="5"/>
      <c r="H842" s="5"/>
    </row>
    <row r="843" spans="2:8" x14ac:dyDescent="0.25"/>
    <row r="844" spans="2:8" s="5" customFormat="1" x14ac:dyDescent="0.25">
      <c r="B844" s="5"/>
      <c r="D844" s="5"/>
      <c r="E844" s="5"/>
      <c r="F844" s="5"/>
      <c r="H844" s="5"/>
    </row>
    <row r="845" spans="2:8" x14ac:dyDescent="0.25"/>
    <row r="846" spans="2:8" s="5" customFormat="1" x14ac:dyDescent="0.25">
      <c r="B846" s="5"/>
      <c r="D846" s="5"/>
      <c r="E846" s="5"/>
      <c r="F846" s="5"/>
      <c r="H846" s="5"/>
    </row>
    <row r="847" spans="2:8" x14ac:dyDescent="0.25"/>
    <row r="848" spans="2:8" s="5" customFormat="1" x14ac:dyDescent="0.25">
      <c r="B848" s="5"/>
      <c r="D848" s="5"/>
      <c r="E848" s="5"/>
      <c r="F848" s="5"/>
      <c r="H848" s="5"/>
    </row>
    <row r="849" spans="2:8" x14ac:dyDescent="0.25"/>
    <row r="850" spans="2:8" s="5" customFormat="1" x14ac:dyDescent="0.25">
      <c r="B850" s="5"/>
      <c r="D850" s="5"/>
      <c r="E850" s="5"/>
      <c r="F850" s="5"/>
      <c r="H850" s="5"/>
    </row>
    <row r="851" spans="2:8" x14ac:dyDescent="0.25"/>
    <row r="852" spans="2:8" s="5" customFormat="1" x14ac:dyDescent="0.25">
      <c r="B852" s="5"/>
      <c r="D852" s="5"/>
      <c r="E852" s="5"/>
      <c r="F852" s="5"/>
      <c r="H852" s="5"/>
    </row>
    <row r="853" spans="2:8" x14ac:dyDescent="0.25"/>
    <row r="854" spans="2:8" s="5" customFormat="1" x14ac:dyDescent="0.25">
      <c r="B854" s="5"/>
      <c r="D854" s="5"/>
      <c r="E854" s="5"/>
      <c r="F854" s="5"/>
      <c r="H854" s="5"/>
    </row>
    <row r="855" spans="2:8" x14ac:dyDescent="0.25"/>
    <row r="856" spans="2:8" s="5" customFormat="1" x14ac:dyDescent="0.25">
      <c r="B856" s="5"/>
      <c r="D856" s="5"/>
      <c r="E856" s="5"/>
      <c r="F856" s="5"/>
      <c r="H856" s="5"/>
    </row>
    <row r="857" spans="2:8" x14ac:dyDescent="0.25"/>
    <row r="858" spans="2:8" s="5" customFormat="1" x14ac:dyDescent="0.25">
      <c r="B858" s="5"/>
      <c r="D858" s="5"/>
      <c r="E858" s="5"/>
      <c r="F858" s="5"/>
      <c r="H858" s="5"/>
    </row>
    <row r="859" spans="2:8" x14ac:dyDescent="0.25"/>
    <row r="860" spans="2:8" s="5" customFormat="1" x14ac:dyDescent="0.25">
      <c r="B860" s="5"/>
      <c r="D860" s="5"/>
      <c r="E860" s="5"/>
      <c r="F860" s="5"/>
      <c r="H860" s="5"/>
    </row>
    <row r="861" spans="2:8" x14ac:dyDescent="0.25"/>
    <row r="862" spans="2:8" s="5" customFormat="1" x14ac:dyDescent="0.25">
      <c r="B862" s="5"/>
      <c r="D862" s="5"/>
      <c r="E862" s="5"/>
      <c r="F862" s="5"/>
      <c r="H862" s="5"/>
    </row>
    <row r="863" spans="2:8" x14ac:dyDescent="0.25"/>
    <row r="864" spans="2:8" s="5" customFormat="1" x14ac:dyDescent="0.25">
      <c r="B864" s="5"/>
      <c r="D864" s="5"/>
      <c r="E864" s="5"/>
      <c r="F864" s="5"/>
      <c r="H864" s="5"/>
    </row>
    <row r="865" spans="2:8" x14ac:dyDescent="0.25"/>
    <row r="866" spans="2:8" s="5" customFormat="1" x14ac:dyDescent="0.25">
      <c r="B866" s="5"/>
      <c r="D866" s="5"/>
      <c r="E866" s="5"/>
      <c r="F866" s="5"/>
      <c r="H866" s="5"/>
    </row>
    <row r="867" spans="2:8" x14ac:dyDescent="0.25"/>
    <row r="868" spans="2:8" s="5" customFormat="1" x14ac:dyDescent="0.25">
      <c r="B868" s="5"/>
      <c r="D868" s="5"/>
      <c r="E868" s="5"/>
      <c r="F868" s="5"/>
      <c r="H868" s="5"/>
    </row>
    <row r="869" spans="2:8" x14ac:dyDescent="0.25"/>
    <row r="870" spans="2:8" s="5" customFormat="1" x14ac:dyDescent="0.25">
      <c r="B870" s="5"/>
      <c r="D870" s="5"/>
      <c r="E870" s="5"/>
      <c r="F870" s="5"/>
      <c r="H870" s="5"/>
    </row>
    <row r="871" spans="2:8" x14ac:dyDescent="0.25"/>
    <row r="872" spans="2:8" s="5" customFormat="1" x14ac:dyDescent="0.25">
      <c r="B872" s="5"/>
      <c r="D872" s="5"/>
      <c r="E872" s="5"/>
      <c r="F872" s="5"/>
      <c r="H872" s="5"/>
    </row>
    <row r="873" spans="2:8" x14ac:dyDescent="0.25"/>
    <row r="874" spans="2:8" s="5" customFormat="1" x14ac:dyDescent="0.25">
      <c r="B874" s="5"/>
      <c r="D874" s="5"/>
      <c r="E874" s="5"/>
      <c r="F874" s="5"/>
      <c r="H874" s="5"/>
    </row>
    <row r="875" spans="2:8" x14ac:dyDescent="0.25"/>
    <row r="876" spans="2:8" s="5" customFormat="1" x14ac:dyDescent="0.25">
      <c r="B876" s="5"/>
      <c r="D876" s="5"/>
      <c r="E876" s="5"/>
      <c r="F876" s="5"/>
      <c r="H876" s="5"/>
    </row>
    <row r="877" spans="2:8" x14ac:dyDescent="0.25"/>
    <row r="878" spans="2:8" s="5" customFormat="1" x14ac:dyDescent="0.25">
      <c r="B878" s="5"/>
      <c r="D878" s="5"/>
      <c r="E878" s="5"/>
      <c r="F878" s="5"/>
      <c r="H878" s="5"/>
    </row>
    <row r="879" spans="2:8" x14ac:dyDescent="0.25"/>
    <row r="880" spans="2:8" s="5" customFormat="1" x14ac:dyDescent="0.25">
      <c r="B880" s="5"/>
      <c r="D880" s="5"/>
      <c r="E880" s="5"/>
      <c r="F880" s="5"/>
      <c r="H880" s="5"/>
    </row>
    <row r="881" spans="2:8" x14ac:dyDescent="0.25"/>
    <row r="882" spans="2:8" s="5" customFormat="1" x14ac:dyDescent="0.25">
      <c r="B882" s="5"/>
      <c r="D882" s="5"/>
      <c r="E882" s="5"/>
      <c r="F882" s="5"/>
      <c r="H882" s="5"/>
    </row>
    <row r="883" spans="2:8" x14ac:dyDescent="0.25"/>
    <row r="884" spans="2:8" s="5" customFormat="1" x14ac:dyDescent="0.25">
      <c r="B884" s="5"/>
      <c r="D884" s="5"/>
      <c r="E884" s="5"/>
      <c r="F884" s="5"/>
      <c r="H884" s="5"/>
    </row>
    <row r="885" spans="2:8" x14ac:dyDescent="0.25"/>
    <row r="886" spans="2:8" s="5" customFormat="1" x14ac:dyDescent="0.25">
      <c r="B886" s="5"/>
      <c r="D886" s="5"/>
      <c r="E886" s="5"/>
      <c r="F886" s="5"/>
      <c r="H886" s="5"/>
    </row>
    <row r="887" spans="2:8" x14ac:dyDescent="0.25"/>
    <row r="888" spans="2:8" s="5" customFormat="1" x14ac:dyDescent="0.25">
      <c r="B888" s="5"/>
      <c r="D888" s="5"/>
      <c r="E888" s="5"/>
      <c r="F888" s="5"/>
      <c r="H888" s="5"/>
    </row>
    <row r="889" spans="2:8" x14ac:dyDescent="0.25"/>
    <row r="890" spans="2:8" s="5" customFormat="1" x14ac:dyDescent="0.25">
      <c r="B890" s="5"/>
      <c r="D890" s="5"/>
      <c r="E890" s="5"/>
      <c r="F890" s="5"/>
      <c r="H890" s="5"/>
    </row>
    <row r="891" spans="2:8" x14ac:dyDescent="0.25"/>
    <row r="892" spans="2:8" s="5" customFormat="1" x14ac:dyDescent="0.25">
      <c r="B892" s="5"/>
      <c r="D892" s="5"/>
      <c r="E892" s="5"/>
      <c r="F892" s="5"/>
      <c r="H892" s="5"/>
    </row>
    <row r="893" spans="2:8" x14ac:dyDescent="0.25"/>
    <row r="894" spans="2:8" s="5" customFormat="1" x14ac:dyDescent="0.25">
      <c r="B894" s="5"/>
      <c r="D894" s="5"/>
      <c r="E894" s="5"/>
      <c r="F894" s="5"/>
      <c r="H894" s="5"/>
    </row>
    <row r="895" spans="2:8" x14ac:dyDescent="0.25"/>
    <row r="896" spans="2:8" s="5" customFormat="1" x14ac:dyDescent="0.25">
      <c r="B896" s="5"/>
      <c r="D896" s="5"/>
      <c r="E896" s="5"/>
      <c r="F896" s="5"/>
      <c r="H896" s="5"/>
    </row>
    <row r="897" spans="2:8" x14ac:dyDescent="0.25"/>
    <row r="898" spans="2:8" s="5" customFormat="1" x14ac:dyDescent="0.25">
      <c r="B898" s="5"/>
      <c r="D898" s="5"/>
      <c r="E898" s="5"/>
      <c r="F898" s="5"/>
      <c r="H898" s="5"/>
    </row>
    <row r="899" spans="2:8" x14ac:dyDescent="0.25"/>
    <row r="900" spans="2:8" s="5" customFormat="1" x14ac:dyDescent="0.25">
      <c r="B900" s="5"/>
      <c r="D900" s="5"/>
      <c r="E900" s="5"/>
      <c r="F900" s="5"/>
      <c r="H900" s="5"/>
    </row>
    <row r="901" spans="2:8" x14ac:dyDescent="0.25"/>
    <row r="902" spans="2:8" s="5" customFormat="1" x14ac:dyDescent="0.25">
      <c r="B902" s="5"/>
      <c r="D902" s="5"/>
      <c r="E902" s="5"/>
      <c r="F902" s="5"/>
      <c r="H902" s="5"/>
    </row>
    <row r="903" spans="2:8" x14ac:dyDescent="0.25"/>
    <row r="904" spans="2:8" s="5" customFormat="1" x14ac:dyDescent="0.25">
      <c r="B904" s="5"/>
      <c r="D904" s="5"/>
      <c r="E904" s="5"/>
      <c r="F904" s="5"/>
      <c r="H904" s="5"/>
    </row>
    <row r="905" spans="2:8" x14ac:dyDescent="0.25"/>
    <row r="906" spans="2:8" s="5" customFormat="1" x14ac:dyDescent="0.25">
      <c r="B906" s="5"/>
      <c r="D906" s="5"/>
      <c r="E906" s="5"/>
      <c r="F906" s="5"/>
      <c r="H906" s="5"/>
    </row>
    <row r="907" spans="2:8" x14ac:dyDescent="0.25"/>
    <row r="908" spans="2:8" s="5" customFormat="1" x14ac:dyDescent="0.25">
      <c r="B908" s="5"/>
      <c r="D908" s="5"/>
      <c r="E908" s="5"/>
      <c r="F908" s="5"/>
      <c r="H908" s="5"/>
    </row>
    <row r="909" spans="2:8" x14ac:dyDescent="0.25"/>
    <row r="910" spans="2:8" s="5" customFormat="1" x14ac:dyDescent="0.25">
      <c r="B910" s="5"/>
      <c r="D910" s="5"/>
      <c r="E910" s="5"/>
      <c r="F910" s="5"/>
      <c r="H910" s="5"/>
    </row>
    <row r="911" spans="2:8" x14ac:dyDescent="0.25"/>
    <row r="912" spans="2:8" s="5" customFormat="1" x14ac:dyDescent="0.25">
      <c r="B912" s="5"/>
      <c r="D912" s="5"/>
      <c r="E912" s="5"/>
      <c r="F912" s="5"/>
      <c r="H912" s="5"/>
    </row>
    <row r="913" spans="2:8" x14ac:dyDescent="0.25"/>
    <row r="914" spans="2:8" s="5" customFormat="1" x14ac:dyDescent="0.25">
      <c r="B914" s="5"/>
      <c r="D914" s="5"/>
      <c r="E914" s="5"/>
      <c r="F914" s="5"/>
      <c r="H914" s="5"/>
    </row>
    <row r="915" spans="2:8" x14ac:dyDescent="0.25"/>
    <row r="916" spans="2:8" s="5" customFormat="1" x14ac:dyDescent="0.25">
      <c r="B916" s="5"/>
      <c r="D916" s="5"/>
      <c r="E916" s="5"/>
      <c r="F916" s="5"/>
      <c r="H916" s="5"/>
    </row>
    <row r="917" spans="2:8" x14ac:dyDescent="0.25"/>
    <row r="918" spans="2:8" s="5" customFormat="1" x14ac:dyDescent="0.25">
      <c r="B918" s="5"/>
      <c r="D918" s="5"/>
      <c r="E918" s="5"/>
      <c r="F918" s="5"/>
      <c r="H918" s="5"/>
    </row>
    <row r="919" spans="2:8" x14ac:dyDescent="0.25"/>
    <row r="920" spans="2:8" s="5" customFormat="1" x14ac:dyDescent="0.25">
      <c r="B920" s="5"/>
      <c r="D920" s="5"/>
      <c r="E920" s="5"/>
      <c r="F920" s="5"/>
      <c r="H920" s="5"/>
    </row>
    <row r="921" spans="2:8" x14ac:dyDescent="0.25"/>
    <row r="922" spans="2:8" s="5" customFormat="1" x14ac:dyDescent="0.25">
      <c r="B922" s="5"/>
      <c r="D922" s="5"/>
      <c r="E922" s="5"/>
      <c r="F922" s="5"/>
      <c r="H922" s="5"/>
    </row>
    <row r="923" spans="2:8" x14ac:dyDescent="0.25"/>
    <row r="924" spans="2:8" s="5" customFormat="1" x14ac:dyDescent="0.25">
      <c r="B924" s="5"/>
      <c r="D924" s="5"/>
      <c r="E924" s="5"/>
      <c r="F924" s="5"/>
      <c r="H924" s="5"/>
    </row>
    <row r="925" spans="2:8" x14ac:dyDescent="0.25"/>
    <row r="926" spans="2:8" s="5" customFormat="1" x14ac:dyDescent="0.25">
      <c r="B926" s="5"/>
      <c r="D926" s="5"/>
      <c r="E926" s="5"/>
      <c r="F926" s="5"/>
      <c r="H926" s="5"/>
    </row>
    <row r="927" spans="2:8" x14ac:dyDescent="0.25"/>
    <row r="928" spans="2:8" s="5" customFormat="1" x14ac:dyDescent="0.25">
      <c r="B928" s="5"/>
      <c r="D928" s="5"/>
      <c r="E928" s="5"/>
      <c r="F928" s="5"/>
      <c r="H928" s="5"/>
    </row>
    <row r="929" spans="2:8" x14ac:dyDescent="0.25"/>
    <row r="930" spans="2:8" s="5" customFormat="1" x14ac:dyDescent="0.25">
      <c r="B930" s="5"/>
      <c r="D930" s="5"/>
      <c r="E930" s="5"/>
      <c r="F930" s="5"/>
      <c r="H930" s="5"/>
    </row>
    <row r="931" spans="2:8" x14ac:dyDescent="0.25"/>
    <row r="932" spans="2:8" s="5" customFormat="1" x14ac:dyDescent="0.25">
      <c r="B932" s="5"/>
      <c r="D932" s="5"/>
      <c r="E932" s="5"/>
      <c r="F932" s="5"/>
      <c r="H932" s="5"/>
    </row>
    <row r="933" spans="2:8" x14ac:dyDescent="0.25"/>
    <row r="934" spans="2:8" s="5" customFormat="1" x14ac:dyDescent="0.25">
      <c r="B934" s="5"/>
      <c r="D934" s="5"/>
      <c r="E934" s="5"/>
      <c r="F934" s="5"/>
      <c r="H934" s="5"/>
    </row>
    <row r="935" spans="2:8" x14ac:dyDescent="0.25"/>
    <row r="936" spans="2:8" s="5" customFormat="1" x14ac:dyDescent="0.25">
      <c r="B936" s="5"/>
      <c r="D936" s="5"/>
      <c r="E936" s="5"/>
      <c r="F936" s="5"/>
      <c r="H936" s="5"/>
    </row>
    <row r="937" spans="2:8" x14ac:dyDescent="0.25"/>
    <row r="938" spans="2:8" s="5" customFormat="1" x14ac:dyDescent="0.25">
      <c r="B938" s="5"/>
      <c r="D938" s="5"/>
      <c r="E938" s="5"/>
      <c r="F938" s="5"/>
      <c r="H938" s="5"/>
    </row>
    <row r="939" spans="2:8" x14ac:dyDescent="0.25"/>
    <row r="940" spans="2:8" s="5" customFormat="1" x14ac:dyDescent="0.25">
      <c r="B940" s="5"/>
      <c r="D940" s="5"/>
      <c r="E940" s="5"/>
      <c r="F940" s="5"/>
      <c r="H940" s="5"/>
    </row>
    <row r="941" spans="2:8" x14ac:dyDescent="0.25"/>
    <row r="942" spans="2:8" s="5" customFormat="1" x14ac:dyDescent="0.25">
      <c r="B942" s="5"/>
      <c r="D942" s="5"/>
      <c r="E942" s="5"/>
      <c r="F942" s="5"/>
      <c r="H942" s="5"/>
    </row>
    <row r="943" spans="2:8" x14ac:dyDescent="0.25"/>
    <row r="944" spans="2:8" s="5" customFormat="1" x14ac:dyDescent="0.25">
      <c r="B944" s="5"/>
      <c r="D944" s="5"/>
      <c r="E944" s="5"/>
      <c r="F944" s="5"/>
      <c r="H944" s="5"/>
    </row>
    <row r="945" spans="2:8" x14ac:dyDescent="0.25"/>
    <row r="946" spans="2:8" s="5" customFormat="1" x14ac:dyDescent="0.25">
      <c r="B946" s="5"/>
      <c r="D946" s="5"/>
      <c r="E946" s="5"/>
      <c r="F946" s="5"/>
      <c r="H946" s="5"/>
    </row>
    <row r="947" spans="2:8" x14ac:dyDescent="0.25"/>
    <row r="948" spans="2:8" s="5" customFormat="1" x14ac:dyDescent="0.25">
      <c r="B948" s="5"/>
      <c r="D948" s="5"/>
      <c r="E948" s="5"/>
      <c r="F948" s="5"/>
      <c r="H948" s="5"/>
    </row>
    <row r="949" spans="2:8" x14ac:dyDescent="0.25"/>
    <row r="950" spans="2:8" s="5" customFormat="1" x14ac:dyDescent="0.25">
      <c r="B950" s="5"/>
      <c r="D950" s="5"/>
      <c r="E950" s="5"/>
      <c r="F950" s="5"/>
      <c r="H950" s="5"/>
    </row>
    <row r="951" spans="2:8" x14ac:dyDescent="0.25"/>
    <row r="952" spans="2:8" s="5" customFormat="1" x14ac:dyDescent="0.25">
      <c r="B952" s="5"/>
      <c r="D952" s="5"/>
      <c r="E952" s="5"/>
      <c r="F952" s="5"/>
      <c r="H952" s="5"/>
    </row>
    <row r="953" spans="2:8" x14ac:dyDescent="0.25"/>
    <row r="954" spans="2:8" s="5" customFormat="1" x14ac:dyDescent="0.25">
      <c r="B954" s="5"/>
      <c r="D954" s="5"/>
      <c r="E954" s="5"/>
      <c r="F954" s="5"/>
      <c r="H954" s="5"/>
    </row>
    <row r="955" spans="2:8" x14ac:dyDescent="0.25"/>
    <row r="956" spans="2:8" s="5" customFormat="1" x14ac:dyDescent="0.25">
      <c r="B956" s="5"/>
      <c r="D956" s="5"/>
      <c r="E956" s="5"/>
      <c r="F956" s="5"/>
      <c r="H956" s="5"/>
    </row>
    <row r="957" spans="2:8" x14ac:dyDescent="0.25"/>
    <row r="958" spans="2:8" s="5" customFormat="1" x14ac:dyDescent="0.25">
      <c r="B958" s="5"/>
      <c r="D958" s="5"/>
      <c r="E958" s="5"/>
      <c r="F958" s="5"/>
      <c r="H958" s="5"/>
    </row>
    <row r="959" spans="2:8" x14ac:dyDescent="0.25"/>
    <row r="960" spans="2:8" s="5" customFormat="1" x14ac:dyDescent="0.25">
      <c r="B960" s="5"/>
      <c r="D960" s="5"/>
      <c r="E960" s="5"/>
      <c r="F960" s="5"/>
      <c r="H960" s="5"/>
    </row>
    <row r="961" spans="2:8" x14ac:dyDescent="0.25"/>
    <row r="962" spans="2:8" s="5" customFormat="1" x14ac:dyDescent="0.25">
      <c r="B962" s="5"/>
      <c r="D962" s="5"/>
      <c r="E962" s="5"/>
      <c r="F962" s="5"/>
      <c r="H962" s="5"/>
    </row>
    <row r="963" spans="2:8" x14ac:dyDescent="0.25"/>
    <row r="964" spans="2:8" s="5" customFormat="1" x14ac:dyDescent="0.25">
      <c r="B964" s="5"/>
      <c r="D964" s="5"/>
      <c r="E964" s="5"/>
      <c r="F964" s="5"/>
      <c r="H964" s="5"/>
    </row>
    <row r="965" spans="2:8" x14ac:dyDescent="0.25"/>
    <row r="966" spans="2:8" s="5" customFormat="1" x14ac:dyDescent="0.25">
      <c r="B966" s="5"/>
      <c r="D966" s="5"/>
      <c r="E966" s="5"/>
      <c r="F966" s="5"/>
      <c r="H966" s="5"/>
    </row>
    <row r="967" spans="2:8" x14ac:dyDescent="0.25"/>
    <row r="968" spans="2:8" s="5" customFormat="1" x14ac:dyDescent="0.25">
      <c r="B968" s="5"/>
      <c r="D968" s="5"/>
      <c r="E968" s="5"/>
      <c r="F968" s="5"/>
      <c r="H968" s="5"/>
    </row>
    <row r="969" spans="2:8" x14ac:dyDescent="0.25"/>
    <row r="970" spans="2:8" s="5" customFormat="1" x14ac:dyDescent="0.25">
      <c r="B970" s="5"/>
      <c r="D970" s="5"/>
      <c r="E970" s="5"/>
      <c r="F970" s="5"/>
      <c r="H970" s="5"/>
    </row>
    <row r="971" spans="2:8" x14ac:dyDescent="0.25"/>
    <row r="972" spans="2:8" s="5" customFormat="1" x14ac:dyDescent="0.25">
      <c r="B972" s="5"/>
      <c r="D972" s="5"/>
      <c r="E972" s="5"/>
      <c r="F972" s="5"/>
      <c r="H972" s="5"/>
    </row>
    <row r="973" spans="2:8" x14ac:dyDescent="0.25"/>
    <row r="974" spans="2:8" s="5" customFormat="1" x14ac:dyDescent="0.25">
      <c r="B974" s="5"/>
      <c r="D974" s="5"/>
      <c r="E974" s="5"/>
      <c r="F974" s="5"/>
      <c r="H974" s="5"/>
    </row>
    <row r="975" spans="2:8" x14ac:dyDescent="0.25"/>
    <row r="976" spans="2:8" s="5" customFormat="1" x14ac:dyDescent="0.25">
      <c r="B976" s="5"/>
      <c r="D976" s="5"/>
      <c r="E976" s="5"/>
      <c r="F976" s="5"/>
      <c r="H976" s="5"/>
    </row>
    <row r="977" spans="2:8" x14ac:dyDescent="0.25"/>
    <row r="978" spans="2:8" s="5" customFormat="1" x14ac:dyDescent="0.25">
      <c r="B978" s="5"/>
      <c r="D978" s="5"/>
      <c r="E978" s="5"/>
      <c r="F978" s="5"/>
      <c r="H978" s="5"/>
    </row>
    <row r="979" spans="2:8" x14ac:dyDescent="0.25"/>
    <row r="980" spans="2:8" s="5" customFormat="1" x14ac:dyDescent="0.25">
      <c r="B980" s="5"/>
      <c r="D980" s="5"/>
      <c r="E980" s="5"/>
      <c r="F980" s="5"/>
      <c r="H980" s="5"/>
    </row>
    <row r="981" spans="2:8" x14ac:dyDescent="0.25"/>
    <row r="982" spans="2:8" s="5" customFormat="1" x14ac:dyDescent="0.25">
      <c r="B982" s="5"/>
      <c r="D982" s="5"/>
      <c r="E982" s="5"/>
      <c r="F982" s="5"/>
      <c r="H982" s="5"/>
    </row>
    <row r="983" spans="2:8" x14ac:dyDescent="0.25"/>
    <row r="984" spans="2:8" s="5" customFormat="1" x14ac:dyDescent="0.25">
      <c r="B984" s="5"/>
      <c r="D984" s="5"/>
      <c r="E984" s="5"/>
      <c r="F984" s="5"/>
      <c r="H984" s="5"/>
    </row>
    <row r="985" spans="2:8" x14ac:dyDescent="0.25"/>
    <row r="986" spans="2:8" s="5" customFormat="1" x14ac:dyDescent="0.25">
      <c r="B986" s="5"/>
      <c r="D986" s="5"/>
      <c r="E986" s="5"/>
      <c r="F986" s="5"/>
      <c r="H986" s="5"/>
    </row>
    <row r="987" spans="2:8" x14ac:dyDescent="0.25"/>
    <row r="988" spans="2:8" s="5" customFormat="1" x14ac:dyDescent="0.25">
      <c r="B988" s="5"/>
      <c r="D988" s="5"/>
      <c r="E988" s="5"/>
      <c r="F988" s="5"/>
      <c r="H988" s="5"/>
    </row>
    <row r="989" spans="2:8" x14ac:dyDescent="0.25"/>
    <row r="990" spans="2:8" s="5" customFormat="1" x14ac:dyDescent="0.25">
      <c r="B990" s="5"/>
      <c r="D990" s="5"/>
      <c r="E990" s="5"/>
      <c r="F990" s="5"/>
      <c r="H990" s="5"/>
    </row>
    <row r="991" spans="2:8" x14ac:dyDescent="0.25"/>
    <row r="992" spans="2:8" s="5" customFormat="1" x14ac:dyDescent="0.25">
      <c r="B992" s="5"/>
      <c r="D992" s="5"/>
      <c r="E992" s="5"/>
      <c r="F992" s="5"/>
      <c r="H992" s="5"/>
    </row>
    <row r="993" spans="2:8" x14ac:dyDescent="0.25"/>
    <row r="994" spans="2:8" s="5" customFormat="1" x14ac:dyDescent="0.25">
      <c r="B994" s="5"/>
      <c r="D994" s="5"/>
      <c r="E994" s="5"/>
      <c r="F994" s="5"/>
      <c r="H994" s="5"/>
    </row>
    <row r="995" spans="2:8" x14ac:dyDescent="0.25"/>
    <row r="996" spans="2:8" s="5" customFormat="1" x14ac:dyDescent="0.25">
      <c r="B996" s="5"/>
      <c r="D996" s="5"/>
      <c r="E996" s="5"/>
      <c r="F996" s="5"/>
      <c r="H996" s="5"/>
    </row>
    <row r="997" spans="2:8" x14ac:dyDescent="0.25"/>
    <row r="998" spans="2:8" s="5" customFormat="1" x14ac:dyDescent="0.25">
      <c r="B998" s="5"/>
      <c r="D998" s="5"/>
      <c r="E998" s="5"/>
      <c r="F998" s="5"/>
      <c r="H998" s="5"/>
    </row>
    <row r="999" spans="2:8" x14ac:dyDescent="0.25"/>
    <row r="1000" spans="2:8" s="5" customFormat="1" x14ac:dyDescent="0.25">
      <c r="B1000" s="5"/>
      <c r="D1000" s="5"/>
      <c r="E1000" s="5"/>
      <c r="F1000" s="5"/>
      <c r="H1000" s="5"/>
    </row>
  </sheetData>
  <dataValidations count="10">
    <dataValidation type="list" allowBlank="1" sqref="B10:B1000">
      <formula1>Beállítások!$D$2:$D$5</formula1>
    </dataValidation>
    <dataValidation type="list" allowBlank="1" sqref="B2:B1000">
      <formula1>Beállítások!$D$2:$D$5</formula1>
    </dataValidation>
    <dataValidation type="list" allowBlank="1" sqref="D10:D1000">
      <formula1>Beállítások!$A$2:$A$20</formula1>
    </dataValidation>
    <dataValidation type="list" allowBlank="1" sqref="D2:D1000">
      <formula1>Beállítások!$A$2:$A$20</formula1>
    </dataValidation>
    <dataValidation type="list" allowBlank="1" sqref="E10:E1000">
      <formula1>Beállítások!$B$2:$B$20</formula1>
    </dataValidation>
    <dataValidation type="list" allowBlank="1" sqref="E2:E1000">
      <formula1>Beállítások!$B$2:$B$20</formula1>
    </dataValidation>
    <dataValidation type="list" allowBlank="1" sqref="F10:F1000">
      <formula1>Beállítások!$C$2:$C$20</formula1>
    </dataValidation>
    <dataValidation type="list" allowBlank="1" sqref="F2:F1000">
      <formula1>Beállítások!$C$2:$C$20</formula1>
    </dataValidation>
    <dataValidation type="list" allowBlank="1" sqref="H10:H1000">
      <formula1>Beállítások!$E$2:$E$3</formula1>
    </dataValidation>
    <dataValidation type="list" allowBlank="1" sqref="H2:H1000">
      <formula1>Beállítások!$E$2:$E$3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FormatPr defaultRowHeight="15" outlineLevelRow="0" outlineLevelCol="0" x14ac:dyDescent="55"/>
  <cols>
    <col min="1" max="1" width="5" customWidth="1"/>
    <col min="2" max="2" width="30" customWidth="1"/>
    <col min="3" max="3" width="25" customWidth="1"/>
  </cols>
  <sheetData>
    <row r="2" spans="2:3" x14ac:dyDescent="0.25">
      <c r="B2" s="7" t="s">
        <v>49</v>
      </c>
      <c r="C2" s="8"/>
    </row>
    <row r="3" spans="2:3" x14ac:dyDescent="0.25">
      <c r="B3" s="9" t="s">
        <v>50</v>
      </c>
      <c r="C3" s="10">
        <f>SUMIF(Tranzakciók!B:B, "Bevétel", Tranzakciók!C:C)</f>
      </c>
    </row>
    <row r="4" spans="2:3" x14ac:dyDescent="0.25">
      <c r="B4" s="9" t="s">
        <v>51</v>
      </c>
      <c r="C4" s="10">
        <f>SUMIF(Tranzakciók!B:B, "Kiadás", Tranzakciók!C:C)</f>
      </c>
    </row>
    <row r="5" spans="2:3" x14ac:dyDescent="0.25">
      <c r="B5" s="11" t="s">
        <v>52</v>
      </c>
      <c r="C5" s="12">
        <f>C3 - C4</f>
      </c>
    </row>
    <row r="7" spans="2:3" x14ac:dyDescent="0.25">
      <c r="B7" s="7" t="s">
        <v>53</v>
      </c>
      <c r="C7" s="8"/>
    </row>
    <row r="8" spans="2:3" x14ac:dyDescent="0.25">
      <c r="B8" s="9" t="s">
        <v>54</v>
      </c>
      <c r="C8" s="10">
        <f>SUMIFS(Tranzakciók!C:C, Tranzakciók!B:B, "Átvezetés", Tranzakciók!F:F, "Utazás") - SUMIFS(Tranzakciók!C:C, Tranzakciók!B:B, "Kiadás", Tranzakciók!F:F, "Utazás")</f>
      </c>
    </row>
    <row r="9" spans="2:3" x14ac:dyDescent="0.25">
      <c r="B9" s="9" t="s">
        <v>55</v>
      </c>
      <c r="C9" s="10">
        <f>SUMIFS(Tranzakciók!C:C, Tranzakciók!B:B, "Átvezetés", Tranzakciók!F:F, "Autó fenntartás") - SUMIFS(Tranzakciók!C:C, Tranzakciók!B:B, "Kiadás", Tranzakciók!F:F, "Autó fenntartás")</f>
      </c>
    </row>
    <row r="10" spans="2:3" x14ac:dyDescent="0.25">
      <c r="B10" s="9" t="s">
        <v>56</v>
      </c>
      <c r="C10" s="10">
        <f>SUMIFS(Tranzakciók!C:C, Tranzakciók!B:B, "Átvezetés", Tranzakciók!F:F, "Vésztartalék") - SUMIFS(Tranzakciók!C:C, Tranzakciók!B:B, "Kiadás", Tranzakciók!F:F, "Vésztartalék")</f>
      </c>
    </row>
    <row r="11" spans="2:3" x14ac:dyDescent="0.25">
      <c r="B11" s="9" t="s">
        <v>57</v>
      </c>
      <c r="C11" s="10">
        <f>SUMIFS(Tranzakciók!C:C, Tranzakciók!B:B, "Átvezetés", Tranzakciók!F:F, "Technika") - SUMIFS(Tranzakciók!C:C, Tranzakciók!B:B, "Kiadás", Tranzakciók!F:F, "Technika")</f>
      </c>
    </row>
    <row r="12" spans="2:3" x14ac:dyDescent="0.25">
      <c r="B12" s="9" t="s">
        <v>58</v>
      </c>
      <c r="C12" s="10">
        <f>SUMIFS(Tranzakciók!C:C, Tranzakciók!B:B, "Átvezetés", Tranzakciók!F:F, "Ruházkodás") - SUMIFS(Tranzakciók!C:C, Tranzakciók!B:B, "Kiadás", Tranzakciók!F:F, "Ruházkodás")</f>
      </c>
    </row>
    <row r="13" spans="2:3" x14ac:dyDescent="0.25">
      <c r="B13" s="9" t="s">
        <v>59</v>
      </c>
      <c r="C13" s="10">
        <f>SUMIFS(Tranzakciók!C:C, Tranzakciók!B:B, "Átvezetés", Tranzakciók!F:F, "Befektetések") - SUMIFS(Tranzakciók!C:C, Tranzakciók!B:B, "Kiadás", Tranzakciók!F:F, "Befektetések")</f>
      </c>
    </row>
    <row r="14" spans="2:3" x14ac:dyDescent="0.25">
      <c r="B14" s="9" t="s">
        <v>60</v>
      </c>
      <c r="C14" s="10">
        <f>SUM(C8:C13)</f>
      </c>
    </row>
    <row r="15" spans="2:3" x14ac:dyDescent="0.25">
      <c r="B15" s="11" t="s">
        <v>61</v>
      </c>
      <c r="C15" s="12">
        <f>C5 - C14</f>
      </c>
    </row>
    <row r="17" spans="2:3" x14ac:dyDescent="0.25">
      <c r="B17" s="7" t="s">
        <v>62</v>
      </c>
      <c r="C17" s="8"/>
    </row>
    <row r="18" spans="2:3" x14ac:dyDescent="0.25">
      <c r="B18" s="9" t="s">
        <v>63</v>
      </c>
      <c r="C18" s="10">
        <f>SUMIFS(Tranzakciók!C:C, Tranzakciók!B:B, "Bevétel", Tranzakciók!H:H, "Igen")</f>
      </c>
    </row>
    <row r="19" spans="2:3" x14ac:dyDescent="0.25">
      <c r="B19" s="9" t="s">
        <v>64</v>
      </c>
      <c r="C19" s="10">
        <f>SUMIFS(Tranzakciók!C:C, Tranzakciók!B:B, "Kiadás", Tranzakciók!H:H, "Igen")</f>
      </c>
    </row>
    <row r="20" spans="2:3" x14ac:dyDescent="0.25">
      <c r="B20" s="11" t="s">
        <v>65</v>
      </c>
      <c r="C20" s="12">
        <f>C18 - C19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Beállítások</vt:lpstr>
      <vt:lpstr>Tranzakciók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FinSpace</dc:creator>
  <dc:title/>
  <dc:subject/>
  <dc:description/>
  <cp:keywords/>
  <cp:category/>
  <cp:lastModifiedBy>FinSpace</cp:lastModifiedBy>
  <dcterms:created xsi:type="dcterms:W3CDTF">2026-06-20T14:11:53Z</dcterms:created>
  <dcterms:modified xsi:type="dcterms:W3CDTF">2026-06-20T14:11:53Z</dcterms:modified>
</cp:coreProperties>
</file>